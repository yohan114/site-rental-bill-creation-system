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1"/>
  </bookViews>
  <sheets>
    <sheet name="README" sheetId="1" state="hidden" r:id="rId3"/>
    <sheet name="Rate Card" sheetId="2" state="visible" r:id="rId4"/>
    <sheet name="Portable Equipment Rates" sheetId="3" state="visible" r:id="rId5"/>
    <sheet name="Summary" sheetId="4" state="visible" r:id="rId6"/>
    <sheet name="Fleet Pricing" sheetId="5" state="visible" r:id="rId7"/>
    <sheet name="Market Research" sheetId="6" state="hidden" r:id="rId8"/>
    <sheet name="Fleet" sheetId="7" state="visible" r:id="rId9"/>
    <sheet name="Engineering Assumptions" sheetId="8" state="visible" r:id="rId10"/>
    <sheet name="Engineering Cost" sheetId="9" state="visible" r:id="rId11"/>
    <sheet name="Maintenance &amp; Repair" sheetId="10" state="visible" r:id="rId12"/>
    <sheet name="Replacement Analysis" sheetId="11" state="visible" r:id="rId13"/>
    <sheet name="Replacement Summary" sheetId="12" state="visible" r:id="rId14"/>
    <sheet name="For Sale" sheetId="13" state="visible" r:id="rId15"/>
  </sheets>
  <definedNames>
    <definedName function="false" hidden="false" localSheetId="10" name="_xlnm.Print_Area" vbProcedure="false">'Replacement Analysis'!$A$1:$O$551</definedName>
    <definedName function="false" hidden="true" localSheetId="10" name="_xlnm._FilterDatabase" vbProcedure="false">'Replacement Analysis'!$A$4:$P$551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HP:
Source: Riyasewana.com — Ashok Leyland 2516 (2010) listed at Rs. 6,550,000. URL: https://riyasewana.com/search/lorries/ashok-leyland/2516</t>
        </r>
      </text>
    </comment>
    <comment ref="M6" authorId="0">
      <text>
        <r>
          <rPr>
            <sz val="10"/>
            <rFont val="Arial"/>
            <family val="2"/>
          </rPr>
          <t xml:space="preserve">Source: Riyasewana.com — 2002 JCB 3CX listed Apr 2026 at Rs. 6,300,000. URL: https://riyasewana.com/search/heavy-duties/jcb/3cx</t>
        </r>
      </text>
    </comment>
    <comment ref="M7" authorId="0">
      <text>
        <r>
          <rPr>
            <sz val="10"/>
            <rFont val="Arial"/>
            <family val="2"/>
          </rPr>
          <t xml:space="preserve">Source: Riyasewana.com — 1999 JCB SLP3CX estimated ~Rs. 5.2M (adjusted ~17% below 2002 unit at Rs. 6.3M for 3yr age gap). URL: https://riyasewana.com/search/heavy-duties/jcb/3cx</t>
        </r>
      </text>
    </comment>
    <comment ref="M8" authorId="0">
      <text>
        <r>
          <rPr>
            <sz val="10"/>
            <rFont val="Arial"/>
            <family val="2"/>
          </rPr>
          <t xml:space="preserve">Source: Riyasewana.com — Ashok Leyland Comet Tip 2003 tipper, mid-range of listings Rs. 1.45M–4.1M. URL: https://riyasewana.com/search/lorries/ashok-leyland/comet-tip</t>
        </r>
      </text>
    </comment>
    <comment ref="M9" authorId="0">
      <text>
        <r>
          <rPr>
            <sz val="10"/>
            <rFont val="Arial"/>
            <family val="2"/>
          </rPr>
          <t xml:space="preserve">Source: Riyasewana.com — Ashok Leyland Comet Tip 2003. Upper-mid of listings range. URL: https://riyasewana.com/search/lorries/ashok-leyland/comet-tip</t>
        </r>
      </text>
    </comment>
    <comment ref="M10" authorId="0">
      <text>
        <r>
          <rPr>
            <sz val="10"/>
            <rFont val="Arial"/>
            <family val="2"/>
          </rPr>
          <t xml:space="preserve">Source: Riyasewana.com — Ashok Leyland Comet 2003, water bowser conversion. Comet Tip range Rs. 1.45M–4.1M; bowser uplift applied. URL: https://riyasewana.com/search/lorries/ashok-leyland/comet-tip</t>
        </r>
      </text>
    </comment>
    <comment ref="M11" authorId="0">
      <text>
        <r>
          <rPr>
            <sz val="10"/>
            <rFont val="Arial"/>
            <family val="2"/>
          </rPr>
          <t xml:space="preserve">Source: Riyasewana.com — Tata LPK 1615 3-cube 2011; comparable tipper trucks 2011 vintage listed Rs. 4–5.5M. URL: https://riyasewana.com/search/lorries</t>
        </r>
      </text>
    </comment>
    <comment ref="M12" authorId="0">
      <text>
        <r>
          <rPr>
            <sz val="10"/>
            <rFont val="Arial"/>
            <family val="2"/>
          </rPr>
          <t xml:space="preserve">Source: Riyasewana.com — Eicher 1080 (2011) listed at Rs. 5,500,000. Eicher Terra16 HDR 2011 comparable. URL: https://riyasewana.com/search/lorries/eicher</t>
        </r>
      </text>
    </comment>
    <comment ref="M13" authorId="0">
      <text>
        <r>
          <rPr>
            <sz val="10"/>
            <rFont val="Arial"/>
            <family val="2"/>
          </rPr>
          <t xml:space="preserve">Source: Riyasewana.com — Ashok Leyland Tipper 2006 listed at Rs. 1,750,000. URL: https://riyasewana.com/search/lorries/ashok-leyland/diesel</t>
        </r>
      </text>
    </comment>
    <comment ref="M14" authorId="0">
      <text>
        <r>
          <rPr>
            <sz val="10"/>
            <rFont val="Arial"/>
            <family val="2"/>
          </rPr>
          <t xml:space="preserve">HP:
Source: Riyasewana.com — Eicher 20.16 tipper 2007 estimated ~Rs. 3.5M based on comparable Eicher lorry listings Rs. 3–5.5M. URL: https://riyasewana.com/search/lorries/eicher</t>
        </r>
      </text>
    </comment>
    <comment ref="M15" authorId="0">
      <text>
        <r>
          <rPr>
            <sz val="10"/>
            <rFont val="Arial"/>
            <family val="2"/>
          </rPr>
          <t xml:space="preserve">HP:
Source: Riyasewana.com — Ashok Leyland 2516 (2010) listed at Rs. 6,550,000. URL: https://riyasewana.com/search/lorries/ashok-leyland/2516</t>
        </r>
      </text>
    </comment>
    <comment ref="M16" authorId="0">
      <text>
        <r>
          <rPr>
            <sz val="10"/>
            <rFont val="Arial"/>
            <family val="2"/>
          </rPr>
          <t xml:space="preserve">HP:
Source: Riyasewana.com — SAKAI roller listings in Sri Lanka ~Rs. 5–6M. URL: https://riyasewana.com/search/heavy-duties/sakai/roller</t>
        </r>
      </text>
    </comment>
    <comment ref="M17" authorId="0">
      <text>
        <r>
          <rPr>
            <sz val="10"/>
            <rFont val="Arial"/>
            <family val="2"/>
          </rPr>
          <t xml:space="preserve">HP:
Source: Market estimate — CAT CB-504C 8T vibratory roller. CAT premium brand; comparable 8T class rollers trade ~USD 15,000–25,000 in region. Est. LKR 8.5M. Cross-ref: plantandequipment.com</t>
        </r>
      </text>
    </comment>
    <comment ref="M18" authorId="0">
      <text>
        <r>
          <rPr>
            <sz val="10"/>
            <rFont val="Arial"/>
            <family val="2"/>
          </rPr>
          <t xml:space="preserve">HP:
Source: Riyasewana.com — SAKAI TW-41 roller estimated ~Rs. 5.5M based on comparable SAKAI roller listings. URL: https://riyasewana.com/search/heavy-duties/sakai/roller</t>
        </r>
      </text>
    </comment>
    <comment ref="M19" authorId="0">
      <text>
        <r>
          <rPr>
            <sz val="10"/>
            <rFont val="Arial"/>
            <family val="2"/>
          </rPr>
          <t xml:space="preserve">Source: Market estimate — KOMATSU 4T vibrating roller 2012. Comparable mid-size rollers trade Rs. 3–5M in Sri Lanka used market.</t>
        </r>
      </text>
    </comment>
    <comment ref="M20" authorId="0">
      <text>
        <r>
          <rPr>
            <sz val="10"/>
            <rFont val="Arial"/>
            <family val="2"/>
          </rPr>
          <t xml:space="preserve">HP:
Source: Market estimate — 4T vibrating roller 2013, brand unknown. Comparable mid-size rollers trade Rs. 2.5–4M in Sri Lanka used market.</t>
        </r>
      </text>
    </comment>
  </commentList>
</comments>
</file>

<file path=xl/sharedStrings.xml><?xml version="1.0" encoding="utf-8"?>
<sst xmlns="http://schemas.openxmlformats.org/spreadsheetml/2006/main" count="15067" uniqueCount="2553">
  <si>
    <t xml:space="preserve">FLEET RENTAL PRICING — 2026 RATE CARD</t>
  </si>
  <si>
    <t xml:space="preserve">Market: Sri Lanka  |  Currency: LKR  |  Fleet Size: 518 units</t>
  </si>
  <si>
    <t xml:space="preserve">Purpose</t>
  </si>
  <si>
    <t xml:space="preserve">Internal rate-card workbook used to quote customers for daily / hourly / monthly rental of our machinery fleet.</t>
  </si>
  <si>
    <t xml:space="preserve">Pricing strategy</t>
  </si>
  <si>
    <t xml:space="preserve">Competitive but not cheapest — positioned ~15–20% below SLLDC official government rates and in line with private operators in Colombo, Gampaha, Kandy, Kurunegala.</t>
  </si>
  <si>
    <t xml:space="preserve">Wet rate</t>
  </si>
  <si>
    <t xml:space="preserve">INCLUDES fuel + operator + normal maintenance. Recommended for clients without trained operators.</t>
  </si>
  <si>
    <t xml:space="preserve">Dry rate</t>
  </si>
  <si>
    <t xml:space="preserve">Machine ONLY. Fuel, operator, lubricants, toll and food paid by client. Recommended for contractors with own crew.</t>
  </si>
  <si>
    <t xml:space="preserve">Daily rate</t>
  </si>
  <si>
    <t xml:space="preserve">Minimum billable 4 working hours per day. Derived as Hourly × 4 × 0.95 (5% volume discount).</t>
  </si>
  <si>
    <t xml:space="preserve">Monthly rate</t>
  </si>
  <si>
    <t xml:space="preserve">Minimum billable 120 working hours per month. Derived as Hourly × 120 × 0.85 (15% volume discount). Extra hours billed at Hourly rate.</t>
  </si>
  <si>
    <t xml:space="preserve">Age adjustment</t>
  </si>
  <si>
    <t xml:space="preserve">Rate declines with age: 2020+ = 100%, 2015–19 = 92%, 2010–14 = 82%, 2005–09 = 72%, 2000–04 = 65%, pre-2000 = 58%. Applied on top of base rate.</t>
  </si>
  <si>
    <t xml:space="preserve">Excavator size</t>
  </si>
  <si>
    <t xml:space="preserve">Separate multiplier by model (e.g. PC30 = 0.55×, PC200 = 1.00×, R330 = 1.30×).</t>
  </si>
  <si>
    <t xml:space="preserve">Client extras</t>
  </si>
  <si>
    <t xml:space="preserve">Trailer one-way, toll, fines, operator meals &amp; lodging charged at cost. 15-day advance payment standard.</t>
  </si>
  <si>
    <t xml:space="preserve">VAT</t>
  </si>
  <si>
    <t xml:space="preserve">Add 18% VAT on all rates (standard SL rate 2026).</t>
  </si>
  <si>
    <t xml:space="preserve">Workbook sheets</t>
  </si>
  <si>
    <t xml:space="preserve">  1. README</t>
  </si>
  <si>
    <t xml:space="preserve">This page.</t>
  </si>
  <si>
    <t xml:space="preserve">  2. Rate Card</t>
  </si>
  <si>
    <t xml:space="preserve">Base hourly Wet/Dry rate per category + age factors (editable inputs in blue).</t>
  </si>
  <si>
    <t xml:space="preserve">  3. Fleet Pricing</t>
  </si>
  <si>
    <t xml:space="preserve">Every single unit (518) with calculated 2026 Dry/Wet hourly, daily (min 4h), monthly (min 120h) rates.</t>
  </si>
  <si>
    <t xml:space="preserve">  4. Market Research</t>
  </si>
  <si>
    <t xml:space="preserve">Competitor prices gathered from Sri Lankan &amp; Indian rental portals (SLLDC, wedabima, krearthmovers, petersequipment, ikman).</t>
  </si>
  <si>
    <t xml:space="preserve">  5. Summary by Category</t>
  </si>
  <si>
    <t xml:space="preserve">Fleet count &amp; average monthly wet revenue potential per category.</t>
  </si>
  <si>
    <t xml:space="preserve">Prepared</t>
  </si>
  <si>
    <t xml:space="preserve">April 2026  —  All prices in LKR, exclusive of VAT.</t>
  </si>
  <si>
    <t xml:space="preserve">NEW SHEETS (v2 — engineering)</t>
  </si>
  <si>
    <t xml:space="preserve">  6. Engineering Assumptions</t>
  </si>
  <si>
    <t xml:space="preserve">All inputs: diesel price, operator rate, fuel consumption per category, PM/repair base costs, new unit prices, service life, age multipliers, consumable prices.</t>
  </si>
  <si>
    <t xml:space="preserve">  7. Engineering Cost</t>
  </si>
  <si>
    <t xml:space="preserve">Per-unit hourly cost build-up: Fuel + Operator + PM + Major repair + Overhead + 20% profit = suggested WET rate. Compare against current Fleet Pricing.</t>
  </si>
  <si>
    <t xml:space="preserve">  8. Maintenance &amp; Repair</t>
  </si>
  <si>
    <t xml:space="preserve">Monthly spend forecast per unit (120 hrs): fuel, operator, PM, major repair, totals with overhead.</t>
  </si>
  <si>
    <t xml:space="preserve">  9. Replacement Analysis</t>
  </si>
  <si>
    <t xml:space="preserve">Every unit scored KEEP / MONITOR / REPLACE based on age, repair-to-revenue ratio, estimated 2026 resale value, and brand-new 2026 price.</t>
  </si>
  <si>
    <t xml:space="preserve">  10. Replacement Summary</t>
  </si>
  <si>
    <t xml:space="preserve">Category rollup — how many to KEEP / MONITOR / REPLACE, total CAPEX for new equipment, total resale from retiring old units.</t>
  </si>
  <si>
    <t xml:space="preserve">Key inputs given (Apr 2026)</t>
  </si>
  <si>
    <t xml:space="preserve">  Operator rate</t>
  </si>
  <si>
    <t xml:space="preserve">Rs. 650 / hour  •  Minimum monthly salary Rs. 78,000</t>
  </si>
  <si>
    <t xml:space="preserve">  Gross profit target</t>
  </si>
  <si>
    <t xml:space="preserve">20% on total cost</t>
  </si>
  <si>
    <t xml:space="preserve">  Overhead</t>
  </si>
  <si>
    <t xml:space="preserve">15% of direct cost (yard, admin, insurance, transport, depreciation recovery)</t>
  </si>
  <si>
    <t xml:space="preserve">  Diesel (CPC Auto Diesel)</t>
  </si>
  <si>
    <t xml:space="preserve">Rs. 382 / litre (March 2026 CPC)</t>
  </si>
  <si>
    <t xml:space="preserve">  Min working hours</t>
  </si>
  <si>
    <t xml:space="preserve">120 / month    •   4 / day</t>
  </si>
  <si>
    <t xml:space="preserve">CHANGELOG — v3 rate engineering</t>
  </si>
  <si>
    <t xml:space="preserve">  Issue identified</t>
  </si>
  <si>
    <t xml:space="preserve">Previous rates (v2) sat below engineering cost floor — we were earning less than the 20% target profit on many units.</t>
  </si>
  <si>
    <t xml:space="preserve">  Fix (v3)</t>
  </si>
  <si>
    <t xml:space="preserve">Rate Card now shows Market LOW / MID / HIGH for each category and derives the recommended rate via formula: MAX(Engineering Floor, LOW × 1.10) capped at HIGH × 0.88.</t>
  </si>
  <si>
    <t xml:space="preserve">  Outcome</t>
  </si>
  <si>
    <t xml:space="preserve">New rates sit in the upper-mid of the market — above bottom-feeders, below SLLDC government ceiling. Typical increase +25–40%.</t>
  </si>
  <si>
    <t xml:space="preserve">  If the cell in column G (Eng. Floor) on Rate Card turns red</t>
  </si>
  <si>
    <t xml:space="preserve">It means even the market HIGH price × 0.88 won't cover cost + 20% profit. Either we must run at lower margin for that category, or stop renting it out.</t>
  </si>
  <si>
    <t xml:space="preserve">CHANGELOG — v4 portable equipment</t>
  </si>
  <si>
    <t xml:space="preserve">New sheet added</t>
  </si>
  <si>
    <t xml:space="preserve">"Portable Equipment Rates" (sheet 3) — capacity-wise daily hire rates for generators, air compressors, poker/concrete vibrators, submersible pumps (1"–6"), engine water pumps (2"/3"/4"), rotary hammers, circular saws, angle grinders, plate compactor, power trowel and welding plant.</t>
  </si>
  <si>
    <t xml:space="preserve">Basis</t>
  </si>
  <si>
    <t xml:space="preserve">WET = fuel/operator/consumables included; DRY = bare hire. Per-day billing, minimum 1 day. 36 line items across 10 categories. Excludes 18% VAT &amp; transport.</t>
  </si>
  <si>
    <t xml:space="preserve">Market sources</t>
  </si>
  <si>
    <t xml:space="preserve">Sri Lankan rental market, May–Jun 2026: Peters Equipment (petersequipment.lk) published day-rates; surplus.lk and wedabima.com availability. Generators Rs.4,000–12,000/day by kVA; Rotary Hammer SDS Rs.3,000; Demolition Breaker Rs.4,000; Tamping Rammer Rs.3,500; drills Rs.250–500.</t>
  </si>
  <si>
    <t xml:space="preserve">Also in app</t>
  </si>
  <si>
    <t xml:space="preserve">The same 36 items are loaded into the Machine Rental Calculator (invoice/proforma/quotation tool) under a new "Per-Day" billing mode with a WET/DRY toggle.</t>
  </si>
  <si>
    <t xml:space="preserve">2026 RATE CARD — Engineering-Derived Hourly Rates</t>
  </si>
  <si>
    <t xml:space="preserve">Each rate is computed from three drivers: Market LOW, Market HIGH, and Engineering Cost + 20% profit. Recommended Wet = MAX(Engineering Floor, Market LOW × 1.10) capped at Market HIGH × 0.88. Recommended Dry = Wet × Dry ratio (industry convention). Blue cells = editable inputs.</t>
  </si>
  <si>
    <t xml:space="preserve">#</t>
  </si>
  <si>
    <t xml:space="preserve">Category</t>
  </si>
  <si>
    <t xml:space="preserve">Market LOW (wet)</t>
  </si>
  <si>
    <t xml:space="preserve">Market MID (wet)</t>
  </si>
  <si>
    <t xml:space="preserve">Market HIGH (wet)</t>
  </si>
  <si>
    <t xml:space="preserve">Eng. Cost / h (age-5)</t>
  </si>
  <si>
    <t xml:space="preserve">Eng. Floor (+20% profit)</t>
  </si>
  <si>
    <t xml:space="preserve">Positioning rule</t>
  </si>
  <si>
    <t xml:space="preserve">Recommended WET (/h)</t>
  </si>
  <si>
    <t xml:space="preserve">Dry ratio
(blue = editable)</t>
  </si>
  <si>
    <t xml:space="preserve">Recommended DRY (/h)</t>
  </si>
  <si>
    <t xml:space="preserve">Wet : Dry ratio</t>
  </si>
  <si>
    <t xml:space="preserve">% above LOW</t>
  </si>
  <si>
    <t xml:space="preserve">% below HIGH</t>
  </si>
  <si>
    <t xml:space="preserve">Source / note</t>
  </si>
  <si>
    <t xml:space="preserve">Backhoe Loader</t>
  </si>
  <si>
    <t xml:space="preserve">MAX(Eng. Floor, LOW×1.10) capped at HIGH×0.88</t>
  </si>
  <si>
    <t xml:space="preserve">LOW: Small private, Wedabima  •  HIGH: SLLDC JCB 3CX wet</t>
  </si>
  <si>
    <t xml:space="preserve">Wheel Loader</t>
  </si>
  <si>
    <t xml:space="preserve">LOW: Used private  •  HIGH: SLLDC Doosan Mega 250</t>
  </si>
  <si>
    <t xml:space="preserve">Truck Mixer</t>
  </si>
  <si>
    <t xml:space="preserve">LOW: TATA mixer private  •  HIGH: Large private operators</t>
  </si>
  <si>
    <t xml:space="preserve">Self Loader Mixer</t>
  </si>
  <si>
    <t xml:space="preserve">LOW: FIORI/Ajax private  •  HIGH: Large operators</t>
  </si>
  <si>
    <t xml:space="preserve">Static Roller</t>
  </si>
  <si>
    <t xml:space="preserve">LOW: Private 10T  •  HIGH: SLLDC HAMM HD12vv</t>
  </si>
  <si>
    <t xml:space="preserve">Vibrating Roller</t>
  </si>
  <si>
    <t xml:space="preserve">LOW: BOMAG private  •  HIGH: Large private 10T</t>
  </si>
  <si>
    <t xml:space="preserve">Pneumatic Roller</t>
  </si>
  <si>
    <t xml:space="preserve">LOW: Private Sakai/Dynapac  •  HIGH: Premium operators</t>
  </si>
  <si>
    <t xml:space="preserve">Motor Grader</t>
  </si>
  <si>
    <t xml:space="preserve">LOW: Private used CAT  •  HIGH: Premium/SLLDC class</t>
  </si>
  <si>
    <t xml:space="preserve">Skid Steer</t>
  </si>
  <si>
    <t xml:space="preserve">LOW: Small private  •  HIGH: SLLDC Bobcat</t>
  </si>
  <si>
    <t xml:space="preserve">Asphalt Paver</t>
  </si>
  <si>
    <t xml:space="preserve">LOW: SUMITOMO private  •  HIGH: VOLVO premium</t>
  </si>
  <si>
    <t xml:space="preserve">Bitumen Bowser</t>
  </si>
  <si>
    <t xml:space="preserve">LOW: Private 4-cu  •  HIGH: Large insulated bowser</t>
  </si>
  <si>
    <t xml:space="preserve">Mobile Crane</t>
  </si>
  <si>
    <t xml:space="preserve">LOW: Private 25T  •  HIGH: SLLDC Kobelco RK250</t>
  </si>
  <si>
    <t xml:space="preserve">Boom Truck</t>
  </si>
  <si>
    <t xml:space="preserve">LOW: Califolink private  •  HIGH: SLLDC 17T 3T-crane</t>
  </si>
  <si>
    <t xml:space="preserve">Prime Mover / Bed</t>
  </si>
  <si>
    <t xml:space="preserve">LOW: Private HINO/TATA  •  HIGH: Premium lowbed operators</t>
  </si>
  <si>
    <t xml:space="preserve">Pump Truck (Concrete)</t>
  </si>
  <si>
    <t xml:space="preserve">LOW: Private Sany pump  •  HIGH: Premium operators</t>
  </si>
  <si>
    <t xml:space="preserve">Double Cab (Pickup)</t>
  </si>
  <si>
    <t xml:space="preserve">LOW: Hilux long-term private  •  HIGH: Malkey/Lanka Rent premium</t>
  </si>
  <si>
    <t xml:space="preserve">Van</t>
  </si>
  <si>
    <t xml:space="preserve">LOW: Liteace private  •  HIGH: KDH200 premium</t>
  </si>
  <si>
    <t xml:space="preserve">Crew Cab</t>
  </si>
  <si>
    <t xml:space="preserve">LOW: JMC private  •  HIGH: ISUZU premium</t>
  </si>
  <si>
    <t xml:space="preserve">Single Cab</t>
  </si>
  <si>
    <t xml:space="preserve">LOW: Tata Ace small  •  HIGH: Mahindra BMT premium</t>
  </si>
  <si>
    <t xml:space="preserve">Dump Truck (Tipper)</t>
  </si>
  <si>
    <t xml:space="preserve">LOW: Ikman monthly low  •  HIGH: Premium Tata LPK1618</t>
  </si>
  <si>
    <t xml:space="preserve">Trailer</t>
  </si>
  <si>
    <t xml:space="preserve">LOW: Private tractor trailer  •  HIGH: Premium operators</t>
  </si>
  <si>
    <t xml:space="preserve">Lorry Trailer</t>
  </si>
  <si>
    <t xml:space="preserve">LOW: Private Tantri  •  HIGH: Premium Tantri TFB40</t>
  </si>
  <si>
    <t xml:space="preserve">Diesel Bowser</t>
  </si>
  <si>
    <t xml:space="preserve">LOW: Private fuel bowser  •  HIGH: Premium large bowser</t>
  </si>
  <si>
    <t xml:space="preserve">Excavator</t>
  </si>
  <si>
    <t xml:space="preserve">LOW: Private 20T Hyundai  •  HIGH: SLLDC Doosan DX200</t>
  </si>
  <si>
    <t xml:space="preserve">Water Bowser</t>
  </si>
  <si>
    <t xml:space="preserve">LOW: Private small  •  HIGH: SLLDC 6,000L equiv.</t>
  </si>
  <si>
    <t xml:space="preserve">Farm Tractor</t>
  </si>
  <si>
    <t xml:space="preserve">LOW: MASSEY/TAFE private  •  HIGH: MAHINDRA premium</t>
  </si>
  <si>
    <t xml:space="preserve">Motor Bicycle</t>
  </si>
  <si>
    <t xml:space="preserve">LOW: Staff rental private  •  HIGH: Daily hire</t>
  </si>
  <si>
    <t xml:space="preserve">Tractor Bowser</t>
  </si>
  <si>
    <t xml:space="preserve">LOW: Private combo  •  HIGH: Premium combo</t>
  </si>
  <si>
    <t xml:space="preserve">Forklift</t>
  </si>
  <si>
    <t xml:space="preserve">LOW: Private 3T  •  HIGH: Premium insulated/specialist</t>
  </si>
  <si>
    <t xml:space="preserve">AGE DEPRECIATION APPLIED TO FLEET UNITS</t>
  </si>
  <si>
    <t xml:space="preserve">Year of manufacture</t>
  </si>
  <si>
    <t xml:space="preserve">Age factor</t>
  </si>
  <si>
    <t xml:space="preserve">% of base rate</t>
  </si>
  <si>
    <t xml:space="preserve">Rationale</t>
  </si>
  <si>
    <t xml:space="preserve">2020 and newer</t>
  </si>
  <si>
    <t xml:space="preserve">Same as new — no discount</t>
  </si>
  <si>
    <t xml:space="preserve">2015 – 2019</t>
  </si>
  <si>
    <t xml:space="preserve">Light depreciation</t>
  </si>
  <si>
    <t xml:space="preserve">2010 – 2014</t>
  </si>
  <si>
    <t xml:space="preserve">Used but serviceable</t>
  </si>
  <si>
    <t xml:space="preserve">2005 – 2009</t>
  </si>
  <si>
    <t xml:space="preserve">Older unit — customer expects discount</t>
  </si>
  <si>
    <t xml:space="preserve">2000 – 2004</t>
  </si>
  <si>
    <t xml:space="preserve">Legacy — only for budget-sensitive clients</t>
  </si>
  <si>
    <t xml:space="preserve">Before 2000 / Unknown</t>
  </si>
  <si>
    <t xml:space="preserve">End-of-life — last resort only</t>
  </si>
  <si>
    <t xml:space="preserve">VOLUME DISCOUNT APPLIED TO FLEET UNITS</t>
  </si>
  <si>
    <t xml:space="preserve">Daily (≥ 4 hrs)</t>
  </si>
  <si>
    <t xml:space="preserve">5% off hourly × 4</t>
  </si>
  <si>
    <t xml:space="preserve">Monthly (≥ 120 hrs)</t>
  </si>
  <si>
    <t xml:space="preserve">15% off hourly × 120</t>
  </si>
  <si>
    <t xml:space="preserve">2026 PORTABLE EQUIPMENT RATES — Day-Hire, Sri Lankan Market</t>
  </si>
  <si>
    <t xml:space="preserve">Capacity-wise daily hire rates (Rs./day) for portable plant, surveyed from the Sri Lankan rental market (May–Jun 2026). WET = with fuel/operator/consumables; DRY = bare machine hire only. Min. billing 1 day. Rates exclude 18% VAT and transport.</t>
  </si>
  <si>
    <t xml:space="preserve">Capacity / Size</t>
  </si>
  <si>
    <t xml:space="preserve">WET  Rs./day</t>
  </si>
  <si>
    <t xml:space="preserve">DRY  Rs./day</t>
  </si>
  <si>
    <t xml:space="preserve">Billing</t>
  </si>
  <si>
    <t xml:space="preserve">Min.</t>
  </si>
  <si>
    <t xml:space="preserve">Source / basis note</t>
  </si>
  <si>
    <t xml:space="preserve">Generator</t>
  </si>
  <si>
    <t xml:space="preserve">3–5 kVA (petrol, 1-ph)</t>
  </si>
  <si>
    <t xml:space="preserve">Per day</t>
  </si>
  <si>
    <t xml:space="preserve">1 day</t>
  </si>
  <si>
    <t xml:space="preserve">Peters Equipment: 5kVA Rs.4,000 / 2-3kVA Rs.5,000 per day</t>
  </si>
  <si>
    <t xml:space="preserve">10 kVA (diesel, 1-ph)</t>
  </si>
  <si>
    <t xml:space="preserve">Peters Equipment 10kVA diesel Rs.6,000/day (op w/fuel basis)</t>
  </si>
  <si>
    <t xml:space="preserve">20–25 kVA (diesel, 3-ph)</t>
  </si>
  <si>
    <t xml:space="preserve">Peters Equipment 25kVA diesel Rs.8,000/day</t>
  </si>
  <si>
    <t xml:space="preserve">30–50 kVA (diesel, 3-ph)</t>
  </si>
  <si>
    <t xml:space="preserve">Peters Equipment 50kVA diesel Rs.10-12,000/day</t>
  </si>
  <si>
    <t xml:space="preserve">60–80 kVA (soundproof)</t>
  </si>
  <si>
    <t xml:space="preserve">Interpolated from 50kVA card + UTE/Generators.lk band</t>
  </si>
  <si>
    <t xml:space="preserve">100–125 kVA (soundproof)</t>
  </si>
  <si>
    <t xml:space="preserve">Generators.lk / UTE long-term construction band</t>
  </si>
  <si>
    <t xml:space="preserve">150 kVA (soundproof)</t>
  </si>
  <si>
    <t xml:space="preserve">Generators.lk 150kVA upper rental band</t>
  </si>
  <si>
    <t xml:space="preserve">Air Compressor</t>
  </si>
  <si>
    <t xml:space="preserve">2–3 HP (portable, electric)</t>
  </si>
  <si>
    <t xml:space="preserve">SL hire-shop day-rate; surplus.lk "any capacity per day"</t>
  </si>
  <si>
    <t xml:space="preserve">5–7 HP (belt-drive, petrol)</t>
  </si>
  <si>
    <t xml:space="preserve">Competitive Western-Province hire-shop day-rate</t>
  </si>
  <si>
    <t xml:space="preserve">10–15 HP (industrial)</t>
  </si>
  <si>
    <t xml:space="preserve">185 cfm (towable diesel)</t>
  </si>
  <si>
    <t xml:space="preserve">Towable jackhammer-feed compressor; project day-rate</t>
  </si>
  <si>
    <t xml:space="preserve">375 cfm (towable diesel)</t>
  </si>
  <si>
    <t xml:space="preserve">Large towable diesel; project day-rate</t>
  </si>
  <si>
    <t xml:space="preserve">Poker / Concrete Vibrator</t>
  </si>
  <si>
    <t xml:space="preserve">Petrol drive unit + shaft</t>
  </si>
  <si>
    <t xml:space="preserve">wedabima poker-machine listings; petrol drive day-hire</t>
  </si>
  <si>
    <t xml:space="preserve">Electric drive unit + shaft</t>
  </si>
  <si>
    <t xml:space="preserve">Electric concrete vibrator day-hire</t>
  </si>
  <si>
    <t xml:space="preserve">Needle/shaft only (35–60 mm)</t>
  </si>
  <si>
    <t xml:space="preserve">Accessory needle/shaft only</t>
  </si>
  <si>
    <t xml:space="preserve">Submersible Pump</t>
  </si>
  <si>
    <t xml:space="preserve">1" (dewatering, electric)</t>
  </si>
  <si>
    <t xml:space="preserve">Dewatering day-hire; 1HP class</t>
  </si>
  <si>
    <t xml:space="preserve">2" (dewatering, electric)</t>
  </si>
  <si>
    <t xml:space="preserve">Dewatering day-hire; 2" class</t>
  </si>
  <si>
    <t xml:space="preserve">3" (dewatering, electric)</t>
  </si>
  <si>
    <t xml:space="preserve">Dewatering day-hire; 3" class</t>
  </si>
  <si>
    <t xml:space="preserve">4" (dewatering, electric)</t>
  </si>
  <si>
    <t xml:space="preserve">Dewatering day-hire; 4" class</t>
  </si>
  <si>
    <t xml:space="preserve">6" (high-volume)</t>
  </si>
  <si>
    <t xml:space="preserve">High-volume dewatering day-hire</t>
  </si>
  <si>
    <t xml:space="preserve">Engine Water Pump</t>
  </si>
  <si>
    <t xml:space="preserve">2" (petrol, self-priming)</t>
  </si>
  <si>
    <t xml:space="preserve">Honda-type 2" petrol pump day-hire</t>
  </si>
  <si>
    <t xml:space="preserve">3" (petrol, self-priming)</t>
  </si>
  <si>
    <t xml:space="preserve">3" petrol pump day-hire</t>
  </si>
  <si>
    <t xml:space="preserve">4" (diesel)</t>
  </si>
  <si>
    <t xml:space="preserve">4" diesel trash/water pump day-hire</t>
  </si>
  <si>
    <t xml:space="preserve">3" trash pump (solids-handling)</t>
  </si>
  <si>
    <t xml:space="preserve">Trash pump day-hire</t>
  </si>
  <si>
    <t xml:space="preserve">Rotary Hammer</t>
  </si>
  <si>
    <t xml:space="preserve">2–4 kg (SDS-plus)</t>
  </si>
  <si>
    <t xml:space="preserve">Peters Equipment Rotary Hammer SDS Rs.3,000/day (wet incl. bits/op)</t>
  </si>
  <si>
    <t xml:space="preserve">5–7 kg (SDS-max)</t>
  </si>
  <si>
    <t xml:space="preserve">Heavier SDS-max class day-hire</t>
  </si>
  <si>
    <t xml:space="preserve">Demolition breaker 10–16 kg</t>
  </si>
  <si>
    <t xml:space="preserve">Peters Equipment Demolition Breaker Rs.4,000/day</t>
  </si>
  <si>
    <t xml:space="preserve">Circular Saw</t>
  </si>
  <si>
    <t xml:space="preserve">7" (185 mm, hand-held)</t>
  </si>
  <si>
    <t xml:space="preserve">Hand-held circular saw day-hire</t>
  </si>
  <si>
    <t xml:space="preserve">9" (235 mm, hand-held)</t>
  </si>
  <si>
    <t xml:space="preserve">Larger hand-held circular saw day-hire</t>
  </si>
  <si>
    <t xml:space="preserve">14" cut-off / metal saw</t>
  </si>
  <si>
    <t xml:space="preserve">Abrasive cut-off saw day-hire</t>
  </si>
  <si>
    <t xml:space="preserve">Angle Grinder</t>
  </si>
  <si>
    <t xml:space="preserve">4–5" (100–125 mm)</t>
  </si>
  <si>
    <t xml:space="preserve">Small angle grinder day-hire</t>
  </si>
  <si>
    <t xml:space="preserve">7–9" (180–230 mm)</t>
  </si>
  <si>
    <t xml:space="preserve">Large angle grinder day-hire</t>
  </si>
  <si>
    <t xml:space="preserve">Power Tool — Other</t>
  </si>
  <si>
    <t xml:space="preserve">Hand / hammer / impact drill</t>
  </si>
  <si>
    <t xml:space="preserve">Peters Equipment hand/hammer drill Rs.250–500/day band</t>
  </si>
  <si>
    <t xml:space="preserve">Plate compactor (forward)</t>
  </si>
  <si>
    <t xml:space="preserve">Plate compactor day-hire (cf. Tamping Rammer Rs.3,500)</t>
  </si>
  <si>
    <t xml:space="preserve">Power trowel (concrete)</t>
  </si>
  <si>
    <t xml:space="preserve">Power trowel day-hire</t>
  </si>
  <si>
    <t xml:space="preserve">Welding Plant</t>
  </si>
  <si>
    <t xml:space="preserve">300 A diesel (engine-driven)</t>
  </si>
  <si>
    <t xml:space="preserve">Engine-driven welder day-hire</t>
  </si>
  <si>
    <t xml:space="preserve">Methodology &amp; sources</t>
  </si>
  <si>
    <t xml:space="preserve">•  WET rate = machine + fuel/power + operator + routine consumables (bits, oil, nozzles). DRY rate = bare equipment hire; customer supplies fuel, power and operator.</t>
  </si>
  <si>
    <t xml:space="preserve">•  Anchored to published Sri Lankan rental day-rates from Peters Equipment (petersequipment.lk, 2026): generators Rs.4,000–12,000/day by kVA; Rotary Hammer SDS Rs.3,000; Jack Hammer Rs.10,000; Demolition Breaker Rs.4,000; Tamping Rammer Rs.3,500; drills Rs.250–500/day.</t>
  </si>
  <si>
    <t xml:space="preserve">•  Air compressors, poker/concrete vibrators, submersible &amp; engine water pumps, circular saws and angle grinders are confirmed available for daily hire in the Sri Lankan market (surplus.lk, wedabima.com); where a vendor lists "call for price", the rate shown is a competitive Colombo / Western-Province hire-shop day-rate.</t>
  </si>
  <si>
    <t xml:space="preserve">•  Rates are indicative for quotation/proforma use and exclude 18% VAT, transport/mobilisation, and any operator overtime. Minimum billing is one (1) day unless agreed otherwise.</t>
  </si>
  <si>
    <t xml:space="preserve">•  Review the WET/DRY cells (blue/green) each quarter against current market quotes; they are hardcoded inputs, not formulas.</t>
  </si>
  <si>
    <t xml:space="preserve">FLEET SUMMARY — Counts &amp; Monthly Revenue Potential</t>
  </si>
  <si>
    <t xml:space="preserve">Monthly potential = unit count × average monthly WET rate (120 hrs, 85% volume discount) if every machine deployed 1 full month.</t>
  </si>
  <si>
    <t xml:space="preserve">Unit count</t>
  </si>
  <si>
    <t xml:space="preserve">Avg. Hourly WET</t>
  </si>
  <si>
    <t xml:space="preserve">Avg. Monthly WET (120h)</t>
  </si>
  <si>
    <t xml:space="preserve">Category Monthly Revenue Potential</t>
  </si>
  <si>
    <t xml:space="preserve">TOTAL FLEET</t>
  </si>
  <si>
    <t xml:space="preserve">FLEET PRICING 2026 — ALL 518 UNITS (engineered rates)</t>
  </si>
  <si>
    <t xml:space="preserve">Rates in LKR, excluding 18% VAT.  Daily min. 4 hrs  •  Monthly min. 120 hrs. Driven by Rate Card sheet.</t>
  </si>
  <si>
    <t xml:space="preserve">Brand</t>
  </si>
  <si>
    <t xml:space="preserve">E&amp;C No.</t>
  </si>
  <si>
    <t xml:space="preserve">Model</t>
  </si>
  <si>
    <t xml:space="preserve">Year</t>
  </si>
  <si>
    <t xml:space="preserve">Registration No.</t>
  </si>
  <si>
    <t xml:space="preserve">Hourly WET</t>
  </si>
  <si>
    <t xml:space="preserve">Hourly DRY</t>
  </si>
  <si>
    <t xml:space="preserve">Daily WET (4h)</t>
  </si>
  <si>
    <t xml:space="preserve">Daily DRY (4h)</t>
  </si>
  <si>
    <t xml:space="preserve">Monthly WET (120h)</t>
  </si>
  <si>
    <t xml:space="preserve">Monthly DRY (120h)</t>
  </si>
  <si>
    <t xml:space="preserve">Remarks</t>
  </si>
  <si>
    <t xml:space="preserve">age_f</t>
  </si>
  <si>
    <t xml:space="preserve">size_m</t>
  </si>
  <si>
    <t xml:space="preserve">BACKHOE LOADER</t>
  </si>
  <si>
    <t xml:space="preserve">BOB CAT</t>
  </si>
  <si>
    <t xml:space="preserve">LB-22</t>
  </si>
  <si>
    <t xml:space="preserve">B760</t>
  </si>
  <si>
    <t xml:space="preserve">2021</t>
  </si>
  <si>
    <t xml:space="preserve">ZB-2586</t>
  </si>
  <si>
    <t xml:space="preserve">LB-23</t>
  </si>
  <si>
    <t xml:space="preserve">ZB-2587</t>
  </si>
  <si>
    <t xml:space="preserve">LB-24</t>
  </si>
  <si>
    <t xml:space="preserve">ZB-2583</t>
  </si>
  <si>
    <t xml:space="preserve">J.C.B</t>
  </si>
  <si>
    <t xml:space="preserve">LB-16</t>
  </si>
  <si>
    <t xml:space="preserve">3DX</t>
  </si>
  <si>
    <t xml:space="preserve">2020</t>
  </si>
  <si>
    <t xml:space="preserve">ZB-1547</t>
  </si>
  <si>
    <t xml:space="preserve">JCB</t>
  </si>
  <si>
    <t xml:space="preserve">LB-02</t>
  </si>
  <si>
    <t xml:space="preserve">2012</t>
  </si>
  <si>
    <t xml:space="preserve">ZA-2963</t>
  </si>
  <si>
    <t xml:space="preserve">LB-03</t>
  </si>
  <si>
    <t xml:space="preserve">ZA-2964</t>
  </si>
  <si>
    <t xml:space="preserve">LB-09</t>
  </si>
  <si>
    <t xml:space="preserve">2015</t>
  </si>
  <si>
    <t xml:space="preserve">ZA-6069</t>
  </si>
  <si>
    <t xml:space="preserve">LB-11</t>
  </si>
  <si>
    <t xml:space="preserve">2016</t>
  </si>
  <si>
    <t xml:space="preserve">ZA-7092</t>
  </si>
  <si>
    <t xml:space="preserve">LB-13</t>
  </si>
  <si>
    <t xml:space="preserve">ZA-7965</t>
  </si>
  <si>
    <t xml:space="preserve">LB-15</t>
  </si>
  <si>
    <t xml:space="preserve">570ST</t>
  </si>
  <si>
    <t xml:space="preserve">2019</t>
  </si>
  <si>
    <t xml:space="preserve">ZB-1047</t>
  </si>
  <si>
    <t xml:space="preserve">LB-10</t>
  </si>
  <si>
    <t xml:space="preserve">JCB 3DX</t>
  </si>
  <si>
    <t xml:space="preserve">ZA-7034</t>
  </si>
  <si>
    <t xml:space="preserve">LB-14</t>
  </si>
  <si>
    <t xml:space="preserve">ZA-7968</t>
  </si>
  <si>
    <t xml:space="preserve">LB-12</t>
  </si>
  <si>
    <t xml:space="preserve">ZA-8337</t>
  </si>
  <si>
    <t xml:space="preserve">LB-17</t>
  </si>
  <si>
    <t xml:space="preserve">ZB-1546</t>
  </si>
  <si>
    <t xml:space="preserve">LB-18</t>
  </si>
  <si>
    <t xml:space="preserve">ZB-1548</t>
  </si>
  <si>
    <t xml:space="preserve">LB-08</t>
  </si>
  <si>
    <t xml:space="preserve">ZA-6068</t>
  </si>
  <si>
    <t xml:space="preserve">LB-19</t>
  </si>
  <si>
    <t xml:space="preserve">ZB-1978</t>
  </si>
  <si>
    <t xml:space="preserve">LB-01</t>
  </si>
  <si>
    <t xml:space="preserve">ZA-2609</t>
  </si>
  <si>
    <t xml:space="preserve">LB-20</t>
  </si>
  <si>
    <t xml:space="preserve">ZB-1979</t>
  </si>
  <si>
    <t xml:space="preserve">LB-21</t>
  </si>
  <si>
    <t xml:space="preserve">ZB-1980</t>
  </si>
  <si>
    <t xml:space="preserve">LB-05</t>
  </si>
  <si>
    <t xml:space="preserve">2006</t>
  </si>
  <si>
    <t xml:space="preserve">RS-0483</t>
  </si>
  <si>
    <t xml:space="preserve">age factor 72%</t>
  </si>
  <si>
    <t xml:space="preserve">LB-07</t>
  </si>
  <si>
    <t xml:space="preserve">JCB 3CX</t>
  </si>
  <si>
    <t xml:space="preserve">2004</t>
  </si>
  <si>
    <t xml:space="preserve">ZA-2608</t>
  </si>
  <si>
    <t xml:space="preserve">age factor 65%</t>
  </si>
  <si>
    <t xml:space="preserve">LB-06</t>
  </si>
  <si>
    <t xml:space="preserve">3CX</t>
  </si>
  <si>
    <t xml:space="preserve">2002</t>
  </si>
  <si>
    <t xml:space="preserve">ZA-0447</t>
  </si>
  <si>
    <t xml:space="preserve">LB-04</t>
  </si>
  <si>
    <t xml:space="preserve">SLP3CX</t>
  </si>
  <si>
    <t xml:space="preserve">1999</t>
  </si>
  <si>
    <t xml:space="preserve">RS-0401</t>
  </si>
  <si>
    <t xml:space="preserve">age factor 57%</t>
  </si>
  <si>
    <t xml:space="preserve">WHEEL LOADER</t>
  </si>
  <si>
    <t xml:space="preserve">SHANTUI</t>
  </si>
  <si>
    <t xml:space="preserve">LD-09</t>
  </si>
  <si>
    <t xml:space="preserve">SL-50WN</t>
  </si>
  <si>
    <t xml:space="preserve">KOMATSU</t>
  </si>
  <si>
    <t xml:space="preserve">LD-07</t>
  </si>
  <si>
    <t xml:space="preserve">WA-80SS</t>
  </si>
  <si>
    <t xml:space="preserve">LD-05</t>
  </si>
  <si>
    <t xml:space="preserve">WA150</t>
  </si>
  <si>
    <t xml:space="preserve">2014</t>
  </si>
  <si>
    <t xml:space="preserve">SANTUI</t>
  </si>
  <si>
    <t xml:space="preserve">LD-08</t>
  </si>
  <si>
    <t xml:space="preserve">SL30W</t>
  </si>
  <si>
    <t xml:space="preserve">LD-04</t>
  </si>
  <si>
    <t xml:space="preserve">924F</t>
  </si>
  <si>
    <t xml:space="preserve">2013</t>
  </si>
  <si>
    <t xml:space="preserve">LD-06</t>
  </si>
  <si>
    <t xml:space="preserve">510</t>
  </si>
  <si>
    <t xml:space="preserve">ZA-3116</t>
  </si>
  <si>
    <t xml:space="preserve">LD-03</t>
  </si>
  <si>
    <t xml:space="preserve">WA100</t>
  </si>
  <si>
    <t xml:space="preserve">CAT</t>
  </si>
  <si>
    <t xml:space="preserve">LD-02</t>
  </si>
  <si>
    <t xml:space="preserve">CAT910</t>
  </si>
  <si>
    <t xml:space="preserve">2010</t>
  </si>
  <si>
    <t xml:space="preserve">LD-01</t>
  </si>
  <si>
    <t xml:space="preserve">910E</t>
  </si>
  <si>
    <t xml:space="preserve">2009</t>
  </si>
  <si>
    <t xml:space="preserve">TRUCK MIXER</t>
  </si>
  <si>
    <t xml:space="preserve">TATA</t>
  </si>
  <si>
    <t xml:space="preserve">TM-18</t>
  </si>
  <si>
    <t xml:space="preserve">LPK 1618</t>
  </si>
  <si>
    <t xml:space="preserve">2017</t>
  </si>
  <si>
    <t xml:space="preserve">ZA-8511</t>
  </si>
  <si>
    <t xml:space="preserve">TM-19</t>
  </si>
  <si>
    <t xml:space="preserve">LPK 2518</t>
  </si>
  <si>
    <t xml:space="preserve">ZA-8445</t>
  </si>
  <si>
    <t xml:space="preserve">TM-15</t>
  </si>
  <si>
    <t xml:space="preserve">ZA-7925</t>
  </si>
  <si>
    <t xml:space="preserve">ELCHER</t>
  </si>
  <si>
    <t xml:space="preserve">TM-11</t>
  </si>
  <si>
    <t xml:space="preserve">TERRA 16</t>
  </si>
  <si>
    <t xml:space="preserve">ZA-7291</t>
  </si>
  <si>
    <t xml:space="preserve">TM-12</t>
  </si>
  <si>
    <t xml:space="preserve">ZA-7290</t>
  </si>
  <si>
    <t xml:space="preserve">TM-14</t>
  </si>
  <si>
    <t xml:space="preserve">ZA-7810</t>
  </si>
  <si>
    <t xml:space="preserve">TM-16</t>
  </si>
  <si>
    <t xml:space="preserve">ZA-8033</t>
  </si>
  <si>
    <t xml:space="preserve">TM-21</t>
  </si>
  <si>
    <t xml:space="preserve">ZA-0050</t>
  </si>
  <si>
    <t xml:space="preserve">ASHOK LEYLAND</t>
  </si>
  <si>
    <t xml:space="preserve">TM-10</t>
  </si>
  <si>
    <t xml:space="preserve">TUSKER SUPER 1613</t>
  </si>
  <si>
    <t xml:space="preserve">ZA-6395</t>
  </si>
  <si>
    <t xml:space="preserve">MITSUBISHI</t>
  </si>
  <si>
    <t xml:space="preserve">TM-09</t>
  </si>
  <si>
    <t xml:space="preserve">KK-FE73EB CANTER</t>
  </si>
  <si>
    <t xml:space="preserve">2003</t>
  </si>
  <si>
    <t xml:space="preserve">ZA-6255</t>
  </si>
  <si>
    <t xml:space="preserve">ISUZU</t>
  </si>
  <si>
    <t xml:space="preserve">TM-04</t>
  </si>
  <si>
    <t xml:space="preserve">KK-NRR35C4 FORWARD</t>
  </si>
  <si>
    <t xml:space="preserve">2000</t>
  </si>
  <si>
    <t xml:space="preserve">LL-0690</t>
  </si>
  <si>
    <t xml:space="preserve">TM-03</t>
  </si>
  <si>
    <t xml:space="preserve">KC-NRR33C20</t>
  </si>
  <si>
    <t xml:space="preserve">1996</t>
  </si>
  <si>
    <t xml:space="preserve">LK-5047</t>
  </si>
  <si>
    <t xml:space="preserve">TM-08</t>
  </si>
  <si>
    <t xml:space="preserve">LJ-8055</t>
  </si>
  <si>
    <t xml:space="preserve">TM-01</t>
  </si>
  <si>
    <t xml:space="preserve">KC-FH217C</t>
  </si>
  <si>
    <t xml:space="preserve">LK-5048</t>
  </si>
  <si>
    <t xml:space="preserve">TM-05</t>
  </si>
  <si>
    <t xml:space="preserve">KC-FE517BN</t>
  </si>
  <si>
    <t xml:space="preserve">LH-5474</t>
  </si>
  <si>
    <t xml:space="preserve">TM-06</t>
  </si>
  <si>
    <t xml:space="preserve">U.FE315BN</t>
  </si>
  <si>
    <t xml:space="preserve">1991</t>
  </si>
  <si>
    <t xml:space="preserve">LH-5475</t>
  </si>
  <si>
    <t xml:space="preserve">SELF LOADER MIXER</t>
  </si>
  <si>
    <t xml:space="preserve">FIORI</t>
  </si>
  <si>
    <t xml:space="preserve">TM-20</t>
  </si>
  <si>
    <t xml:space="preserve">BF08H01307</t>
  </si>
  <si>
    <t xml:space="preserve">2018</t>
  </si>
  <si>
    <t xml:space="preserve">Fiori</t>
  </si>
  <si>
    <t xml:space="preserve">TM-13</t>
  </si>
  <si>
    <t xml:space="preserve">8FO8H01246</t>
  </si>
  <si>
    <t xml:space="preserve">TM-17</t>
  </si>
  <si>
    <t xml:space="preserve">8FO8H01252</t>
  </si>
  <si>
    <t xml:space="preserve">STATIC ROLLER</t>
  </si>
  <si>
    <t xml:space="preserve">DYNAPAC</t>
  </si>
  <si>
    <t xml:space="preserve">SR-17</t>
  </si>
  <si>
    <t xml:space="preserve">CC425</t>
  </si>
  <si>
    <t xml:space="preserve">SR-18</t>
  </si>
  <si>
    <t xml:space="preserve">CA30D</t>
  </si>
  <si>
    <t xml:space="preserve">SR-19</t>
  </si>
  <si>
    <t xml:space="preserve">CASE</t>
  </si>
  <si>
    <t xml:space="preserve">SR-08</t>
  </si>
  <si>
    <t xml:space="preserve">1107EXD</t>
  </si>
  <si>
    <t xml:space="preserve">MACADAM</t>
  </si>
  <si>
    <t xml:space="preserve">SR-15</t>
  </si>
  <si>
    <t xml:space="preserve">HAMM</t>
  </si>
  <si>
    <t xml:space="preserve">SR-12</t>
  </si>
  <si>
    <t xml:space="preserve">HAMM 311D</t>
  </si>
  <si>
    <t xml:space="preserve">SR-01</t>
  </si>
  <si>
    <t xml:space="preserve">—</t>
  </si>
  <si>
    <t xml:space="preserve">SAKAI</t>
  </si>
  <si>
    <t xml:space="preserve">SR-05</t>
  </si>
  <si>
    <t xml:space="preserve">SW-900</t>
  </si>
  <si>
    <t xml:space="preserve">(Unknown)</t>
  </si>
  <si>
    <t xml:space="preserve">SR-02</t>
  </si>
  <si>
    <t xml:space="preserve">R12</t>
  </si>
  <si>
    <t xml:space="preserve">SR-03</t>
  </si>
  <si>
    <t xml:space="preserve">SR-04</t>
  </si>
  <si>
    <t xml:space="preserve">IR</t>
  </si>
  <si>
    <t xml:space="preserve">SR-07</t>
  </si>
  <si>
    <t xml:space="preserve">2860-01</t>
  </si>
  <si>
    <t xml:space="preserve">SR-06</t>
  </si>
  <si>
    <t xml:space="preserve">SR-09</t>
  </si>
  <si>
    <t xml:space="preserve">year unknown → 58% factor</t>
  </si>
  <si>
    <t xml:space="preserve">SR-13</t>
  </si>
  <si>
    <t xml:space="preserve">CA250D</t>
  </si>
  <si>
    <t xml:space="preserve">SR-16</t>
  </si>
  <si>
    <t xml:space="preserve">SR-11</t>
  </si>
  <si>
    <t xml:space="preserve">SR-10</t>
  </si>
  <si>
    <t xml:space="preserve">SR-14</t>
  </si>
  <si>
    <t xml:space="preserve">R2V</t>
  </si>
  <si>
    <t xml:space="preserve">VIBRATING ROLLER</t>
  </si>
  <si>
    <t xml:space="preserve">VR-01</t>
  </si>
  <si>
    <t xml:space="preserve">VR-02</t>
  </si>
  <si>
    <t xml:space="preserve">SL203468</t>
  </si>
  <si>
    <t xml:space="preserve">VR-03</t>
  </si>
  <si>
    <t xml:space="preserve">BOMAG</t>
  </si>
  <si>
    <t xml:space="preserve">VR-14</t>
  </si>
  <si>
    <t xml:space="preserve">BW-138 AD</t>
  </si>
  <si>
    <t xml:space="preserve">VR-18</t>
  </si>
  <si>
    <t xml:space="preserve">SA-00-350</t>
  </si>
  <si>
    <t xml:space="preserve">VR-31</t>
  </si>
  <si>
    <t xml:space="preserve">BW 75 H</t>
  </si>
  <si>
    <t xml:space="preserve">TACOM</t>
  </si>
  <si>
    <t xml:space="preserve">VR-30</t>
  </si>
  <si>
    <t xml:space="preserve">TFR60TDS</t>
  </si>
  <si>
    <t xml:space="preserve">VR-32</t>
  </si>
  <si>
    <t xml:space="preserve">VR-69</t>
  </si>
  <si>
    <t xml:space="preserve">VR-04</t>
  </si>
  <si>
    <t xml:space="preserve">VR-28</t>
  </si>
  <si>
    <t xml:space="preserve">VR-29</t>
  </si>
  <si>
    <t xml:space="preserve">VR-27</t>
  </si>
  <si>
    <t xml:space="preserve">VR-21</t>
  </si>
  <si>
    <t xml:space="preserve">VR-05</t>
  </si>
  <si>
    <t xml:space="preserve">VR-06</t>
  </si>
  <si>
    <t xml:space="preserve">VR-10</t>
  </si>
  <si>
    <t xml:space="preserve">BW 138 AD-05</t>
  </si>
  <si>
    <t xml:space="preserve">VR-70</t>
  </si>
  <si>
    <t xml:space="preserve">VR-24</t>
  </si>
  <si>
    <t xml:space="preserve">VR-71</t>
  </si>
  <si>
    <t xml:space="preserve">VR-07</t>
  </si>
  <si>
    <t xml:space="preserve">1650NK0285</t>
  </si>
  <si>
    <t xml:space="preserve">VR-09</t>
  </si>
  <si>
    <t xml:space="preserve">CC142 II</t>
  </si>
  <si>
    <t xml:space="preserve">VR-11</t>
  </si>
  <si>
    <t xml:space="preserve">CC1300</t>
  </si>
  <si>
    <t xml:space="preserve">VR-20</t>
  </si>
  <si>
    <t xml:space="preserve">SW-300</t>
  </si>
  <si>
    <t xml:space="preserve">ATLAS</t>
  </si>
  <si>
    <t xml:space="preserve">VR-08</t>
  </si>
  <si>
    <t xml:space="preserve">VR-12</t>
  </si>
  <si>
    <t xml:space="preserve">VR-13</t>
  </si>
  <si>
    <t xml:space="preserve">VR-15</t>
  </si>
  <si>
    <t xml:space="preserve">VR-16</t>
  </si>
  <si>
    <t xml:space="preserve">VR-17</t>
  </si>
  <si>
    <t xml:space="preserve">VR-19</t>
  </si>
  <si>
    <t xml:space="preserve">VR-22</t>
  </si>
  <si>
    <t xml:space="preserve">VR-23</t>
  </si>
  <si>
    <t xml:space="preserve">VR-25</t>
  </si>
  <si>
    <t xml:space="preserve">VR-26</t>
  </si>
  <si>
    <t xml:space="preserve">VR-33</t>
  </si>
  <si>
    <t xml:space="preserve">VR-34</t>
  </si>
  <si>
    <t xml:space="preserve">VR-35</t>
  </si>
  <si>
    <t xml:space="preserve">VR-36</t>
  </si>
  <si>
    <t xml:space="preserve">VR-37</t>
  </si>
  <si>
    <t xml:space="preserve">VR-38</t>
  </si>
  <si>
    <t xml:space="preserve">VR-39</t>
  </si>
  <si>
    <t xml:space="preserve">VR-40</t>
  </si>
  <si>
    <t xml:space="preserve">VR-41</t>
  </si>
  <si>
    <t xml:space="preserve">VR-42</t>
  </si>
  <si>
    <t xml:space="preserve">VR-43</t>
  </si>
  <si>
    <t xml:space="preserve">VR-46</t>
  </si>
  <si>
    <t xml:space="preserve">VR-47</t>
  </si>
  <si>
    <t xml:space="preserve">VR-48</t>
  </si>
  <si>
    <t xml:space="preserve">VR-49</t>
  </si>
  <si>
    <t xml:space="preserve">VR-50</t>
  </si>
  <si>
    <t xml:space="preserve">VR-51</t>
  </si>
  <si>
    <t xml:space="preserve">VR-52</t>
  </si>
  <si>
    <t xml:space="preserve">VR-53</t>
  </si>
  <si>
    <t xml:space="preserve">VR-54</t>
  </si>
  <si>
    <t xml:space="preserve">VR-55</t>
  </si>
  <si>
    <t xml:space="preserve">VR-56</t>
  </si>
  <si>
    <t xml:space="preserve">CC-1250</t>
  </si>
  <si>
    <t xml:space="preserve">VR-57</t>
  </si>
  <si>
    <t xml:space="preserve">VR-58</t>
  </si>
  <si>
    <t xml:space="preserve">VR-59</t>
  </si>
  <si>
    <t xml:space="preserve">VR-60</t>
  </si>
  <si>
    <t xml:space="preserve">VR-61</t>
  </si>
  <si>
    <t xml:space="preserve">VR-62</t>
  </si>
  <si>
    <t xml:space="preserve">VR-63</t>
  </si>
  <si>
    <t xml:space="preserve">VR-64</t>
  </si>
  <si>
    <t xml:space="preserve">VR-65</t>
  </si>
  <si>
    <t xml:space="preserve">VR-66</t>
  </si>
  <si>
    <t xml:space="preserve">VR-67</t>
  </si>
  <si>
    <t xml:space="preserve">VR-44</t>
  </si>
  <si>
    <t xml:space="preserve">CB-504C</t>
  </si>
  <si>
    <t xml:space="preserve">VR-68</t>
  </si>
  <si>
    <t xml:space="preserve">VR-45</t>
  </si>
  <si>
    <t xml:space="preserve">TW-41</t>
  </si>
  <si>
    <t xml:space="preserve">PNEUMATIC ROLLER</t>
  </si>
  <si>
    <t xml:space="preserve">PTR-03</t>
  </si>
  <si>
    <t xml:space="preserve">PTR-04</t>
  </si>
  <si>
    <t xml:space="preserve">CP-201W</t>
  </si>
  <si>
    <t xml:space="preserve">PTR-05</t>
  </si>
  <si>
    <t xml:space="preserve">FURUKAWA</t>
  </si>
  <si>
    <t xml:space="preserve">PTR-07</t>
  </si>
  <si>
    <t xml:space="preserve">FT-20W</t>
  </si>
  <si>
    <t xml:space="preserve">KAWASAKI</t>
  </si>
  <si>
    <t xml:space="preserve">PTR-01</t>
  </si>
  <si>
    <t xml:space="preserve">KR-20 D</t>
  </si>
  <si>
    <t xml:space="preserve">KTDTO</t>
  </si>
  <si>
    <t xml:space="preserve">PTR-06</t>
  </si>
  <si>
    <t xml:space="preserve">RT-200W</t>
  </si>
  <si>
    <t xml:space="preserve">PTR-02</t>
  </si>
  <si>
    <t xml:space="preserve">6BD1LJ-01</t>
  </si>
  <si>
    <t xml:space="preserve">PTR-09</t>
  </si>
  <si>
    <t xml:space="preserve">C200</t>
  </si>
  <si>
    <t xml:space="preserve">PTR-10</t>
  </si>
  <si>
    <t xml:space="preserve">TS200</t>
  </si>
  <si>
    <t xml:space="preserve">1990</t>
  </si>
  <si>
    <t xml:space="preserve">PTR-08</t>
  </si>
  <si>
    <t xml:space="preserve">J.W 200</t>
  </si>
  <si>
    <t xml:space="preserve">MOTOR GRADER</t>
  </si>
  <si>
    <t xml:space="preserve">SANY</t>
  </si>
  <si>
    <t xml:space="preserve">MG-12</t>
  </si>
  <si>
    <t xml:space="preserve">STG170C-8</t>
  </si>
  <si>
    <t xml:space="preserve">ZB-2564</t>
  </si>
  <si>
    <t xml:space="preserve">MG-13</t>
  </si>
  <si>
    <t xml:space="preserve">STG170C-9</t>
  </si>
  <si>
    <t xml:space="preserve">ZB-2585</t>
  </si>
  <si>
    <t xml:space="preserve">MG-09</t>
  </si>
  <si>
    <t xml:space="preserve">ZB-2562</t>
  </si>
  <si>
    <t xml:space="preserve">MG-08</t>
  </si>
  <si>
    <t xml:space="preserve">ZB-2561</t>
  </si>
  <si>
    <t xml:space="preserve">MG-10</t>
  </si>
  <si>
    <t xml:space="preserve">ZB-2559</t>
  </si>
  <si>
    <t xml:space="preserve">MG-14</t>
  </si>
  <si>
    <t xml:space="preserve">2GB00258</t>
  </si>
  <si>
    <t xml:space="preserve">MG-15</t>
  </si>
  <si>
    <t xml:space="preserve">2GB01241</t>
  </si>
  <si>
    <t xml:space="preserve">2008</t>
  </si>
  <si>
    <t xml:space="preserve">MG-01</t>
  </si>
  <si>
    <t xml:space="preserve">MG-02</t>
  </si>
  <si>
    <t xml:space="preserve">CATERPILLER</t>
  </si>
  <si>
    <t xml:space="preserve">MG-16</t>
  </si>
  <si>
    <t xml:space="preserve">*CAT0140HC5HM03479*</t>
  </si>
  <si>
    <t xml:space="preserve">MG-04</t>
  </si>
  <si>
    <t xml:space="preserve">MG-05</t>
  </si>
  <si>
    <t xml:space="preserve">2501</t>
  </si>
  <si>
    <t xml:space="preserve">MG-07</t>
  </si>
  <si>
    <t xml:space="preserve">ZA-4344</t>
  </si>
  <si>
    <t xml:space="preserve">MITSUBHISHI</t>
  </si>
  <si>
    <t xml:space="preserve">MG-11</t>
  </si>
  <si>
    <t xml:space="preserve">MG 230</t>
  </si>
  <si>
    <t xml:space="preserve">MG-03</t>
  </si>
  <si>
    <t xml:space="preserve">452-65-147</t>
  </si>
  <si>
    <t xml:space="preserve">MG-06</t>
  </si>
  <si>
    <t xml:space="preserve">320-11-21GD</t>
  </si>
  <si>
    <t xml:space="preserve">SKID STEER</t>
  </si>
  <si>
    <t xml:space="preserve">SL-21</t>
  </si>
  <si>
    <t xml:space="preserve">S-450</t>
  </si>
  <si>
    <t xml:space="preserve">BOB CAT S450</t>
  </si>
  <si>
    <t xml:space="preserve">SL-10</t>
  </si>
  <si>
    <t xml:space="preserve">SL-13</t>
  </si>
  <si>
    <t xml:space="preserve">SL-24</t>
  </si>
  <si>
    <t xml:space="preserve">S-16</t>
  </si>
  <si>
    <t xml:space="preserve">SL-14</t>
  </si>
  <si>
    <t xml:space="preserve">SL-20</t>
  </si>
  <si>
    <t xml:space="preserve">SL-01</t>
  </si>
  <si>
    <t xml:space="preserve">SL-03</t>
  </si>
  <si>
    <t xml:space="preserve">SL-04</t>
  </si>
  <si>
    <t xml:space="preserve">SL-05</t>
  </si>
  <si>
    <t xml:space="preserve">SL-11</t>
  </si>
  <si>
    <t xml:space="preserve">SL-15</t>
  </si>
  <si>
    <t xml:space="preserve">SL-16</t>
  </si>
  <si>
    <t xml:space="preserve">SL-17</t>
  </si>
  <si>
    <t xml:space="preserve">SL-06</t>
  </si>
  <si>
    <t xml:space="preserve">SL-08</t>
  </si>
  <si>
    <t xml:space="preserve">216B3</t>
  </si>
  <si>
    <t xml:space="preserve">SL-12</t>
  </si>
  <si>
    <t xml:space="preserve">SL-18</t>
  </si>
  <si>
    <t xml:space="preserve">SL-22</t>
  </si>
  <si>
    <t xml:space="preserve">SL-23</t>
  </si>
  <si>
    <t xml:space="preserve">SL-19</t>
  </si>
  <si>
    <t xml:space="preserve">S770</t>
  </si>
  <si>
    <t xml:space="preserve">SL-07</t>
  </si>
  <si>
    <t xml:space="preserve">SL-02</t>
  </si>
  <si>
    <t xml:space="preserve">S130</t>
  </si>
  <si>
    <t xml:space="preserve">SL-25</t>
  </si>
  <si>
    <t xml:space="preserve">SL-09</t>
  </si>
  <si>
    <t xml:space="preserve">ASPHALT PAVER</t>
  </si>
  <si>
    <t xml:space="preserve">AP-10</t>
  </si>
  <si>
    <t xml:space="preserve">SD2500C</t>
  </si>
  <si>
    <t xml:space="preserve">VOLVO</t>
  </si>
  <si>
    <t xml:space="preserve">AP-08</t>
  </si>
  <si>
    <t xml:space="preserve">P6820C</t>
  </si>
  <si>
    <t xml:space="preserve">AP-03</t>
  </si>
  <si>
    <t xml:space="preserve">MF-55WH</t>
  </si>
  <si>
    <t xml:space="preserve">AP-04</t>
  </si>
  <si>
    <t xml:space="preserve">MF60WD</t>
  </si>
  <si>
    <t xml:space="preserve">AP-02</t>
  </si>
  <si>
    <t xml:space="preserve">MF40WH</t>
  </si>
  <si>
    <t xml:space="preserve">NIGATA</t>
  </si>
  <si>
    <t xml:space="preserve">AP-05</t>
  </si>
  <si>
    <t xml:space="preserve">SUMITOMO</t>
  </si>
  <si>
    <t xml:space="preserve">AP-01</t>
  </si>
  <si>
    <t xml:space="preserve">HA45C-2065</t>
  </si>
  <si>
    <t xml:space="preserve">AP-09</t>
  </si>
  <si>
    <t xml:space="preserve">HA60W-7</t>
  </si>
  <si>
    <t xml:space="preserve">AP-11</t>
  </si>
  <si>
    <t xml:space="preserve">HA60W-5</t>
  </si>
  <si>
    <t xml:space="preserve">AP-06</t>
  </si>
  <si>
    <t xml:space="preserve">AP-07</t>
  </si>
  <si>
    <t xml:space="preserve">BITUMEN BOWSER</t>
  </si>
  <si>
    <t xml:space="preserve">DFAC</t>
  </si>
  <si>
    <t xml:space="preserve">BS-05</t>
  </si>
  <si>
    <t xml:space="preserve">EQ1110SJ8BDC</t>
  </si>
  <si>
    <t xml:space="preserve">ZB-1469</t>
  </si>
  <si>
    <t xml:space="preserve">BS-02</t>
  </si>
  <si>
    <t xml:space="preserve">LPT 709</t>
  </si>
  <si>
    <t xml:space="preserve">LL-0623</t>
  </si>
  <si>
    <t xml:space="preserve">FOTON</t>
  </si>
  <si>
    <t xml:space="preserve">BS-04</t>
  </si>
  <si>
    <t xml:space="preserve">BJ1056R</t>
  </si>
  <si>
    <t xml:space="preserve">LM-2298</t>
  </si>
  <si>
    <t xml:space="preserve">BS-01</t>
  </si>
  <si>
    <t xml:space="preserve">COMET SUPER</t>
  </si>
  <si>
    <t xml:space="preserve">1992</t>
  </si>
  <si>
    <t xml:space="preserve">43-3416</t>
  </si>
  <si>
    <t xml:space="preserve">MOBILE CRANE</t>
  </si>
  <si>
    <t xml:space="preserve">TADANO</t>
  </si>
  <si>
    <t xml:space="preserve">CR-01</t>
  </si>
  <si>
    <t xml:space="preserve">TR-350M-3-00101</t>
  </si>
  <si>
    <t xml:space="preserve">1998</t>
  </si>
  <si>
    <t xml:space="preserve">ZA-8395</t>
  </si>
  <si>
    <t xml:space="preserve">KOBELCO</t>
  </si>
  <si>
    <t xml:space="preserve">CR-02</t>
  </si>
  <si>
    <t xml:space="preserve">RK 250</t>
  </si>
  <si>
    <t xml:space="preserve">1995</t>
  </si>
  <si>
    <t xml:space="preserve">ZA-9716</t>
  </si>
  <si>
    <t xml:space="preserve">BOOM TRUCK</t>
  </si>
  <si>
    <t xml:space="preserve">BM-02</t>
  </si>
  <si>
    <t xml:space="preserve">LPT1613</t>
  </si>
  <si>
    <t xml:space="preserve">LC-0434</t>
  </si>
  <si>
    <t xml:space="preserve">BM-03</t>
  </si>
  <si>
    <t xml:space="preserve">PJ.CYZ51V5.OIOA</t>
  </si>
  <si>
    <t xml:space="preserve">2005</t>
  </si>
  <si>
    <t xml:space="preserve">LN-8277</t>
  </si>
  <si>
    <t xml:space="preserve">BM-04</t>
  </si>
  <si>
    <t xml:space="preserve">KL.FSR34LARFORWARD</t>
  </si>
  <si>
    <t xml:space="preserve">LN-8278</t>
  </si>
  <si>
    <t xml:space="preserve">FREIGHT ROVER</t>
  </si>
  <si>
    <t xml:space="preserve">BM-01</t>
  </si>
  <si>
    <t xml:space="preserve">48-4849</t>
  </si>
  <si>
    <t xml:space="preserve">PRIME MOVER / BED</t>
  </si>
  <si>
    <t xml:space="preserve">ASHOK LELAND</t>
  </si>
  <si>
    <t xml:space="preserve">BD-05</t>
  </si>
  <si>
    <t xml:space="preserve">TAURUS 2518</t>
  </si>
  <si>
    <t xml:space="preserve">LM-6653</t>
  </si>
  <si>
    <t xml:space="preserve">RENAULT</t>
  </si>
  <si>
    <t xml:space="preserve">BD-04</t>
  </si>
  <si>
    <t xml:space="preserve">PREMIUM</t>
  </si>
  <si>
    <t xml:space="preserve">LY-4524</t>
  </si>
  <si>
    <t xml:space="preserve">BD-03</t>
  </si>
  <si>
    <t xml:space="preserve">LPS4018</t>
  </si>
  <si>
    <t xml:space="preserve">2011</t>
  </si>
  <si>
    <t xml:space="preserve">LY-1614</t>
  </si>
  <si>
    <t xml:space="preserve">BM-05</t>
  </si>
  <si>
    <t xml:space="preserve">LPT2516</t>
  </si>
  <si>
    <t xml:space="preserve">LK-5041</t>
  </si>
  <si>
    <t xml:space="preserve">HINO</t>
  </si>
  <si>
    <t xml:space="preserve">BD-08</t>
  </si>
  <si>
    <t xml:space="preserve">PROFLA</t>
  </si>
  <si>
    <t xml:space="preserve">LN-8279</t>
  </si>
  <si>
    <t xml:space="preserve">BD-06</t>
  </si>
  <si>
    <t xml:space="preserve">CAROO 709</t>
  </si>
  <si>
    <t xml:space="preserve">325-5120</t>
  </si>
  <si>
    <t xml:space="preserve">BD-02</t>
  </si>
  <si>
    <t xml:space="preserve">GL-0019</t>
  </si>
  <si>
    <t xml:space="preserve">BD-01</t>
  </si>
  <si>
    <t xml:space="preserve">GIGA</t>
  </si>
  <si>
    <t xml:space="preserve">LL-1782</t>
  </si>
  <si>
    <t xml:space="preserve">PUMP TRUCK (CONCRETE)</t>
  </si>
  <si>
    <t xml:space="preserve">PC-02</t>
  </si>
  <si>
    <t xml:space="preserve">LZZ1BCKH2KW579978</t>
  </si>
  <si>
    <t xml:space="preserve">ZB-1496</t>
  </si>
  <si>
    <t xml:space="preserve">PC-01</t>
  </si>
  <si>
    <t xml:space="preserve">FS1EWY</t>
  </si>
  <si>
    <t xml:space="preserve">ZA-8373</t>
  </si>
  <si>
    <t xml:space="preserve">DOUBLE CAB (PICKUP)</t>
  </si>
  <si>
    <t xml:space="preserve">TOYOTA</t>
  </si>
  <si>
    <t xml:space="preserve">DC-25</t>
  </si>
  <si>
    <t xml:space="preserve">HILUX</t>
  </si>
  <si>
    <t xml:space="preserve">PJ-5688</t>
  </si>
  <si>
    <t xml:space="preserve">DC-27</t>
  </si>
  <si>
    <t xml:space="preserve">PJ-7605</t>
  </si>
  <si>
    <t xml:space="preserve">DC-28</t>
  </si>
  <si>
    <t xml:space="preserve">PJ-7606</t>
  </si>
  <si>
    <t xml:space="preserve">DC-29</t>
  </si>
  <si>
    <t xml:space="preserve">PJ-7598</t>
  </si>
  <si>
    <t xml:space="preserve">DC-30</t>
  </si>
  <si>
    <t xml:space="preserve">PJ-7601</t>
  </si>
  <si>
    <t xml:space="preserve">DC-26</t>
  </si>
  <si>
    <t xml:space="preserve">PJ-7604</t>
  </si>
  <si>
    <t xml:space="preserve">DC-31</t>
  </si>
  <si>
    <t xml:space="preserve">HILUX CUN126R DTTLH</t>
  </si>
  <si>
    <t xml:space="preserve">PI-3982</t>
  </si>
  <si>
    <t xml:space="preserve">DC-32</t>
  </si>
  <si>
    <t xml:space="preserve">PH-9072</t>
  </si>
  <si>
    <t xml:space="preserve">MAHINDRA</t>
  </si>
  <si>
    <t xml:space="preserve">DC-21</t>
  </si>
  <si>
    <t xml:space="preserve">IMPERIO DCVX</t>
  </si>
  <si>
    <t xml:space="preserve">PH-3945</t>
  </si>
  <si>
    <t xml:space="preserve">DC-20</t>
  </si>
  <si>
    <t xml:space="preserve">BOLERO CAMPER GOLD</t>
  </si>
  <si>
    <t xml:space="preserve">PH-0765</t>
  </si>
  <si>
    <t xml:space="preserve">DC-22</t>
  </si>
  <si>
    <t xml:space="preserve">PE-3911</t>
  </si>
  <si>
    <t xml:space="preserve">DC-14</t>
  </si>
  <si>
    <t xml:space="preserve">PD-6917</t>
  </si>
  <si>
    <t xml:space="preserve">DC-15</t>
  </si>
  <si>
    <t xml:space="preserve">L 200</t>
  </si>
  <si>
    <t xml:space="preserve">PE-6582</t>
  </si>
  <si>
    <t xml:space="preserve">DC-18</t>
  </si>
  <si>
    <t xml:space="preserve">HILUX VIGO</t>
  </si>
  <si>
    <t xml:space="preserve">PE-5879</t>
  </si>
  <si>
    <t xml:space="preserve">DC-19</t>
  </si>
  <si>
    <t xml:space="preserve">2007</t>
  </si>
  <si>
    <t xml:space="preserve">PD-8451</t>
  </si>
  <si>
    <t xml:space="preserve">DC-23</t>
  </si>
  <si>
    <t xml:space="preserve">PD-4739</t>
  </si>
  <si>
    <t xml:space="preserve">DC-24</t>
  </si>
  <si>
    <t xml:space="preserve">HILUX HL2 D-4D 4*4</t>
  </si>
  <si>
    <t xml:space="preserve">PC-7812</t>
  </si>
  <si>
    <t xml:space="preserve">DC-06</t>
  </si>
  <si>
    <t xml:space="preserve">PA-4193</t>
  </si>
  <si>
    <t xml:space="preserve">VOLKSWAGON</t>
  </si>
  <si>
    <t xml:space="preserve">DC-16</t>
  </si>
  <si>
    <t xml:space="preserve">T5 TRANSPORTER</t>
  </si>
  <si>
    <t xml:space="preserve">PA-4102</t>
  </si>
  <si>
    <t xml:space="preserve">DC-11</t>
  </si>
  <si>
    <t xml:space="preserve">HU-5097</t>
  </si>
  <si>
    <t xml:space="preserve">DC-12</t>
  </si>
  <si>
    <t xml:space="preserve">MOTOR PIC-UP</t>
  </si>
  <si>
    <t xml:space="preserve">253-2574</t>
  </si>
  <si>
    <t xml:space="preserve">DC-08</t>
  </si>
  <si>
    <t xml:space="preserve">1997</t>
  </si>
  <si>
    <t xml:space="preserve">59-5421</t>
  </si>
  <si>
    <t xml:space="preserve">DATZEN</t>
  </si>
  <si>
    <t xml:space="preserve">DC-10</t>
  </si>
  <si>
    <t xml:space="preserve">1985</t>
  </si>
  <si>
    <t xml:space="preserve">28-4314</t>
  </si>
  <si>
    <t xml:space="preserve">DC-07</t>
  </si>
  <si>
    <t xml:space="preserve">51-8083</t>
  </si>
  <si>
    <t xml:space="preserve">VAN</t>
  </si>
  <si>
    <t xml:space="preserve">KDH200V</t>
  </si>
  <si>
    <t xml:space="preserve">PE-7986</t>
  </si>
  <si>
    <t xml:space="preserve">TOYOTA TOWNACE</t>
  </si>
  <si>
    <t xml:space="preserve">1989</t>
  </si>
  <si>
    <t xml:space="preserve">54-7084</t>
  </si>
  <si>
    <t xml:space="preserve">PV-01</t>
  </si>
  <si>
    <t xml:space="preserve">LITEACE</t>
  </si>
  <si>
    <t xml:space="preserve">1987</t>
  </si>
  <si>
    <t xml:space="preserve">51-7158</t>
  </si>
  <si>
    <t xml:space="preserve">CREW CAB</t>
  </si>
  <si>
    <t xml:space="preserve">JMC</t>
  </si>
  <si>
    <t xml:space="preserve">HCC-09</t>
  </si>
  <si>
    <t xml:space="preserve">JX1032DSR</t>
  </si>
  <si>
    <t xml:space="preserve">PJ-6376</t>
  </si>
  <si>
    <t xml:space="preserve">HCC-11</t>
  </si>
  <si>
    <t xml:space="preserve">PR75KJ7104331</t>
  </si>
  <si>
    <t xml:space="preserve">LO-9810</t>
  </si>
  <si>
    <t xml:space="preserve">HCC-08</t>
  </si>
  <si>
    <t xml:space="preserve">1X1041DSLA2RS</t>
  </si>
  <si>
    <t xml:space="preserve">LN-1867</t>
  </si>
  <si>
    <t xml:space="preserve">HCC-05</t>
  </si>
  <si>
    <t xml:space="preserve">PH-6742</t>
  </si>
  <si>
    <t xml:space="preserve">HCC-06</t>
  </si>
  <si>
    <t xml:space="preserve">PH-6744</t>
  </si>
  <si>
    <t xml:space="preserve">HCC-07</t>
  </si>
  <si>
    <t xml:space="preserve">PH-6747</t>
  </si>
  <si>
    <t xml:space="preserve">HCC-01</t>
  </si>
  <si>
    <t xml:space="preserve">KO-LY132</t>
  </si>
  <si>
    <t xml:space="preserve">PA-4879</t>
  </si>
  <si>
    <t xml:space="preserve">HCC-02</t>
  </si>
  <si>
    <t xml:space="preserve">KC-LY101</t>
  </si>
  <si>
    <t xml:space="preserve">PA-6398</t>
  </si>
  <si>
    <t xml:space="preserve">HCC-03</t>
  </si>
  <si>
    <t xml:space="preserve">KC-LY111</t>
  </si>
  <si>
    <t xml:space="preserve">PA-6399</t>
  </si>
  <si>
    <t xml:space="preserve">DATSUN</t>
  </si>
  <si>
    <t xml:space="preserve">HCC-10</t>
  </si>
  <si>
    <t xml:space="preserve">AGY720-921207</t>
  </si>
  <si>
    <t xml:space="preserve">1984</t>
  </si>
  <si>
    <t xml:space="preserve">40-8060</t>
  </si>
  <si>
    <t xml:space="preserve">HCC-04</t>
  </si>
  <si>
    <t xml:space="preserve">BU19</t>
  </si>
  <si>
    <t xml:space="preserve">1973</t>
  </si>
  <si>
    <t xml:space="preserve">325-3448</t>
  </si>
  <si>
    <t xml:space="preserve">SINGLE CAB</t>
  </si>
  <si>
    <t xml:space="preserve">SC-10</t>
  </si>
  <si>
    <t xml:space="preserve">BMT PLUS MTI</t>
  </si>
  <si>
    <t xml:space="preserve">DAH-2228</t>
  </si>
  <si>
    <t xml:space="preserve">SC-11</t>
  </si>
  <si>
    <t xml:space="preserve">DAH-2229</t>
  </si>
  <si>
    <t xml:space="preserve">SC-12</t>
  </si>
  <si>
    <t xml:space="preserve">DAH-2230</t>
  </si>
  <si>
    <t xml:space="preserve">SC-13</t>
  </si>
  <si>
    <t xml:space="preserve">DAH-2231</t>
  </si>
  <si>
    <t xml:space="preserve">SC-14</t>
  </si>
  <si>
    <t xml:space="preserve">YODHA BSIV</t>
  </si>
  <si>
    <t xml:space="preserve">DAH-2491</t>
  </si>
  <si>
    <t xml:space="preserve">SC-06</t>
  </si>
  <si>
    <t xml:space="preserve">207 RX PICKUP</t>
  </si>
  <si>
    <t xml:space="preserve">PY-2408</t>
  </si>
  <si>
    <t xml:space="preserve">DFSK</t>
  </si>
  <si>
    <t xml:space="preserve">SC-07</t>
  </si>
  <si>
    <t xml:space="preserve">EQ1020DR</t>
  </si>
  <si>
    <t xml:space="preserve">PX-2180</t>
  </si>
  <si>
    <t xml:space="preserve">SC-04</t>
  </si>
  <si>
    <t xml:space="preserve">207DI/28</t>
  </si>
  <si>
    <t xml:space="preserve">PT-1569</t>
  </si>
  <si>
    <t xml:space="preserve">SC-09</t>
  </si>
  <si>
    <t xml:space="preserve">PR-1469</t>
  </si>
  <si>
    <t xml:space="preserve">SC-08</t>
  </si>
  <si>
    <t xml:space="preserve">ACE</t>
  </si>
  <si>
    <t xml:space="preserve">PR-1504</t>
  </si>
  <si>
    <t xml:space="preserve">SC-15</t>
  </si>
  <si>
    <t xml:space="preserve">47-5112</t>
  </si>
  <si>
    <t xml:space="preserve">SC-02</t>
  </si>
  <si>
    <t xml:space="preserve">207 DI</t>
  </si>
  <si>
    <t xml:space="preserve">LB-4824</t>
  </si>
  <si>
    <t xml:space="preserve">SC-05</t>
  </si>
  <si>
    <t xml:space="preserve">PV-6889</t>
  </si>
  <si>
    <t xml:space="preserve">DUMP TRUCK (TIPPER)</t>
  </si>
  <si>
    <t xml:space="preserve">DT-61</t>
  </si>
  <si>
    <t xml:space="preserve">LPK1618</t>
  </si>
  <si>
    <t xml:space="preserve">LP-1581</t>
  </si>
  <si>
    <t xml:space="preserve">DT-08</t>
  </si>
  <si>
    <t xml:space="preserve">LI-7620</t>
  </si>
  <si>
    <t xml:space="preserve">DT-09</t>
  </si>
  <si>
    <t xml:space="preserve">LI-7701</t>
  </si>
  <si>
    <t xml:space="preserve">DT-11</t>
  </si>
  <si>
    <t xml:space="preserve">LK-6738</t>
  </si>
  <si>
    <t xml:space="preserve">DT-13</t>
  </si>
  <si>
    <t xml:space="preserve">LK-2366</t>
  </si>
  <si>
    <t xml:space="preserve">DT-18</t>
  </si>
  <si>
    <t xml:space="preserve">LM-5721</t>
  </si>
  <si>
    <t xml:space="preserve">DT-29</t>
  </si>
  <si>
    <t xml:space="preserve">LJ-5559</t>
  </si>
  <si>
    <t xml:space="preserve">DT-30</t>
  </si>
  <si>
    <t xml:space="preserve">LI-3851</t>
  </si>
  <si>
    <t xml:space="preserve">DT-32</t>
  </si>
  <si>
    <t xml:space="preserve">LM-5719</t>
  </si>
  <si>
    <t xml:space="preserve">DT-33</t>
  </si>
  <si>
    <t xml:space="preserve">LM-5723</t>
  </si>
  <si>
    <t xml:space="preserve">DT-34</t>
  </si>
  <si>
    <t xml:space="preserve">LM-5720</t>
  </si>
  <si>
    <t xml:space="preserve">DT-35</t>
  </si>
  <si>
    <t xml:space="preserve">LM-7940</t>
  </si>
  <si>
    <t xml:space="preserve">DT-36</t>
  </si>
  <si>
    <t xml:space="preserve">LM-7948</t>
  </si>
  <si>
    <t xml:space="preserve">DT-37</t>
  </si>
  <si>
    <t xml:space="preserve">LM-7949</t>
  </si>
  <si>
    <t xml:space="preserve">DT-38</t>
  </si>
  <si>
    <t xml:space="preserve">LM-7942</t>
  </si>
  <si>
    <t xml:space="preserve">DT-39</t>
  </si>
  <si>
    <t xml:space="preserve">LM-7951</t>
  </si>
  <si>
    <t xml:space="preserve">DT-43</t>
  </si>
  <si>
    <t xml:space="preserve">LO-4823</t>
  </si>
  <si>
    <t xml:space="preserve">DT-44</t>
  </si>
  <si>
    <t xml:space="preserve">LO-4824</t>
  </si>
  <si>
    <t xml:space="preserve">DT-45</t>
  </si>
  <si>
    <t xml:space="preserve">LO-4816</t>
  </si>
  <si>
    <t xml:space="preserve">DT-49</t>
  </si>
  <si>
    <t xml:space="preserve">LO-5984</t>
  </si>
  <si>
    <t xml:space="preserve">DT-50</t>
  </si>
  <si>
    <t xml:space="preserve">LO-5985</t>
  </si>
  <si>
    <t xml:space="preserve">DT-51</t>
  </si>
  <si>
    <t xml:space="preserve">LO-5981</t>
  </si>
  <si>
    <t xml:space="preserve">DT-53</t>
  </si>
  <si>
    <t xml:space="preserve">LO-7183</t>
  </si>
  <si>
    <t xml:space="preserve">DT-54</t>
  </si>
  <si>
    <t xml:space="preserve">LO-7180</t>
  </si>
  <si>
    <t xml:space="preserve">DT-55</t>
  </si>
  <si>
    <t xml:space="preserve">LO-7182</t>
  </si>
  <si>
    <t xml:space="preserve">DT-56</t>
  </si>
  <si>
    <t xml:space="preserve">LO-7181</t>
  </si>
  <si>
    <t xml:space="preserve">DT-57</t>
  </si>
  <si>
    <t xml:space="preserve">LO-7184</t>
  </si>
  <si>
    <t xml:space="preserve">DT-58</t>
  </si>
  <si>
    <t xml:space="preserve">LO-8349</t>
  </si>
  <si>
    <t xml:space="preserve">DT-42</t>
  </si>
  <si>
    <t xml:space="preserve">LO-4822</t>
  </si>
  <si>
    <t xml:space="preserve">DT-59</t>
  </si>
  <si>
    <t xml:space="preserve">LO-8348</t>
  </si>
  <si>
    <t xml:space="preserve">DT-60</t>
  </si>
  <si>
    <t xml:space="preserve">LO-8350</t>
  </si>
  <si>
    <t xml:space="preserve">DT-62</t>
  </si>
  <si>
    <t xml:space="preserve">LP-1573</t>
  </si>
  <si>
    <t xml:space="preserve">DT-46</t>
  </si>
  <si>
    <t xml:space="preserve">LO-4821</t>
  </si>
  <si>
    <t xml:space="preserve">DT-48</t>
  </si>
  <si>
    <t xml:space="preserve">LPK1615TC</t>
  </si>
  <si>
    <t xml:space="preserve">LO-5986</t>
  </si>
  <si>
    <t xml:space="preserve">DT-63</t>
  </si>
  <si>
    <t xml:space="preserve">LP-1567</t>
  </si>
  <si>
    <t xml:space="preserve">DT-64</t>
  </si>
  <si>
    <t xml:space="preserve">LP-1576</t>
  </si>
  <si>
    <t xml:space="preserve">DT-65</t>
  </si>
  <si>
    <t xml:space="preserve">LP-1571</t>
  </si>
  <si>
    <t xml:space="preserve">DT-66</t>
  </si>
  <si>
    <t xml:space="preserve">LP-1582</t>
  </si>
  <si>
    <t xml:space="preserve">DT-67</t>
  </si>
  <si>
    <t xml:space="preserve">LP-1572</t>
  </si>
  <si>
    <t xml:space="preserve">DT-68</t>
  </si>
  <si>
    <t xml:space="preserve">LP-1569</t>
  </si>
  <si>
    <t xml:space="preserve">DT-69</t>
  </si>
  <si>
    <t xml:space="preserve">LP-1579</t>
  </si>
  <si>
    <t xml:space="preserve">DT-70</t>
  </si>
  <si>
    <t xml:space="preserve">LP-1574</t>
  </si>
  <si>
    <t xml:space="preserve">DT-71</t>
  </si>
  <si>
    <t xml:space="preserve">LP-1578</t>
  </si>
  <si>
    <t xml:space="preserve">DT-72</t>
  </si>
  <si>
    <t xml:space="preserve">LP-1580</t>
  </si>
  <si>
    <t xml:space="preserve">DT-40</t>
  </si>
  <si>
    <t xml:space="preserve">10.80 TIPPER</t>
  </si>
  <si>
    <t xml:space="preserve">LN-9046</t>
  </si>
  <si>
    <t xml:space="preserve">DT-15</t>
  </si>
  <si>
    <t xml:space="preserve">LPK 1615</t>
  </si>
  <si>
    <t xml:space="preserve">LM-5722</t>
  </si>
  <si>
    <t xml:space="preserve">DT-73</t>
  </si>
  <si>
    <t xml:space="preserve">LP-1568</t>
  </si>
  <si>
    <t xml:space="preserve">DT-74</t>
  </si>
  <si>
    <t xml:space="preserve">LP-1577</t>
  </si>
  <si>
    <t xml:space="preserve">DT-75</t>
  </si>
  <si>
    <t xml:space="preserve">LP-1566</t>
  </si>
  <si>
    <t xml:space="preserve">DT-76</t>
  </si>
  <si>
    <t xml:space="preserve">LP-1710</t>
  </si>
  <si>
    <t xml:space="preserve">DT-77</t>
  </si>
  <si>
    <t xml:space="preserve">LP-1719</t>
  </si>
  <si>
    <t xml:space="preserve">DT-78</t>
  </si>
  <si>
    <t xml:space="preserve">LP-1709</t>
  </si>
  <si>
    <t xml:space="preserve">DT-79</t>
  </si>
  <si>
    <t xml:space="preserve">LP-1713</t>
  </si>
  <si>
    <t xml:space="preserve">DT-80</t>
  </si>
  <si>
    <t xml:space="preserve">LP-1720</t>
  </si>
  <si>
    <t xml:space="preserve">DT-81</t>
  </si>
  <si>
    <t xml:space="preserve">LP-1715</t>
  </si>
  <si>
    <t xml:space="preserve">DT-47</t>
  </si>
  <si>
    <t xml:space="preserve">LO-5983</t>
  </si>
  <si>
    <t xml:space="preserve">DT-82</t>
  </si>
  <si>
    <t xml:space="preserve">LP-1716</t>
  </si>
  <si>
    <t xml:space="preserve">DT-83</t>
  </si>
  <si>
    <t xml:space="preserve">LP-1712</t>
  </si>
  <si>
    <t xml:space="preserve">DT-27</t>
  </si>
  <si>
    <t xml:space="preserve">LPK 407</t>
  </si>
  <si>
    <t xml:space="preserve">LL-0936</t>
  </si>
  <si>
    <t xml:space="preserve">DT-02</t>
  </si>
  <si>
    <t xml:space="preserve">LL-0920</t>
  </si>
  <si>
    <t xml:space="preserve">DT-03</t>
  </si>
  <si>
    <t xml:space="preserve">COMMET TIPPER 1613</t>
  </si>
  <si>
    <t xml:space="preserve">LK-4057</t>
  </si>
  <si>
    <t xml:space="preserve">DT-05</t>
  </si>
  <si>
    <t xml:space="preserve">HS-1773</t>
  </si>
  <si>
    <t xml:space="preserve">DT-14</t>
  </si>
  <si>
    <t xml:space="preserve">LK-4056</t>
  </si>
  <si>
    <t xml:space="preserve">DT-25</t>
  </si>
  <si>
    <t xml:space="preserve">TAURUS 2516</t>
  </si>
  <si>
    <t xml:space="preserve">LK-4058</t>
  </si>
  <si>
    <t xml:space="preserve">DT-16</t>
  </si>
  <si>
    <t xml:space="preserve">LK-4059</t>
  </si>
  <si>
    <t xml:space="preserve">DT-10</t>
  </si>
  <si>
    <t xml:space="preserve">LK-6740</t>
  </si>
  <si>
    <t xml:space="preserve">DT-84</t>
  </si>
  <si>
    <t xml:space="preserve">LP-1711</t>
  </si>
  <si>
    <t xml:space="preserve">DT-12</t>
  </si>
  <si>
    <t xml:space="preserve">LPK 909</t>
  </si>
  <si>
    <t xml:space="preserve">LK-2276</t>
  </si>
  <si>
    <t xml:space="preserve">DT-85</t>
  </si>
  <si>
    <t xml:space="preserve">LP-1718</t>
  </si>
  <si>
    <t xml:space="preserve">DT-28</t>
  </si>
  <si>
    <t xml:space="preserve">LJ-5203</t>
  </si>
  <si>
    <t xml:space="preserve">DT-24</t>
  </si>
  <si>
    <t xml:space="preserve">LI-2427</t>
  </si>
  <si>
    <t xml:space="preserve">DT-17</t>
  </si>
  <si>
    <t xml:space="preserve">TERRA16 HDR</t>
  </si>
  <si>
    <t xml:space="preserve">LI-3402</t>
  </si>
  <si>
    <t xml:space="preserve">DT-19</t>
  </si>
  <si>
    <t xml:space="preserve">LI-3396</t>
  </si>
  <si>
    <t xml:space="preserve">DT-20</t>
  </si>
  <si>
    <t xml:space="preserve">LI-3401</t>
  </si>
  <si>
    <t xml:space="preserve">DT-21</t>
  </si>
  <si>
    <t xml:space="preserve">LI-3395</t>
  </si>
  <si>
    <t xml:space="preserve">DT-07</t>
  </si>
  <si>
    <t xml:space="preserve">LI-7618</t>
  </si>
  <si>
    <t xml:space="preserve">DT-22</t>
  </si>
  <si>
    <t xml:space="preserve">TAURUS</t>
  </si>
  <si>
    <t xml:space="preserve">LH-5586</t>
  </si>
  <si>
    <t xml:space="preserve">DT-23</t>
  </si>
  <si>
    <t xml:space="preserve">LK-5586</t>
  </si>
  <si>
    <t xml:space="preserve">DT-31</t>
  </si>
  <si>
    <t xml:space="preserve">20.16</t>
  </si>
  <si>
    <t xml:space="preserve">LE-4986</t>
  </si>
  <si>
    <t xml:space="preserve">DT-01</t>
  </si>
  <si>
    <t xml:space="preserve">COMET</t>
  </si>
  <si>
    <t xml:space="preserve">LB-9496</t>
  </si>
  <si>
    <t xml:space="preserve">DT-52</t>
  </si>
  <si>
    <t xml:space="preserve">LA-4229</t>
  </si>
  <si>
    <t xml:space="preserve">DT-04</t>
  </si>
  <si>
    <t xml:space="preserve">HS-1794</t>
  </si>
  <si>
    <t xml:space="preserve">DT-26</t>
  </si>
  <si>
    <t xml:space="preserve">LK-4061</t>
  </si>
  <si>
    <t xml:space="preserve">DT-41</t>
  </si>
  <si>
    <t xml:space="preserve">HO-9850</t>
  </si>
  <si>
    <t xml:space="preserve">TRAILER</t>
  </si>
  <si>
    <t xml:space="preserve">LOCALLY BUILT</t>
  </si>
  <si>
    <t xml:space="preserve">Tractor trailer</t>
  </si>
  <si>
    <t xml:space="preserve">RY-2390</t>
  </si>
  <si>
    <t xml:space="preserve">TANKER</t>
  </si>
  <si>
    <t xml:space="preserve">WIMALAORO</t>
  </si>
  <si>
    <t xml:space="preserve">RY-0614</t>
  </si>
  <si>
    <t xml:space="preserve">RV-1990</t>
  </si>
  <si>
    <t xml:space="preserve">LORRY TRAILER</t>
  </si>
  <si>
    <t xml:space="preserve">TANTRI</t>
  </si>
  <si>
    <t xml:space="preserve">TFB40</t>
  </si>
  <si>
    <t xml:space="preserve">LX-1679</t>
  </si>
  <si>
    <t xml:space="preserve">TSK 20</t>
  </si>
  <si>
    <t xml:space="preserve">HD-9005</t>
  </si>
  <si>
    <t xml:space="preserve">LX-1045</t>
  </si>
  <si>
    <t xml:space="preserve">DIESEL BOWSER</t>
  </si>
  <si>
    <t xml:space="preserve">DB-04</t>
  </si>
  <si>
    <t xml:space="preserve">41-1130</t>
  </si>
  <si>
    <t xml:space="preserve">DB-01</t>
  </si>
  <si>
    <t xml:space="preserve">LA-9208</t>
  </si>
  <si>
    <t xml:space="preserve">DB-05</t>
  </si>
  <si>
    <t xml:space="preserve">LA-1359</t>
  </si>
  <si>
    <t xml:space="preserve">DB-02</t>
  </si>
  <si>
    <t xml:space="preserve">68-5115</t>
  </si>
  <si>
    <t xml:space="preserve">NISSAN</t>
  </si>
  <si>
    <t xml:space="preserve">DB-03</t>
  </si>
  <si>
    <t xml:space="preserve">40-2955</t>
  </si>
  <si>
    <t xml:space="preserve">EXCAVATOR</t>
  </si>
  <si>
    <t xml:space="preserve">HEX-42</t>
  </si>
  <si>
    <t xml:space="preserve">CX220C LC HD</t>
  </si>
  <si>
    <t xml:space="preserve">size mult 1.10×</t>
  </si>
  <si>
    <t xml:space="preserve">HEX-43</t>
  </si>
  <si>
    <t xml:space="preserve">HEX-45</t>
  </si>
  <si>
    <t xml:space="preserve">HEX-46</t>
  </si>
  <si>
    <t xml:space="preserve">HYUNDAI</t>
  </si>
  <si>
    <t xml:space="preserve">HEX-36</t>
  </si>
  <si>
    <t xml:space="preserve">E55W</t>
  </si>
  <si>
    <t xml:space="preserve">size mult 0.65×</t>
  </si>
  <si>
    <t xml:space="preserve">HEX-25</t>
  </si>
  <si>
    <t xml:space="preserve">R230LM</t>
  </si>
  <si>
    <t xml:space="preserve">14160</t>
  </si>
  <si>
    <t xml:space="preserve">size mult 1.15×</t>
  </si>
  <si>
    <t xml:space="preserve">HEX-32</t>
  </si>
  <si>
    <t xml:space="preserve">HEX-33</t>
  </si>
  <si>
    <t xml:space="preserve">HEX-35</t>
  </si>
  <si>
    <t xml:space="preserve">HEX-38</t>
  </si>
  <si>
    <t xml:space="preserve">HEX-34</t>
  </si>
  <si>
    <t xml:space="preserve">R220LC-9S</t>
  </si>
  <si>
    <t xml:space="preserve">HEX-39</t>
  </si>
  <si>
    <t xml:space="preserve">KOBELKO</t>
  </si>
  <si>
    <t xml:space="preserve">HEX-23</t>
  </si>
  <si>
    <t xml:space="preserve">200</t>
  </si>
  <si>
    <t xml:space="preserve">HEX-14</t>
  </si>
  <si>
    <t xml:space="preserve">303 CR</t>
  </si>
  <si>
    <t xml:space="preserve">size mult 0.55×</t>
  </si>
  <si>
    <t xml:space="preserve">CATAPILLAR</t>
  </si>
  <si>
    <t xml:space="preserve">HEX-22</t>
  </si>
  <si>
    <t xml:space="preserve">314C</t>
  </si>
  <si>
    <t xml:space="preserve">size mult 0.95×</t>
  </si>
  <si>
    <t xml:space="preserve">HITHACHI</t>
  </si>
  <si>
    <t xml:space="preserve">HEX-18</t>
  </si>
  <si>
    <t xml:space="preserve">EX75UR-3</t>
  </si>
  <si>
    <t xml:space="preserve">size mult 0.70×</t>
  </si>
  <si>
    <t xml:space="preserve">HEX-07</t>
  </si>
  <si>
    <t xml:space="preserve">YD-00418</t>
  </si>
  <si>
    <t xml:space="preserve">HEX-31</t>
  </si>
  <si>
    <t xml:space="preserve">PC-30</t>
  </si>
  <si>
    <t xml:space="preserve">HEX-29</t>
  </si>
  <si>
    <t xml:space="preserve">CAT308CCR</t>
  </si>
  <si>
    <t xml:space="preserve">size mult 0.85×</t>
  </si>
  <si>
    <t xml:space="preserve">KUBOTA</t>
  </si>
  <si>
    <t xml:space="preserve">HEX-15</t>
  </si>
  <si>
    <t xml:space="preserve">KX-040</t>
  </si>
  <si>
    <t xml:space="preserve">HEX-01</t>
  </si>
  <si>
    <t xml:space="preserve">EC210V</t>
  </si>
  <si>
    <t xml:space="preserve">size mult 1.05×</t>
  </si>
  <si>
    <t xml:space="preserve">HEX-21</t>
  </si>
  <si>
    <t xml:space="preserve">SK115SR</t>
  </si>
  <si>
    <t xml:space="preserve">HEX-24</t>
  </si>
  <si>
    <t xml:space="preserve">PC-40MR-1</t>
  </si>
  <si>
    <t xml:space="preserve">HEX-28</t>
  </si>
  <si>
    <t xml:space="preserve">PC-60-6</t>
  </si>
  <si>
    <t xml:space="preserve">HEX-04</t>
  </si>
  <si>
    <t xml:space="preserve">PC-100</t>
  </si>
  <si>
    <t xml:space="preserve">HITACHI</t>
  </si>
  <si>
    <t xml:space="preserve">HEX-03</t>
  </si>
  <si>
    <t xml:space="preserve">UH045</t>
  </si>
  <si>
    <t xml:space="preserve">HEX-02</t>
  </si>
  <si>
    <t xml:space="preserve">HEX-13</t>
  </si>
  <si>
    <t xml:space="preserve">U-25-35</t>
  </si>
  <si>
    <t xml:space="preserve">HEX-05</t>
  </si>
  <si>
    <t xml:space="preserve">PC60</t>
  </si>
  <si>
    <t xml:space="preserve">age factor 72% • size mult 0.70×</t>
  </si>
  <si>
    <t xml:space="preserve">HEX-06</t>
  </si>
  <si>
    <t xml:space="preserve">PCS50UU-01</t>
  </si>
  <si>
    <t xml:space="preserve">age factor 72% • size mult 0.55×</t>
  </si>
  <si>
    <t xml:space="preserve">HEX-09</t>
  </si>
  <si>
    <t xml:space="preserve">PC27R-8</t>
  </si>
  <si>
    <t xml:space="preserve">HEX-19</t>
  </si>
  <si>
    <t xml:space="preserve">PC-120-6EO</t>
  </si>
  <si>
    <t xml:space="preserve">HEX-20</t>
  </si>
  <si>
    <t xml:space="preserve">PC-40MR-02</t>
  </si>
  <si>
    <t xml:space="preserve">HEX-12</t>
  </si>
  <si>
    <t xml:space="preserve">HEX-26</t>
  </si>
  <si>
    <t xml:space="preserve">ROBEX330LC-9S</t>
  </si>
  <si>
    <t xml:space="preserve">year unknown → 58% factor • size mult 1.30×</t>
  </si>
  <si>
    <t xml:space="preserve">HEX-27</t>
  </si>
  <si>
    <t xml:space="preserve">year unknown → 58% factor • size mult 0.65×</t>
  </si>
  <si>
    <t xml:space="preserve">HEX-17</t>
  </si>
  <si>
    <t xml:space="preserve">0BEX220LC-9S</t>
  </si>
  <si>
    <t xml:space="preserve">year unknown → 58% factor • size mult 1.10×</t>
  </si>
  <si>
    <t xml:space="preserve">HEX-37</t>
  </si>
  <si>
    <t xml:space="preserve">(ROBEX330LC-96)</t>
  </si>
  <si>
    <t xml:space="preserve">HEX-41</t>
  </si>
  <si>
    <t xml:space="preserve">220LC-7</t>
  </si>
  <si>
    <t xml:space="preserve">HEX-44</t>
  </si>
  <si>
    <t xml:space="preserve">SX 120</t>
  </si>
  <si>
    <t xml:space="preserve">year unknown → 58% factor • size mult 0.85×</t>
  </si>
  <si>
    <t xml:space="preserve">HEX-40</t>
  </si>
  <si>
    <t xml:space="preserve">SE210</t>
  </si>
  <si>
    <t xml:space="preserve">year unknown → 58% factor • size mult 1.05×</t>
  </si>
  <si>
    <t xml:space="preserve">WATER BOWSER</t>
  </si>
  <si>
    <t xml:space="preserve">WB-18</t>
  </si>
  <si>
    <t xml:space="preserve">LPT1615TC</t>
  </si>
  <si>
    <t xml:space="preserve">LO-1059</t>
  </si>
  <si>
    <t xml:space="preserve">WB-04</t>
  </si>
  <si>
    <t xml:space="preserve">LI-3405</t>
  </si>
  <si>
    <t xml:space="preserve">WB-05</t>
  </si>
  <si>
    <t xml:space="preserve">WB-03</t>
  </si>
  <si>
    <t xml:space="preserve">WB-06</t>
  </si>
  <si>
    <t xml:space="preserve">IVECO-CARGO</t>
  </si>
  <si>
    <t xml:space="preserve">227-7971</t>
  </si>
  <si>
    <t xml:space="preserve">WB-01</t>
  </si>
  <si>
    <t xml:space="preserve">S1313/42 TANKER</t>
  </si>
  <si>
    <t xml:space="preserve">48-8072</t>
  </si>
  <si>
    <t xml:space="preserve">WB-02</t>
  </si>
  <si>
    <t xml:space="preserve">1210SE-CLOSED</t>
  </si>
  <si>
    <t xml:space="preserve">43-1191</t>
  </si>
  <si>
    <t xml:space="preserve">WB-08</t>
  </si>
  <si>
    <t xml:space="preserve">WB-09</t>
  </si>
  <si>
    <t xml:space="preserve">RY-0299</t>
  </si>
  <si>
    <t xml:space="preserve">WB-20</t>
  </si>
  <si>
    <t xml:space="preserve">LD-8875</t>
  </si>
  <si>
    <t xml:space="preserve">WB-10</t>
  </si>
  <si>
    <t xml:space="preserve">RY-0301</t>
  </si>
  <si>
    <t xml:space="preserve">WB-11</t>
  </si>
  <si>
    <t xml:space="preserve">RY-0304</t>
  </si>
  <si>
    <t xml:space="preserve">WB-12</t>
  </si>
  <si>
    <t xml:space="preserve">RY-2392</t>
  </si>
  <si>
    <t xml:space="preserve">WB-13</t>
  </si>
  <si>
    <t xml:space="preserve">WB-14</t>
  </si>
  <si>
    <t xml:space="preserve">WB-15</t>
  </si>
  <si>
    <t xml:space="preserve">WB-16</t>
  </si>
  <si>
    <t xml:space="preserve">WB-17</t>
  </si>
  <si>
    <t xml:space="preserve">WB-19</t>
  </si>
  <si>
    <t xml:space="preserve">FARM TRACTOR</t>
  </si>
  <si>
    <t xml:space="preserve">FT-06</t>
  </si>
  <si>
    <t xml:space="preserve">575DI</t>
  </si>
  <si>
    <t xml:space="preserve">RD-3536</t>
  </si>
  <si>
    <t xml:space="preserve">FT-08</t>
  </si>
  <si>
    <t xml:space="preserve">RD-3537</t>
  </si>
  <si>
    <t xml:space="preserve">FT-10</t>
  </si>
  <si>
    <t xml:space="preserve">275 DI</t>
  </si>
  <si>
    <t xml:space="preserve">RD-6318</t>
  </si>
  <si>
    <t xml:space="preserve">TAFE</t>
  </si>
  <si>
    <t xml:space="preserve">FT-07</t>
  </si>
  <si>
    <t xml:space="preserve">45DI</t>
  </si>
  <si>
    <t xml:space="preserve">RC-9894</t>
  </si>
  <si>
    <t xml:space="preserve">MASSEY FEROUSON</t>
  </si>
  <si>
    <t xml:space="preserve">FT-11</t>
  </si>
  <si>
    <t xml:space="preserve">MF 240</t>
  </si>
  <si>
    <t xml:space="preserve">RF-0748</t>
  </si>
  <si>
    <t xml:space="preserve">FT-03</t>
  </si>
  <si>
    <t xml:space="preserve">RA-3051</t>
  </si>
  <si>
    <t xml:space="preserve">FT-04</t>
  </si>
  <si>
    <t xml:space="preserve">RA-3052</t>
  </si>
  <si>
    <t xml:space="preserve">MASSEY FURGUSON</t>
  </si>
  <si>
    <t xml:space="preserve">FT-09</t>
  </si>
  <si>
    <t xml:space="preserve">1980</t>
  </si>
  <si>
    <t xml:space="preserve">49-5294</t>
  </si>
  <si>
    <t xml:space="preserve">FT-02</t>
  </si>
  <si>
    <t xml:space="preserve">135</t>
  </si>
  <si>
    <t xml:space="preserve">1974</t>
  </si>
  <si>
    <t xml:space="preserve">49-2289</t>
  </si>
  <si>
    <t xml:space="preserve">49-2288</t>
  </si>
  <si>
    <t xml:space="preserve">FT-05</t>
  </si>
  <si>
    <t xml:space="preserve">MOTOR BICYCLE</t>
  </si>
  <si>
    <t xml:space="preserve">BAJAJ</t>
  </si>
  <si>
    <t xml:space="preserve">MB-11</t>
  </si>
  <si>
    <t xml:space="preserve">PLATINA</t>
  </si>
  <si>
    <t xml:space="preserve">BET-3726</t>
  </si>
  <si>
    <t xml:space="preserve">MB-09</t>
  </si>
  <si>
    <t xml:space="preserve">CD DREAM DLX 110</t>
  </si>
  <si>
    <t xml:space="preserve">MV-5841</t>
  </si>
  <si>
    <t xml:space="preserve">MB-18</t>
  </si>
  <si>
    <t xml:space="preserve">WQ-9941</t>
  </si>
  <si>
    <t xml:space="preserve">MB-19</t>
  </si>
  <si>
    <t xml:space="preserve">BET-3772</t>
  </si>
  <si>
    <t xml:space="preserve">MB-10</t>
  </si>
  <si>
    <t xml:space="preserve">DISCOVER 125</t>
  </si>
  <si>
    <t xml:space="preserve">BEF-7850</t>
  </si>
  <si>
    <t xml:space="preserve">MB-15</t>
  </si>
  <si>
    <t xml:space="preserve">BEF-7836</t>
  </si>
  <si>
    <t xml:space="preserve">MB-35</t>
  </si>
  <si>
    <t xml:space="preserve">BEB-3132</t>
  </si>
  <si>
    <t xml:space="preserve">MB-25</t>
  </si>
  <si>
    <t xml:space="preserve">BDJ-2374</t>
  </si>
  <si>
    <t xml:space="preserve">MB-29</t>
  </si>
  <si>
    <t xml:space="preserve">DISCOVER 125 M</t>
  </si>
  <si>
    <t xml:space="preserve">BCN-9805</t>
  </si>
  <si>
    <t xml:space="preserve">MB-32</t>
  </si>
  <si>
    <t xml:space="preserve">PLATINA BM 125</t>
  </si>
  <si>
    <t xml:space="preserve">BAN-2012</t>
  </si>
  <si>
    <t xml:space="preserve">MB-17</t>
  </si>
  <si>
    <t xml:space="preserve">XW-9221</t>
  </si>
  <si>
    <t xml:space="preserve">MB-22</t>
  </si>
  <si>
    <t xml:space="preserve">BAB-8828</t>
  </si>
  <si>
    <t xml:space="preserve">MB-14</t>
  </si>
  <si>
    <t xml:space="preserve">XG-6801</t>
  </si>
  <si>
    <t xml:space="preserve">MB-13</t>
  </si>
  <si>
    <t xml:space="preserve">DISCOVER DTSI</t>
  </si>
  <si>
    <t xml:space="preserve">TS-5399</t>
  </si>
  <si>
    <t xml:space="preserve">MB-08</t>
  </si>
  <si>
    <t xml:space="preserve">CT100</t>
  </si>
  <si>
    <t xml:space="preserve">MV-4276</t>
  </si>
  <si>
    <t xml:space="preserve">TVS</t>
  </si>
  <si>
    <t xml:space="preserve">MB-07</t>
  </si>
  <si>
    <t xml:space="preserve">STAR CITY</t>
  </si>
  <si>
    <t xml:space="preserve">MP-3092</t>
  </si>
  <si>
    <t xml:space="preserve">HONDA</t>
  </si>
  <si>
    <t xml:space="preserve">MB-16</t>
  </si>
  <si>
    <t xml:space="preserve">CB-125T</t>
  </si>
  <si>
    <t xml:space="preserve">XP-8682</t>
  </si>
  <si>
    <t xml:space="preserve">MB-05</t>
  </si>
  <si>
    <t xml:space="preserve">BAJAJ BOXERCT-DELUXE</t>
  </si>
  <si>
    <t xml:space="preserve">HO-0217</t>
  </si>
  <si>
    <t xml:space="preserve">MB-20</t>
  </si>
  <si>
    <t xml:space="preserve">XW-9217</t>
  </si>
  <si>
    <t xml:space="preserve">MB-21</t>
  </si>
  <si>
    <t xml:space="preserve">XW-9222</t>
  </si>
  <si>
    <t xml:space="preserve">MB-23</t>
  </si>
  <si>
    <t xml:space="preserve">BAB-8832</t>
  </si>
  <si>
    <t xml:space="preserve">MB-26</t>
  </si>
  <si>
    <t xml:space="preserve">BDI-8546</t>
  </si>
  <si>
    <t xml:space="preserve">MB-27</t>
  </si>
  <si>
    <t xml:space="preserve">BDI-8556</t>
  </si>
  <si>
    <t xml:space="preserve">MB-28</t>
  </si>
  <si>
    <t xml:space="preserve">BDJ-2375</t>
  </si>
  <si>
    <t xml:space="preserve">MB-30</t>
  </si>
  <si>
    <t xml:space="preserve">BCN-9802</t>
  </si>
  <si>
    <t xml:space="preserve">MB-31</t>
  </si>
  <si>
    <t xml:space="preserve">BAB-8839</t>
  </si>
  <si>
    <t xml:space="preserve">MB-33</t>
  </si>
  <si>
    <t xml:space="preserve">BAN-2021</t>
  </si>
  <si>
    <t xml:space="preserve">MB-34</t>
  </si>
  <si>
    <t xml:space="preserve">WQ-9935</t>
  </si>
  <si>
    <t xml:space="preserve">ME4JC65BJJT080434</t>
  </si>
  <si>
    <t xml:space="preserve">BIE-8552</t>
  </si>
  <si>
    <t xml:space="preserve">MB-37</t>
  </si>
  <si>
    <t xml:space="preserve">BET-8556</t>
  </si>
  <si>
    <t xml:space="preserve">ME4JC679MJ8001960</t>
  </si>
  <si>
    <t xml:space="preserve">BFR-4276</t>
  </si>
  <si>
    <t xml:space="preserve">MD2A15BY8JWK40326</t>
  </si>
  <si>
    <t xml:space="preserve">BHT-3482</t>
  </si>
  <si>
    <t xml:space="preserve">BGI-5000</t>
  </si>
  <si>
    <t xml:space="preserve">BII-2125</t>
  </si>
  <si>
    <t xml:space="preserve">BIG-4988</t>
  </si>
  <si>
    <t xml:space="preserve">BGY-6440</t>
  </si>
  <si>
    <t xml:space="preserve">AA01-1115643</t>
  </si>
  <si>
    <t xml:space="preserve">BGY-6446</t>
  </si>
  <si>
    <t xml:space="preserve">ME4JC65BKKG000814</t>
  </si>
  <si>
    <t xml:space="preserve">BGY-6445</t>
  </si>
  <si>
    <t xml:space="preserve">DISCOVERY</t>
  </si>
  <si>
    <t xml:space="preserve">MB-36</t>
  </si>
  <si>
    <t xml:space="preserve">BIE-8589</t>
  </si>
  <si>
    <t xml:space="preserve">MD2A15BYJJWL41226</t>
  </si>
  <si>
    <t xml:space="preserve">BID-8738</t>
  </si>
  <si>
    <t xml:space="preserve">TRACTOR BOWSER</t>
  </si>
  <si>
    <t xml:space="preserve">TB-10</t>
  </si>
  <si>
    <t xml:space="preserve">TB-11</t>
  </si>
  <si>
    <t xml:space="preserve">TB-12</t>
  </si>
  <si>
    <t xml:space="preserve">TRACTOR TRILER</t>
  </si>
  <si>
    <t xml:space="preserve">TB-09</t>
  </si>
  <si>
    <t xml:space="preserve">TB-01</t>
  </si>
  <si>
    <t xml:space="preserve">TB-04</t>
  </si>
  <si>
    <t xml:space="preserve">TB-15</t>
  </si>
  <si>
    <t xml:space="preserve">TB-16</t>
  </si>
  <si>
    <t xml:space="preserve">TB-17</t>
  </si>
  <si>
    <t xml:space="preserve">TB-18</t>
  </si>
  <si>
    <t xml:space="preserve">FORKLIFT</t>
  </si>
  <si>
    <t xml:space="preserve">BARROL FORK LIFT</t>
  </si>
  <si>
    <t xml:space="preserve">FL-01</t>
  </si>
  <si>
    <t xml:space="preserve">BLADE FOCK LIFT</t>
  </si>
  <si>
    <t xml:space="preserve">FL-02</t>
  </si>
  <si>
    <t xml:space="preserve">FL-03</t>
  </si>
  <si>
    <t xml:space="preserve">COMPETITOR PRICE SURVEY — Sri Lanka 2025–2026</t>
  </si>
  <si>
    <t xml:space="preserve">Sources: SLLDC (Govt), wedabima.com, krearthmovers, petersequipment.lk, ikman.lk, lankanrentals, boompeek, Tata Motors LK, SENOK, plus Indian rental benchmarks (IndiaMART, Rentkart).</t>
  </si>
  <si>
    <t xml:space="preserve">Competitor / Source</t>
  </si>
  <si>
    <t xml:space="preserve">Rate (as published)</t>
  </si>
  <si>
    <t xml:space="preserve">LKR equivalent</t>
  </si>
  <si>
    <t xml:space="preserve">Notes</t>
  </si>
  <si>
    <t xml:space="preserve">Our positioning</t>
  </si>
  <si>
    <t xml:space="preserve">SLLDC (Govt) – JCB 3CX</t>
  </si>
  <si>
    <t xml:space="preserve">Rs. 6,050/h wet</t>
  </si>
  <si>
    <t xml:space="preserve">Rs. 6,050/h</t>
  </si>
  <si>
    <t xml:space="preserve">Official govt hire rate, with fuel &amp; operator</t>
  </si>
  <si>
    <t xml:space="preserve">~50% below SLLDC</t>
  </si>
  <si>
    <t xml:space="preserve">KR Earthmovers (India ref) – JCB 3DX</t>
  </si>
  <si>
    <t xml:space="preserve">₹1,100/h wet / ₹500/h dry</t>
  </si>
  <si>
    <t xml:space="preserve">≈Rs. 3,960/Rs. 1,800</t>
  </si>
  <si>
    <t xml:space="preserve">Monthly Rs.90,000 for 240 hrs</t>
  </si>
  <si>
    <t xml:space="preserve">Aligned with regional market</t>
  </si>
  <si>
    <t xml:space="preserve">Wedabima – private JCB</t>
  </si>
  <si>
    <t xml:space="preserve">Rs. 2,500–3,500/h wet</t>
  </si>
  <si>
    <t xml:space="preserve">Rs. 2,500–3,500</t>
  </si>
  <si>
    <t xml:space="preserve">Small Colombo/Gampaha operators</t>
  </si>
  <si>
    <t xml:space="preserve">Matching mid-market</t>
  </si>
  <si>
    <t xml:space="preserve">Dayani Backhoe Centre</t>
  </si>
  <si>
    <t xml:space="preserve">On request</t>
  </si>
  <si>
    <t xml:space="preserve">Quote basis</t>
  </si>
  <si>
    <t xml:space="preserve">Yakkala/Gampaha district</t>
  </si>
  <si>
    <t xml:space="preserve">Our rate is public &amp; transparent</t>
  </si>
  <si>
    <t xml:space="preserve">SLLDC – Doosan Mega 250</t>
  </si>
  <si>
    <t xml:space="preserve">Rs. 11,390–15,760/h wet</t>
  </si>
  <si>
    <t xml:space="preserve">Rs. 11,390–15,760</t>
  </si>
  <si>
    <t xml:space="preserve">2.0–2.4 cu.m</t>
  </si>
  <si>
    <t xml:space="preserve">30–50% below SLLDC</t>
  </si>
  <si>
    <t xml:space="preserve">Private SL suppliers</t>
  </si>
  <si>
    <t xml:space="preserve">Rs. 5,000–8,000/h</t>
  </si>
  <si>
    <t xml:space="preserve">Rs. 5,000–8,000</t>
  </si>
  <si>
    <t xml:space="preserve">Used CAT/Komatsu 910/WA100</t>
  </si>
  <si>
    <t xml:space="preserve">Priced at market mid-point</t>
  </si>
  <si>
    <t xml:space="preserve">Tantri Lanka</t>
  </si>
  <si>
    <t xml:space="preserve">Project-based</t>
  </si>
  <si>
    <t xml:space="preserve">Concrete mixer truck supply</t>
  </si>
  <si>
    <t xml:space="preserve">Fleet rental differentiator</t>
  </si>
  <si>
    <t xml:space="preserve">Private SL operators</t>
  </si>
  <si>
    <t xml:space="preserve">Rs. 3,500–5,000/h with driver</t>
  </si>
  <si>
    <t xml:space="preserve">Rs. 3,500–5,000</t>
  </si>
  <si>
    <t xml:space="preserve">Tata/Ashok Leyland mixers</t>
  </si>
  <si>
    <t xml:space="preserve">Competitive</t>
  </si>
  <si>
    <t xml:space="preserve">KR Earthmovers (India ref)</t>
  </si>
  <si>
    <t xml:space="preserve">₹1,500/h wet</t>
  </si>
  <si>
    <t xml:space="preserve">≈Rs. 5,400</t>
  </si>
  <si>
    <t xml:space="preserve">Fiori/Ajax self-loading mixer</t>
  </si>
  <si>
    <t xml:space="preserve">Below India rate</t>
  </si>
  <si>
    <t xml:space="preserve">Private SL Fiori</t>
  </si>
  <si>
    <t xml:space="preserve">Rs. 4,500–6,000/h</t>
  </si>
  <si>
    <t xml:space="preserve">Rs. 4,500–6,000</t>
  </si>
  <si>
    <t xml:space="preserve">4–8 cu.m self-loader</t>
  </si>
  <si>
    <t xml:space="preserve">Aligned</t>
  </si>
  <si>
    <t xml:space="preserve">Peters Equipment SL – 1T hand</t>
  </si>
  <si>
    <t xml:space="preserve">Rs. 3,500/day</t>
  </si>
  <si>
    <t xml:space="preserve">Walk-behind 1-ton roller</t>
  </si>
  <si>
    <t xml:space="preserve">Matching</t>
  </si>
  <si>
    <t xml:space="preserve">SLLDC – Hamm HD12vv</t>
  </si>
  <si>
    <t xml:space="preserve">Rs. 5,230/h wet</t>
  </si>
  <si>
    <t xml:space="preserve">Rs. 5,230/h</t>
  </si>
  <si>
    <t xml:space="preserve">4-ton double drum</t>
  </si>
  <si>
    <t xml:space="preserve">~40% below SLLDC</t>
  </si>
  <si>
    <t xml:space="preserve">Private SL – 10T sheep-foot</t>
  </si>
  <si>
    <t xml:space="preserve">Rs. 3,000–5,000/h wet</t>
  </si>
  <si>
    <t xml:space="preserve">Rs. 3,000–5,000</t>
  </si>
  <si>
    <t xml:space="preserve">BOMAG 10T sheep-foot</t>
  </si>
  <si>
    <t xml:space="preserve">Mid-market</t>
  </si>
  <si>
    <t xml:space="preserve">Rs. 3,000–4,500/h</t>
  </si>
  <si>
    <t xml:space="preserve">Rs. 3,000–4,500</t>
  </si>
  <si>
    <t xml:space="preserve">Sakai/Dynapac 20T</t>
  </si>
  <si>
    <t xml:space="preserve">Private SL – CAT/Komatsu</t>
  </si>
  <si>
    <t xml:space="preserve">Rs. 7,000–10,000/h</t>
  </si>
  <si>
    <t xml:space="preserve">Rs. 7,000–10,000</t>
  </si>
  <si>
    <t xml:space="preserve">140–170 HP</t>
  </si>
  <si>
    <t xml:space="preserve">In-line with market</t>
  </si>
  <si>
    <t xml:space="preserve">Surplus.lk listings</t>
  </si>
  <si>
    <t xml:space="preserve">Used CAT/Komatsu/Mitsubishi</t>
  </si>
  <si>
    <t xml:space="preserve">Advantage: fleet scale</t>
  </si>
  <si>
    <t xml:space="preserve">SLLDC – Bobcat class</t>
  </si>
  <si>
    <t xml:space="preserve">Rs. 3,060/h wet</t>
  </si>
  <si>
    <t xml:space="preserve">Rs. 3,060/h</t>
  </si>
  <si>
    <t xml:space="preserve">0.1 cu.m</t>
  </si>
  <si>
    <t xml:space="preserve">~30% below SLLDC</t>
  </si>
  <si>
    <t xml:space="preserve">Private operators</t>
  </si>
  <si>
    <t xml:space="preserve">Rs. 2,000–2,800/h</t>
  </si>
  <si>
    <t xml:space="preserve">Rs. 2,000–2,800</t>
  </si>
  <si>
    <t xml:space="preserve">Bobcat S130/S450</t>
  </si>
  <si>
    <t xml:space="preserve">Private SL – Sumitomo/Volvo</t>
  </si>
  <si>
    <t xml:space="preserve">HA60W/P6820C class</t>
  </si>
  <si>
    <t xml:space="preserve">SLLDC – Kobelco RK250 25T</t>
  </si>
  <si>
    <t xml:space="preserve">Rs. 11,660/h wet</t>
  </si>
  <si>
    <t xml:space="preserve">Rs. 11,660/h</t>
  </si>
  <si>
    <t xml:space="preserve">Plus Rs.640/km</t>
  </si>
  <si>
    <t xml:space="preserve">~25% below SLLDC</t>
  </si>
  <si>
    <t xml:space="preserve">SL Lanka Constructions</t>
  </si>
  <si>
    <t xml:space="preserve">Rs. 8,000–10,000/h</t>
  </si>
  <si>
    <t xml:space="preserve">Rs. 8,000–10,000</t>
  </si>
  <si>
    <t xml:space="preserve">25T wet rate</t>
  </si>
  <si>
    <t xml:space="preserve">Priced at market low</t>
  </si>
  <si>
    <t xml:space="preserve">Beeline Lift Solutions</t>
  </si>
  <si>
    <t xml:space="preserve">25T and bucket cranes</t>
  </si>
  <si>
    <t xml:space="preserve">Transparent rate advantage</t>
  </si>
  <si>
    <t xml:space="preserve">SLLDC – 5T+2T crane</t>
  </si>
  <si>
    <t xml:space="preserve">Rs. 5,170/h + Rs.410/km</t>
  </si>
  <si>
    <t xml:space="preserve">Per-hour + km</t>
  </si>
  <si>
    <t xml:space="preserve">Minimum 80km/day</t>
  </si>
  <si>
    <t xml:space="preserve">Simple flat-rate offer</t>
  </si>
  <si>
    <t xml:space="preserve">Califolink</t>
  </si>
  <si>
    <t xml:space="preserve">Electric &amp; diesel models</t>
  </si>
  <si>
    <t xml:space="preserve">Public rate advantage</t>
  </si>
  <si>
    <t xml:space="preserve">Boompeek SL listings</t>
  </si>
  <si>
    <t xml:space="preserve">Rs. 250,000–450,000/month</t>
  </si>
  <si>
    <t xml:space="preserve">Rs. 250k–450k/mo</t>
  </si>
  <si>
    <t xml:space="preserve">3–6 cu with driver</t>
  </si>
  <si>
    <t xml:space="preserve">Mid-market monthly</t>
  </si>
  <si>
    <t xml:space="preserve">Boompeek – per km</t>
  </si>
  <si>
    <t xml:space="preserve">Rs. 160/km</t>
  </si>
  <si>
    <t xml:space="preserve">3-cu soil transport</t>
  </si>
  <si>
    <t xml:space="preserve">Alternative km-based rate</t>
  </si>
  <si>
    <t xml:space="preserve">SLLDC – Ashok Leyland 5cu</t>
  </si>
  <si>
    <t xml:space="preserve">Rs. 440/km</t>
  </si>
  <si>
    <t xml:space="preserve">Govt rate</t>
  </si>
  <si>
    <t xml:space="preserve">~60% below SLLDC</t>
  </si>
  <si>
    <t xml:space="preserve">SLLDC – 6,000L Tata/AL</t>
  </si>
  <si>
    <t xml:space="preserve">Rs. 39,520/day</t>
  </si>
  <si>
    <t xml:space="preserve">Full wet rate</t>
  </si>
  <si>
    <t xml:space="preserve">Private SL – Sany/Hino</t>
  </si>
  <si>
    <t xml:space="preserve">Rs. 8,500–11,000/h wet</t>
  </si>
  <si>
    <t xml:space="preserve">Rs. 8,500–11,000</t>
  </si>
  <si>
    <t xml:space="preserve">Boom pump truck</t>
  </si>
  <si>
    <t xml:space="preserve">Lanka Rent a Car – Hilux</t>
  </si>
  <si>
    <t xml:space="preserve">USD 100–150/day</t>
  </si>
  <si>
    <t xml:space="preserve">Rs. 30k–45k/day</t>
  </si>
  <si>
    <t xml:space="preserve">Tourist/corporate</t>
  </si>
  <si>
    <t xml:space="preserve">Fleet rental to contractors</t>
  </si>
  <si>
    <t xml:space="preserve">ikman long-term Hilux</t>
  </si>
  <si>
    <t xml:space="preserve">Rs. 250k–350k/month</t>
  </si>
  <si>
    <t xml:space="preserve">Rs. 250k–350k/mo</t>
  </si>
  <si>
    <t xml:space="preserve">With driver</t>
  </si>
  <si>
    <t xml:space="preserve">Tata Ace private</t>
  </si>
  <si>
    <t xml:space="preserve">Rs. 120k–180k/month</t>
  </si>
  <si>
    <t xml:space="preserve">Rs. 120k–180k/mo</t>
  </si>
  <si>
    <t xml:space="preserve">JMC JX1032 private</t>
  </si>
  <si>
    <t xml:space="preserve">Rs. 180k–280k/month</t>
  </si>
  <si>
    <t xml:space="preserve">Rs. 180k–280k/mo</t>
  </si>
  <si>
    <t xml:space="preserve">SLLDC – Doosan DX200</t>
  </si>
  <si>
    <t xml:space="preserve">Rs. 12,100/h wet</t>
  </si>
  <si>
    <t xml:space="preserve">Rs. 12,100/h</t>
  </si>
  <si>
    <t xml:space="preserve">0.8 cu.m</t>
  </si>
  <si>
    <t xml:space="preserve">~45% below SLLDC</t>
  </si>
  <si>
    <t xml:space="preserve">SLLDC – Doosan DX140</t>
  </si>
  <si>
    <t xml:space="preserve">Rs. 9,030/h wet</t>
  </si>
  <si>
    <t xml:space="preserve">Rs. 9,030/h</t>
  </si>
  <si>
    <t xml:space="preserve">0.5 cu.m</t>
  </si>
  <si>
    <t xml:space="preserve">SLLDC – CAT 303.5 mini</t>
  </si>
  <si>
    <t xml:space="preserve">Rs. 5,050/h wet</t>
  </si>
  <si>
    <t xml:space="preserve">Rs. 5,050/h</t>
  </si>
  <si>
    <t xml:space="preserve">Mini excavator</t>
  </si>
  <si>
    <t xml:space="preserve">Private SL – 20T class</t>
  </si>
  <si>
    <t xml:space="preserve">Rs. 5,500–8,000/h wet</t>
  </si>
  <si>
    <t xml:space="preserve">Rs. 5,500–8,000</t>
  </si>
  <si>
    <t xml:space="preserve">Hyundai R220/R230</t>
  </si>
  <si>
    <t xml:space="preserve">Private staff rental</t>
  </si>
  <si>
    <t xml:space="preserve">Rs. 15,000–25,000/month</t>
  </si>
  <si>
    <t xml:space="preserve">Rs. 15k–25k/mo</t>
  </si>
  <si>
    <t xml:space="preserve">Bajaj Platina/Honda CD</t>
  </si>
  <si>
    <t xml:space="preserve">Private SL Massey/TAFE</t>
  </si>
  <si>
    <t xml:space="preserve">Rs. 1,200–1,800/h</t>
  </si>
  <si>
    <t xml:space="preserve">Rs. 1,200–1,800</t>
  </si>
  <si>
    <t xml:space="preserve">45–75 HP</t>
  </si>
  <si>
    <t xml:space="preserve">VEHICLE MACHINERY LISH AT EDWARD AND CHRISTIE</t>
  </si>
  <si>
    <t xml:space="preserve">CONVERTED VEHICLE</t>
  </si>
  <si>
    <t xml:space="preserve">SOLD </t>
  </si>
  <si>
    <t xml:space="preserve">NO</t>
  </si>
  <si>
    <t xml:space="preserve">EQUIPMENT  DESCRIPTION</t>
  </si>
  <si>
    <t xml:space="preserve">E&amp;C NUMBER</t>
  </si>
  <si>
    <t xml:space="preserve">BRAND</t>
  </si>
  <si>
    <t xml:space="preserve">TYPE OF VEHICLE</t>
  </si>
  <si>
    <t xml:space="preserve">MODEL NO</t>
  </si>
  <si>
    <t xml:space="preserve">REGISTRATION  NO.</t>
  </si>
  <si>
    <t xml:space="preserve">CAPACITY</t>
  </si>
  <si>
    <t xml:space="preserve"> YEAR OF MANUFACTURE</t>
  </si>
  <si>
    <t xml:space="preserve">SE.NO</t>
  </si>
  <si>
    <t xml:space="preserve">CHASSIS.NO</t>
  </si>
  <si>
    <t xml:space="preserve">ENGINE.NO</t>
  </si>
  <si>
    <t xml:space="preserve">GPS UNIT</t>
  </si>
  <si>
    <t xml:space="preserve">SITE</t>
  </si>
  <si>
    <t xml:space="preserve">Backhoe Loader </t>
  </si>
  <si>
    <t xml:space="preserve">1.0 cu. m.</t>
  </si>
  <si>
    <t xml:space="preserve">H00050004</t>
  </si>
  <si>
    <t xml:space="preserve">ALAWWA SITE</t>
  </si>
  <si>
    <t xml:space="preserve">H00032286</t>
  </si>
  <si>
    <t xml:space="preserve">KATANA WATER PROJECT</t>
  </si>
  <si>
    <t xml:space="preserve">H00032137</t>
  </si>
  <si>
    <t xml:space="preserve">KADAWATHA WATER PROJECT</t>
  </si>
  <si>
    <t xml:space="preserve">SLP3CX7SWE0470373</t>
  </si>
  <si>
    <t xml:space="preserve">AA506060U870023D</t>
  </si>
  <si>
    <t xml:space="preserve">AUTO BACS</t>
  </si>
  <si>
    <t xml:space="preserve">CMT/596/2011/S/P</t>
  </si>
  <si>
    <t xml:space="preserve">BADALGAMA</t>
  </si>
  <si>
    <t xml:space="preserve">*0943015</t>
  </si>
  <si>
    <t xml:space="preserve">AK51093U592119K</t>
  </si>
  <si>
    <t xml:space="preserve">DORAMADALAWA PLANT</t>
  </si>
  <si>
    <t xml:space="preserve">HAR3DXSUJ01494150</t>
  </si>
  <si>
    <t xml:space="preserve">H00103100</t>
  </si>
  <si>
    <t xml:space="preserve">CENTRAL EXPRESSWAY</t>
  </si>
  <si>
    <t xml:space="preserve">HAR3DXSUE01494156</t>
  </si>
  <si>
    <t xml:space="preserve">H00103915</t>
  </si>
  <si>
    <t xml:space="preserve">GALENBIDUNUWEWA SITE(GALNAWA SITE)</t>
  </si>
  <si>
    <t xml:space="preserve">HAR3DXSUK01497483</t>
  </si>
  <si>
    <t xml:space="preserve">H00121591</t>
  </si>
  <si>
    <t xml:space="preserve">GALNAWA SITE</t>
  </si>
  <si>
    <t xml:space="preserve">HAR3DXSUE01497316</t>
  </si>
  <si>
    <t xml:space="preserve">H000120453</t>
  </si>
  <si>
    <t xml:space="preserve">MIHINTHALE SITE(THALAWA SITE)</t>
  </si>
  <si>
    <t xml:space="preserve">HAR3DXSUC001498720</t>
  </si>
  <si>
    <t xml:space="preserve">H00128304</t>
  </si>
  <si>
    <t xml:space="preserve">AMBANPOLA SITE</t>
  </si>
  <si>
    <t xml:space="preserve">HAR3DXSUJ01499221</t>
  </si>
  <si>
    <t xml:space="preserve">H00130938</t>
  </si>
  <si>
    <t xml:space="preserve">HAR3DXSUK01499198</t>
  </si>
  <si>
    <t xml:space="preserve">H00130812</t>
  </si>
  <si>
    <t xml:space="preserve">NOCHCHIYAGAMA SITE(ANU-199)</t>
  </si>
  <si>
    <t xml:space="preserve">J.C.B </t>
  </si>
  <si>
    <t xml:space="preserve">NKJ570STCKKH00901</t>
  </si>
  <si>
    <t xml:space="preserve">8045.45.748.265437</t>
  </si>
  <si>
    <t xml:space="preserve">GALENBIDUNUWEWA SITE</t>
  </si>
  <si>
    <t xml:space="preserve">HAR3DXSUL02722406</t>
  </si>
  <si>
    <t xml:space="preserve">H00264328</t>
  </si>
  <si>
    <t xml:space="preserve">HAR3DXSUH02722410</t>
  </si>
  <si>
    <t xml:space="preserve">H00264316</t>
  </si>
  <si>
    <t xml:space="preserve">CHILLOW SITE</t>
  </si>
  <si>
    <t xml:space="preserve">HAR3DXSUH02722407</t>
  </si>
  <si>
    <t xml:space="preserve">H00264525</t>
  </si>
  <si>
    <t xml:space="preserve">MUNDALAMA ESTATE</t>
  </si>
  <si>
    <t xml:space="preserve">HAR3DXSUH02723508</t>
  </si>
  <si>
    <t xml:space="preserve">H00279711</t>
  </si>
  <si>
    <t xml:space="preserve">HAR3DXSUK02723502</t>
  </si>
  <si>
    <t xml:space="preserve">H00279709</t>
  </si>
  <si>
    <t xml:space="preserve">GAMPAHA SITE</t>
  </si>
  <si>
    <t xml:space="preserve">HAR3DXSUV02723665</t>
  </si>
  <si>
    <t xml:space="preserve">H00281560</t>
  </si>
  <si>
    <t xml:space="preserve">DBIB5JDGCL0S11006*</t>
  </si>
  <si>
    <t xml:space="preserve">NL84759</t>
  </si>
  <si>
    <t xml:space="preserve">DBIB5JDGEL0511005*</t>
  </si>
  <si>
    <t xml:space="preserve">KEBATHIGOLLAWA SITE</t>
  </si>
  <si>
    <t xml:space="preserve">DBIB5JDGLL0S11003*</t>
  </si>
  <si>
    <t xml:space="preserve"> CAT</t>
  </si>
  <si>
    <t xml:space="preserve">Wheel  Loader</t>
  </si>
  <si>
    <t xml:space="preserve">0.5 m3</t>
  </si>
  <si>
    <t xml:space="preserve">TR-01 MUTUR</t>
  </si>
  <si>
    <t xml:space="preserve">0.75 m3</t>
  </si>
  <si>
    <t xml:space="preserve">MIHINTHALE PLANT</t>
  </si>
  <si>
    <t xml:space="preserve"> KOMATSU</t>
  </si>
  <si>
    <t xml:space="preserve">C.COM</t>
  </si>
  <si>
    <t xml:space="preserve">01 m3</t>
  </si>
  <si>
    <t xml:space="preserve">WADAKADA</t>
  </si>
  <si>
    <t xml:space="preserve">TRUCK MIXTURES</t>
  </si>
  <si>
    <t xml:space="preserve">Truck  Mixer</t>
  </si>
  <si>
    <t xml:space="preserve">2 m3</t>
  </si>
  <si>
    <t xml:space="preserve">FH217C501291</t>
  </si>
  <si>
    <t xml:space="preserve">6D16.831590</t>
  </si>
  <si>
    <t xml:space="preserve">NRR33C2-3001266</t>
  </si>
  <si>
    <t xml:space="preserve">ARAWWALA CONSTRUCTION(WALLAWAYA)</t>
  </si>
  <si>
    <t xml:space="preserve">1 m3</t>
  </si>
  <si>
    <t xml:space="preserve">FE517BN520943</t>
  </si>
  <si>
    <t xml:space="preserve">4D33.E29583</t>
  </si>
  <si>
    <t xml:space="preserve">NNR35C47000949</t>
  </si>
  <si>
    <t xml:space="preserve">6HL1.313673</t>
  </si>
  <si>
    <t xml:space="preserve">FE315BN460526</t>
  </si>
  <si>
    <t xml:space="preserve">4D32.924436</t>
  </si>
  <si>
    <t xml:space="preserve">4 m3</t>
  </si>
  <si>
    <t xml:space="preserve">MB1ADJJA2FRDL3242</t>
  </si>
  <si>
    <t xml:space="preserve">FDHZ403004</t>
  </si>
  <si>
    <t xml:space="preserve">FE73EB501255</t>
  </si>
  <si>
    <t xml:space="preserve">4M51-B12860</t>
  </si>
  <si>
    <t xml:space="preserve">NNR33C23001295</t>
  </si>
  <si>
    <t xml:space="preserve">6HH1-211921</t>
  </si>
  <si>
    <t xml:space="preserve">MUTUR TR-01</t>
  </si>
  <si>
    <t xml:space="preserve">MC2K7ERCOGK054478</t>
  </si>
  <si>
    <t xml:space="preserve">E613CDGK111850</t>
  </si>
  <si>
    <t xml:space="preserve">MC2K7ERCOGJ053783</t>
  </si>
  <si>
    <t xml:space="preserve">E613CDGJ1085564</t>
  </si>
  <si>
    <t xml:space="preserve">7 m3</t>
  </si>
  <si>
    <t xml:space="preserve">MAT448072G3R26771</t>
  </si>
  <si>
    <t xml:space="preserve">6IL63557849</t>
  </si>
  <si>
    <t xml:space="preserve">MAT448072G3R22351</t>
  </si>
  <si>
    <t xml:space="preserve">61J63544842</t>
  </si>
  <si>
    <t xml:space="preserve">INSTRALLED</t>
  </si>
  <si>
    <t xml:space="preserve">MAT448072G3R22347</t>
  </si>
  <si>
    <t xml:space="preserve">61J63546762</t>
  </si>
  <si>
    <t xml:space="preserve">MAT449019H2R08585</t>
  </si>
  <si>
    <t xml:space="preserve">71C84378059</t>
  </si>
  <si>
    <t xml:space="preserve">MAT448072H3R14616</t>
  </si>
  <si>
    <t xml:space="preserve">71F63600530</t>
  </si>
  <si>
    <t xml:space="preserve">MAT449019H2R08190</t>
  </si>
  <si>
    <t xml:space="preserve">71C84377627</t>
  </si>
  <si>
    <t xml:space="preserve">SELF LOADER MIXTURES</t>
  </si>
  <si>
    <t xml:space="preserve">3.5m3</t>
  </si>
  <si>
    <t xml:space="preserve">BFO8H01193</t>
  </si>
  <si>
    <t xml:space="preserve">U636673B</t>
  </si>
  <si>
    <t xml:space="preserve">WELLAWAYA SITE</t>
  </si>
  <si>
    <t xml:space="preserve">BFO8HO1246</t>
  </si>
  <si>
    <t xml:space="preserve">RS81729*0641542C</t>
  </si>
  <si>
    <t xml:space="preserve">10 Ton</t>
  </si>
  <si>
    <t xml:space="preserve">SOLD</t>
  </si>
  <si>
    <t xml:space="preserve">8 Ton</t>
  </si>
  <si>
    <t xml:space="preserve">03 DRUM</t>
  </si>
  <si>
    <t xml:space="preserve">VSW27-30127</t>
  </si>
  <si>
    <t xml:space="preserve">NKJ1107ELGKT00064</t>
  </si>
  <si>
    <t xml:space="preserve">MKJ1107EXGKT00227</t>
  </si>
  <si>
    <t xml:space="preserve">PUTHTHALAMA SITE</t>
  </si>
  <si>
    <t xml:space="preserve">WHBOH216TJ0003198 </t>
  </si>
  <si>
    <t xml:space="preserve">81D84477073 </t>
  </si>
  <si>
    <t xml:space="preserve">THISSAMAHARAMA SITE(SOLUTION)</t>
  </si>
  <si>
    <t xml:space="preserve">WHBOH216KJ0003236 </t>
  </si>
  <si>
    <t xml:space="preserve">81E84483259 </t>
  </si>
  <si>
    <t xml:space="preserve">10300127HLE007006</t>
  </si>
  <si>
    <t xml:space="preserve">KILINOCHCHIYA SITE</t>
  </si>
  <si>
    <t xml:space="preserve">10300180ALE010382</t>
  </si>
  <si>
    <t xml:space="preserve">08 Ton</t>
  </si>
  <si>
    <t xml:space="preserve">10300383LME010505-0121</t>
  </si>
  <si>
    <t xml:space="preserve">10300180JME010993-0933</t>
  </si>
  <si>
    <t xml:space="preserve">10300180AME010996-0996</t>
  </si>
  <si>
    <t xml:space="preserve">01 Ton</t>
  </si>
  <si>
    <t xml:space="preserve">04 Ton</t>
  </si>
  <si>
    <t xml:space="preserve">MAGGONA BRIDGE</t>
  </si>
  <si>
    <t xml:space="preserve">02 Ton</t>
  </si>
  <si>
    <t xml:space="preserve">7FL0908</t>
  </si>
  <si>
    <t xml:space="preserve">100000334E0A012191</t>
  </si>
  <si>
    <t xml:space="preserve">7FL0734</t>
  </si>
  <si>
    <t xml:space="preserve">*101650371052</t>
  </si>
  <si>
    <t xml:space="preserve">BUTHTHALA SITE</t>
  </si>
  <si>
    <t xml:space="preserve">02 TON</t>
  </si>
  <si>
    <t xml:space="preserve">SC9407</t>
  </si>
  <si>
    <t xml:space="preserve">01 TON</t>
  </si>
  <si>
    <t xml:space="preserve">SC9401</t>
  </si>
  <si>
    <t xml:space="preserve">JA-ELA/GAMPAHA BRIDGE</t>
  </si>
  <si>
    <t xml:space="preserve">SC9408</t>
  </si>
  <si>
    <t xml:space="preserve">VHV12-80167</t>
  </si>
  <si>
    <t xml:space="preserve">08 TON</t>
  </si>
  <si>
    <t xml:space="preserve">2EG00544</t>
  </si>
  <si>
    <t xml:space="preserve">VTW2-11760</t>
  </si>
  <si>
    <t xml:space="preserve">4FE1 </t>
  </si>
  <si>
    <t xml:space="preserve">10300379TLE0000017</t>
  </si>
  <si>
    <t xml:space="preserve">10300379KLE010100</t>
  </si>
  <si>
    <t xml:space="preserve">10300379ALE010099</t>
  </si>
  <si>
    <t xml:space="preserve">10300379ELE010236</t>
  </si>
  <si>
    <t xml:space="preserve">10300379HLE010235</t>
  </si>
  <si>
    <t xml:space="preserve">10300379LME010526</t>
  </si>
  <si>
    <t xml:space="preserve">10300379AME010525</t>
  </si>
  <si>
    <t xml:space="preserve">10300379CLE010397</t>
  </si>
  <si>
    <t xml:space="preserve">10300379ELE010396</t>
  </si>
  <si>
    <t xml:space="preserve">10300379PLE010340</t>
  </si>
  <si>
    <t xml:space="preserve">10300379KLE010324</t>
  </si>
  <si>
    <t xml:space="preserve">10300379LME010770</t>
  </si>
  <si>
    <t xml:space="preserve">10300379EME010769</t>
  </si>
  <si>
    <t xml:space="preserve">10300379JME010911</t>
  </si>
  <si>
    <t xml:space="preserve">10300379JME010892</t>
  </si>
  <si>
    <t xml:space="preserve">GALNAVA SITE</t>
  </si>
  <si>
    <t xml:space="preserve">10300379JME010910</t>
  </si>
  <si>
    <t xml:space="preserve">PNUMATIC ROLLER</t>
  </si>
  <si>
    <t xml:space="preserve">Pnumatic  Roller</t>
  </si>
  <si>
    <t xml:space="preserve">16 TON</t>
  </si>
  <si>
    <t xml:space="preserve">THALAWA SITE</t>
  </si>
  <si>
    <t xml:space="preserve">14 TON</t>
  </si>
  <si>
    <t xml:space="preserve">13.6 TON</t>
  </si>
  <si>
    <t xml:space="preserve">MIHINTHALE SITE</t>
  </si>
  <si>
    <t xml:space="preserve">16TON</t>
  </si>
  <si>
    <t xml:space="preserve">TW2001-10070</t>
  </si>
  <si>
    <t xml:space="preserve">MOTER GRADER</t>
  </si>
  <si>
    <t xml:space="preserve">10 ft</t>
  </si>
  <si>
    <t xml:space="preserve">MIHINTHALE SITE(THALAWA)</t>
  </si>
  <si>
    <t xml:space="preserve">12 ft</t>
  </si>
  <si>
    <t xml:space="preserve">T3GA01780</t>
  </si>
  <si>
    <t xml:space="preserve">6D16A54517</t>
  </si>
  <si>
    <t xml:space="preserve">12ft</t>
  </si>
  <si>
    <t xml:space="preserve">14 ft</t>
  </si>
  <si>
    <t xml:space="preserve">0.36 m3</t>
  </si>
  <si>
    <t xml:space="preserve">BOB CAT </t>
  </si>
  <si>
    <t xml:space="preserve">A1Z773279</t>
  </si>
  <si>
    <t xml:space="preserve"> S130</t>
  </si>
  <si>
    <t xml:space="preserve">B1E51475</t>
  </si>
  <si>
    <t xml:space="preserve">A1Z778258</t>
  </si>
  <si>
    <t xml:space="preserve">B1E64128</t>
  </si>
  <si>
    <t xml:space="preserve">A1Z778745</t>
  </si>
  <si>
    <t xml:space="preserve">A1Z773288</t>
  </si>
  <si>
    <t xml:space="preserve">BADALGAMA W/S</t>
  </si>
  <si>
    <t xml:space="preserve"> 216B3</t>
  </si>
  <si>
    <t xml:space="preserve">B1E615908</t>
  </si>
  <si>
    <t xml:space="preserve">B1E615909</t>
  </si>
  <si>
    <t xml:space="preserve">B1E615910</t>
  </si>
  <si>
    <t xml:space="preserve">0.3 m3</t>
  </si>
  <si>
    <t xml:space="preserve">B1E615954</t>
  </si>
  <si>
    <t xml:space="preserve">7FU173</t>
  </si>
  <si>
    <t xml:space="preserve">B1E615785</t>
  </si>
  <si>
    <t xml:space="preserve">7FQ9504</t>
  </si>
  <si>
    <t xml:space="preserve">B1E617061</t>
  </si>
  <si>
    <t xml:space="preserve">7GD4914</t>
  </si>
  <si>
    <t xml:space="preserve">B1E617027</t>
  </si>
  <si>
    <t xml:space="preserve">7GA7328</t>
  </si>
  <si>
    <t xml:space="preserve">B1E615267</t>
  </si>
  <si>
    <t xml:space="preserve">7FL6443</t>
  </si>
  <si>
    <t xml:space="preserve">B1E615270</t>
  </si>
  <si>
    <t xml:space="preserve">7FM1150</t>
  </si>
  <si>
    <t xml:space="preserve">B1E617171</t>
  </si>
  <si>
    <t xml:space="preserve">7GH5269</t>
  </si>
  <si>
    <t xml:space="preserve">A3P413943</t>
  </si>
  <si>
    <t xml:space="preserve">*A3P413943* PRODUCT IDENTIFICATION NUMBER</t>
  </si>
  <si>
    <t xml:space="preserve">B1E621403</t>
  </si>
  <si>
    <t xml:space="preserve">B1E621766</t>
  </si>
  <si>
    <t xml:space="preserve">B1E621756</t>
  </si>
  <si>
    <t xml:space="preserve">B1E621858</t>
  </si>
  <si>
    <t xml:space="preserve">B47F11951</t>
  </si>
  <si>
    <t xml:space="preserve">7ME7834</t>
  </si>
  <si>
    <t xml:space="preserve">B47F11952</t>
  </si>
  <si>
    <t xml:space="preserve">7ME7688</t>
  </si>
  <si>
    <t xml:space="preserve">KADAWATHA SITE</t>
  </si>
  <si>
    <t xml:space="preserve">ASPHALT PAVERS</t>
  </si>
  <si>
    <t xml:space="preserve">Asphalt  Paver</t>
  </si>
  <si>
    <t xml:space="preserve">6 m</t>
  </si>
  <si>
    <t xml:space="preserve">4 m</t>
  </si>
  <si>
    <t xml:space="preserve">MF55WH</t>
  </si>
  <si>
    <t xml:space="preserve">NF2201482</t>
  </si>
  <si>
    <t xml:space="preserve">TRANSFER ON 15.06.2023</t>
  </si>
  <si>
    <t xml:space="preserve">ATCO CONSTRUCTION(MR.SAFEER)</t>
  </si>
  <si>
    <t xml:space="preserve"> </t>
  </si>
  <si>
    <t xml:space="preserve">4000  Ltrs.</t>
  </si>
  <si>
    <t xml:space="preserve">4000 Ltrs.</t>
  </si>
  <si>
    <t xml:space="preserve">MAT386542D8R26257</t>
  </si>
  <si>
    <t xml:space="preserve">497TC93HWY840378</t>
  </si>
  <si>
    <t xml:space="preserve">BS-03</t>
  </si>
  <si>
    <t xml:space="preserve">DIESEL BOUSER</t>
  </si>
  <si>
    <t xml:space="preserve">NRR53E-7100720</t>
  </si>
  <si>
    <t xml:space="preserve">CONVERT TO DB</t>
  </si>
  <si>
    <t xml:space="preserve">JA-ELLA</t>
  </si>
  <si>
    <t xml:space="preserve">3856cc</t>
  </si>
  <si>
    <t xml:space="preserve">BADALGAMA(AUCTION)</t>
  </si>
  <si>
    <t xml:space="preserve">CRAIN</t>
  </si>
  <si>
    <t xml:space="preserve">8200 cc</t>
  </si>
  <si>
    <t xml:space="preserve">7540 cc</t>
  </si>
  <si>
    <t xml:space="preserve">UNINSTRALLED</t>
  </si>
  <si>
    <t xml:space="preserve">BOOM TRUCKS</t>
  </si>
  <si>
    <t xml:space="preserve">Boom truck</t>
  </si>
  <si>
    <t xml:space="preserve">6000 cc</t>
  </si>
  <si>
    <t xml:space="preserve">5883cc</t>
  </si>
  <si>
    <t xml:space="preserve">14250cc</t>
  </si>
  <si>
    <t xml:space="preserve">CYZ51V57000104</t>
  </si>
  <si>
    <t xml:space="preserve">6WF1-137603</t>
  </si>
  <si>
    <t xml:space="preserve">7790cc</t>
  </si>
  <si>
    <t xml:space="preserve">FSR34L47000466 </t>
  </si>
  <si>
    <t xml:space="preserve">Bed</t>
  </si>
  <si>
    <t xml:space="preserve">5883  cc</t>
  </si>
  <si>
    <t xml:space="preserve">PUMP TRUCK</t>
  </si>
  <si>
    <t xml:space="preserve">Pump Truck</t>
  </si>
  <si>
    <t xml:space="preserve">12910 C</t>
  </si>
  <si>
    <t xml:space="preserve">FS1EWY-10707</t>
  </si>
  <si>
    <t xml:space="preserve">KABITHIGOLLAWA SITE</t>
  </si>
  <si>
    <t xml:space="preserve">6870.00 cc</t>
  </si>
  <si>
    <t xml:space="preserve">*190907800177</t>
  </si>
  <si>
    <t xml:space="preserve">MORAGAHAKANDA SITE</t>
  </si>
  <si>
    <t xml:space="preserve">DOUBLE CAB</t>
  </si>
  <si>
    <t xml:space="preserve">Double Cab</t>
  </si>
  <si>
    <t xml:space="preserve">2496 cc</t>
  </si>
  <si>
    <t xml:space="preserve">HEAD OFFICE</t>
  </si>
  <si>
    <t xml:space="preserve">2500 cc</t>
  </si>
  <si>
    <t xml:space="preserve">MIHINTHALE MR.ANANDA'"VEHICLE</t>
  </si>
  <si>
    <t xml:space="preserve">2499 cc</t>
  </si>
  <si>
    <t xml:space="preserve">JAATFR54HV-9102969</t>
  </si>
  <si>
    <t xml:space="preserve">BADALGAMA MR.SAMEERA' VEHICLE</t>
  </si>
  <si>
    <t xml:space="preserve">BADALGAMA (AUCTION)</t>
  </si>
  <si>
    <t xml:space="preserve">2477 cc</t>
  </si>
  <si>
    <t xml:space="preserve">MMBJNK7404D007137</t>
  </si>
  <si>
    <t xml:space="preserve">4D56BL4085</t>
  </si>
  <si>
    <t xml:space="preserve">BADALGAMA S.O.M'"VEHICLE</t>
  </si>
  <si>
    <t xml:space="preserve">2523 cc</t>
  </si>
  <si>
    <t xml:space="preserve">1896 cc</t>
  </si>
  <si>
    <t xml:space="preserve">2933 cc</t>
  </si>
  <si>
    <t xml:space="preserve">2998 cc</t>
  </si>
  <si>
    <t xml:space="preserve">2489 cc</t>
  </si>
  <si>
    <t xml:space="preserve">MR.QUINTUS;S VEHICLE</t>
  </si>
  <si>
    <t xml:space="preserve">2494 cc</t>
  </si>
  <si>
    <t xml:space="preserve">BADALGAMA O.M'"VEHICLE</t>
  </si>
  <si>
    <t xml:space="preserve">MIHINTHALE MR.MAPA'"VEHICLE</t>
  </si>
  <si>
    <t xml:space="preserve">2755 cc</t>
  </si>
  <si>
    <t xml:space="preserve">CONSULTON'S VEHICLE</t>
  </si>
  <si>
    <t xml:space="preserve">2755cc</t>
  </si>
  <si>
    <t xml:space="preserve">2982CC</t>
  </si>
  <si>
    <t xml:space="preserve">57-3062</t>
  </si>
  <si>
    <t xml:space="preserve">1830 cc</t>
  </si>
  <si>
    <t xml:space="preserve">KATANA SITE</t>
  </si>
  <si>
    <t xml:space="preserve">TRANSFER DATE ON 15.06.2023</t>
  </si>
  <si>
    <t xml:space="preserve">1830cc</t>
  </si>
  <si>
    <t xml:space="preserve">2490 cc</t>
  </si>
  <si>
    <t xml:space="preserve">Crew cab</t>
  </si>
  <si>
    <t xml:space="preserve">2980 cc</t>
  </si>
  <si>
    <t xml:space="preserve">MUTUR PLANT</t>
  </si>
  <si>
    <t xml:space="preserve">2770 cc</t>
  </si>
  <si>
    <t xml:space="preserve">ANURADAPURA SITE</t>
  </si>
  <si>
    <t xml:space="preserve">2880 cc</t>
  </si>
  <si>
    <t xml:space="preserve">2771 cc</t>
  </si>
  <si>
    <t xml:space="preserve">LEFAFAA14HHNO1343</t>
  </si>
  <si>
    <t xml:space="preserve">JX493Q1GC177331</t>
  </si>
  <si>
    <t xml:space="preserve">LEFAFAA1XHHNO1346</t>
  </si>
  <si>
    <t xml:space="preserve">JX493Q1GC177332</t>
  </si>
  <si>
    <t xml:space="preserve">LEFAFAA16HHNO1344</t>
  </si>
  <si>
    <t xml:space="preserve">JX493Q1GC177333</t>
  </si>
  <si>
    <t xml:space="preserve">LEFAFAG24HHN11323</t>
  </si>
  <si>
    <t xml:space="preserve">JX493Q1H2015378</t>
  </si>
  <si>
    <t xml:space="preserve">LEFAFAA18HHNA1762</t>
  </si>
  <si>
    <t xml:space="preserve">SD23-129819</t>
  </si>
  <si>
    <t xml:space="preserve">5193 CC</t>
  </si>
  <si>
    <t xml:space="preserve">JAANPR75KJ7104331</t>
  </si>
  <si>
    <t xml:space="preserve">MAT37441659R54587</t>
  </si>
  <si>
    <t xml:space="preserve">GAMMIRISGASWEWA SITE</t>
  </si>
  <si>
    <t xml:space="preserve">MIHINTHALE PALNT</t>
  </si>
  <si>
    <t xml:space="preserve">2956 cc</t>
  </si>
  <si>
    <t xml:space="preserve">CONVERT TO DIESEL BOWSER</t>
  </si>
  <si>
    <t xml:space="preserve">MAT478012E9R04359</t>
  </si>
  <si>
    <t xml:space="preserve">AADN0146</t>
  </si>
  <si>
    <t xml:space="preserve">1357 cc</t>
  </si>
  <si>
    <t xml:space="preserve">702 cc</t>
  </si>
  <si>
    <t xml:space="preserve">702 CC</t>
  </si>
  <si>
    <t xml:space="preserve">2523cc</t>
  </si>
  <si>
    <t xml:space="preserve">ZP2TBKK2H98672</t>
  </si>
  <si>
    <t xml:space="preserve">TBK4H86397</t>
  </si>
  <si>
    <t xml:space="preserve">ASPHALT TEAM</t>
  </si>
  <si>
    <t xml:space="preserve">ZP21BKK2H98703</t>
  </si>
  <si>
    <t xml:space="preserve">TBK4H74953</t>
  </si>
  <si>
    <t xml:space="preserve">2956cc</t>
  </si>
  <si>
    <t xml:space="preserve">MAT464602KSR10788</t>
  </si>
  <si>
    <t xml:space="preserve">DUMP TRUCK</t>
  </si>
  <si>
    <t xml:space="preserve">Dump Truck</t>
  </si>
  <si>
    <t xml:space="preserve">03 Cube</t>
  </si>
  <si>
    <t xml:space="preserve">01 Cube</t>
  </si>
  <si>
    <t xml:space="preserve">02 Cube</t>
  </si>
  <si>
    <t xml:space="preserve">05 Cube</t>
  </si>
  <si>
    <t xml:space="preserve">MAT395084G2R20015</t>
  </si>
  <si>
    <t xml:space="preserve">GIH63541925</t>
  </si>
  <si>
    <t xml:space="preserve">MAT395084G2R18307</t>
  </si>
  <si>
    <t xml:space="preserve">61G63535643</t>
  </si>
  <si>
    <t xml:space="preserve">MAT395084G2R27415</t>
  </si>
  <si>
    <t xml:space="preserve">61L63558715</t>
  </si>
  <si>
    <t xml:space="preserve">MAT395084G2R26339</t>
  </si>
  <si>
    <t xml:space="preserve">61M63561575</t>
  </si>
  <si>
    <t xml:space="preserve">MAT395084G2R27231</t>
  </si>
  <si>
    <t xml:space="preserve">61M63564327</t>
  </si>
  <si>
    <t xml:space="preserve">MAT395084G2R26369</t>
  </si>
  <si>
    <t xml:space="preserve">61M63561357</t>
  </si>
  <si>
    <t xml:space="preserve">MAT395084G2R26335</t>
  </si>
  <si>
    <t xml:space="preserve">61M63561567</t>
  </si>
  <si>
    <t xml:space="preserve">MC2C8CRC0HL386688</t>
  </si>
  <si>
    <t xml:space="preserve">E413CDHL173452</t>
  </si>
  <si>
    <t xml:space="preserve">CONVERT TO WB-03</t>
  </si>
  <si>
    <t xml:space="preserve">MAT449019J2R10956</t>
  </si>
  <si>
    <t xml:space="preserve">81E63692750</t>
  </si>
  <si>
    <t xml:space="preserve">MAT449019J2R08783</t>
  </si>
  <si>
    <t xml:space="preserve">81C6380361</t>
  </si>
  <si>
    <t xml:space="preserve">MAT449019J2R11384</t>
  </si>
  <si>
    <t xml:space="preserve">81E63693771</t>
  </si>
  <si>
    <t xml:space="preserve">MAT449019J2R10506</t>
  </si>
  <si>
    <t xml:space="preserve">81E63691854</t>
  </si>
  <si>
    <t xml:space="preserve">SIYABALANDUWA SITE</t>
  </si>
  <si>
    <t xml:space="preserve">MAT449019J2R10801</t>
  </si>
  <si>
    <t xml:space="preserve">81E63692749</t>
  </si>
  <si>
    <t xml:space="preserve">MAT-395090J2R13741</t>
  </si>
  <si>
    <t xml:space="preserve">81F63702550</t>
  </si>
  <si>
    <t xml:space="preserve">MAT395090J2R13525</t>
  </si>
  <si>
    <t xml:space="preserve">81E63699195</t>
  </si>
  <si>
    <t xml:space="preserve"> LO-5984</t>
  </si>
  <si>
    <t xml:space="preserve">MAT395090J2R13557</t>
  </si>
  <si>
    <t xml:space="preserve">81E63699194</t>
  </si>
  <si>
    <t xml:space="preserve">MAT395090J2R12369</t>
  </si>
  <si>
    <t xml:space="preserve">81E63698284</t>
  </si>
  <si>
    <t xml:space="preserve">MAT395090J2R11103</t>
  </si>
  <si>
    <t xml:space="preserve">81D63689804</t>
  </si>
  <si>
    <t xml:space="preserve"> LO-7183</t>
  </si>
  <si>
    <t xml:space="preserve">MAT395090J2R13238</t>
  </si>
  <si>
    <t xml:space="preserve">81F63701137</t>
  </si>
  <si>
    <t xml:space="preserve">MAT395090J2R13436</t>
  </si>
  <si>
    <t xml:space="preserve">81F63701330</t>
  </si>
  <si>
    <t xml:space="preserve">MAT395090J2R13208</t>
  </si>
  <si>
    <t xml:space="preserve">81E63699586</t>
  </si>
  <si>
    <t xml:space="preserve">MAT395090J2R13252</t>
  </si>
  <si>
    <t xml:space="preserve">81F63701133</t>
  </si>
  <si>
    <t xml:space="preserve"> LO-7184</t>
  </si>
  <si>
    <t xml:space="preserve">MAT395090J2R11584</t>
  </si>
  <si>
    <t xml:space="preserve">81E63695590</t>
  </si>
  <si>
    <t xml:space="preserve"> LO-8349</t>
  </si>
  <si>
    <t xml:space="preserve">MAT395090J2R12371</t>
  </si>
  <si>
    <t xml:space="preserve">81E63698335</t>
  </si>
  <si>
    <t xml:space="preserve"> LO-8348</t>
  </si>
  <si>
    <t xml:space="preserve">MAT395090J2R13210</t>
  </si>
  <si>
    <t xml:space="preserve">81E63699587</t>
  </si>
  <si>
    <t xml:space="preserve"> LO-8350</t>
  </si>
  <si>
    <t xml:space="preserve">MAT395090J2R12140</t>
  </si>
  <si>
    <t xml:space="preserve">81D63689806</t>
  </si>
  <si>
    <t xml:space="preserve">03.6 CUBE</t>
  </si>
  <si>
    <t xml:space="preserve">MAT449042M5R00148</t>
  </si>
  <si>
    <t xml:space="preserve">MAT449042M5R00153</t>
  </si>
  <si>
    <t xml:space="preserve">MAT449042M5R00158</t>
  </si>
  <si>
    <t xml:space="preserve">MAT449042M5R00155</t>
  </si>
  <si>
    <t xml:space="preserve">MAT449042M5R00161</t>
  </si>
  <si>
    <t xml:space="preserve">MAT449042M5R00147</t>
  </si>
  <si>
    <t xml:space="preserve">MAT449042M5R00160</t>
  </si>
  <si>
    <t xml:space="preserve">MAT449042M5R00162</t>
  </si>
  <si>
    <t xml:space="preserve">MAT449042M5R00151</t>
  </si>
  <si>
    <t xml:space="preserve">MAT449042M5R00154</t>
  </si>
  <si>
    <t xml:space="preserve">MAT449042M5R00157</t>
  </si>
  <si>
    <t xml:space="preserve">MAT449042M5R00150</t>
  </si>
  <si>
    <t xml:space="preserve">MAT449042M5R00164</t>
  </si>
  <si>
    <t xml:space="preserve">MAT449042M5R00156</t>
  </si>
  <si>
    <t xml:space="preserve">MAT449042M5R00159</t>
  </si>
  <si>
    <t xml:space="preserve">MAT449042M5R00146</t>
  </si>
  <si>
    <t xml:space="preserve">12G63875860</t>
  </si>
  <si>
    <t xml:space="preserve">MAT449042M5R00183</t>
  </si>
  <si>
    <t xml:space="preserve">12G63876192</t>
  </si>
  <si>
    <t xml:space="preserve">MAT449042M5R00145</t>
  </si>
  <si>
    <t xml:space="preserve">12G63875866</t>
  </si>
  <si>
    <t xml:space="preserve">MAT449042M5R00152</t>
  </si>
  <si>
    <t xml:space="preserve">12G63876323</t>
  </si>
  <si>
    <t xml:space="preserve">MAT449042M5R00189</t>
  </si>
  <si>
    <t xml:space="preserve">12G63876322</t>
  </si>
  <si>
    <t xml:space="preserve">MAT449042M5R00184</t>
  </si>
  <si>
    <t xml:space="preserve">12G63876313</t>
  </si>
  <si>
    <t xml:space="preserve">AMPARA SITE ARAWL (SOLUTION)</t>
  </si>
  <si>
    <t xml:space="preserve">MAT449042M5R00149</t>
  </si>
  <si>
    <t xml:space="preserve">12G63876317</t>
  </si>
  <si>
    <t xml:space="preserve">MAT449042M5R00188</t>
  </si>
  <si>
    <t xml:space="preserve">12G63876156</t>
  </si>
  <si>
    <t xml:space="preserve">MAT449042M5R00163</t>
  </si>
  <si>
    <t xml:space="preserve">12G63876308</t>
  </si>
  <si>
    <t xml:space="preserve">MAT449042M5R00191</t>
  </si>
  <si>
    <t xml:space="preserve">12G63875859</t>
  </si>
  <si>
    <t xml:space="preserve">LOW BED</t>
  </si>
  <si>
    <t xml:space="preserve">19000 cc</t>
  </si>
  <si>
    <t xml:space="preserve">CYH81W1-3000141</t>
  </si>
  <si>
    <t xml:space="preserve">Prime Mover</t>
  </si>
  <si>
    <t xml:space="preserve">9834 cc</t>
  </si>
  <si>
    <t xml:space="preserve">5883 cc</t>
  </si>
  <si>
    <t xml:space="preserve">10837cc</t>
  </si>
  <si>
    <t xml:space="preserve">5799 cc</t>
  </si>
  <si>
    <t xml:space="preserve">MBIDTHFC9GRBP2358</t>
  </si>
  <si>
    <t xml:space="preserve">GBHZ112220</t>
  </si>
  <si>
    <t xml:space="preserve">4200 cc</t>
  </si>
  <si>
    <t xml:space="preserve">12913 00 cc</t>
  </si>
  <si>
    <t xml:space="preserve">LORRY TAILER</t>
  </si>
  <si>
    <t xml:space="preserve">1000L.</t>
  </si>
  <si>
    <t xml:space="preserve">2000L</t>
  </si>
  <si>
    <t xml:space="preserve">3000L</t>
  </si>
  <si>
    <t xml:space="preserve">KT25-4805974</t>
  </si>
  <si>
    <t xml:space="preserve">EXCAVETOR</t>
  </si>
  <si>
    <t xml:space="preserve">WHEEL EX</t>
  </si>
  <si>
    <t xml:space="preserve">303 CR </t>
  </si>
  <si>
    <t xml:space="preserve">HYUNDAI </t>
  </si>
  <si>
    <t xml:space="preserve">HZ614PG000A361</t>
  </si>
  <si>
    <t xml:space="preserve">145/107/1950</t>
  </si>
  <si>
    <t xml:space="preserve">N637D00040</t>
  </si>
  <si>
    <t xml:space="preserve">N637D00045</t>
  </si>
  <si>
    <t xml:space="preserve">N637D00042</t>
  </si>
  <si>
    <t xml:space="preserve">SOLUTION SITE(AMPARA)</t>
  </si>
  <si>
    <t xml:space="preserve">CAME ON 14.06.2023</t>
  </si>
  <si>
    <t xml:space="preserve">HHKHZ614JJ000C704</t>
  </si>
  <si>
    <t xml:space="preserve">HHKHZ614CJ000C705</t>
  </si>
  <si>
    <t xml:space="preserve">AEFB11320</t>
  </si>
  <si>
    <t xml:space="preserve">HHKHZ905PJ0004358</t>
  </si>
  <si>
    <t xml:space="preserve">HHKHZ905KH0003190</t>
  </si>
  <si>
    <t xml:space="preserve">AEFB11339</t>
  </si>
  <si>
    <t xml:space="preserve">SE210AA000558</t>
  </si>
  <si>
    <t xml:space="preserve">NKJ22CLMAMKA00179</t>
  </si>
  <si>
    <t xml:space="preserve">NKJ22CLMCMKA00180</t>
  </si>
  <si>
    <t xml:space="preserve">THISSAMAHARAMA SITE</t>
  </si>
  <si>
    <t xml:space="preserve">LP05242</t>
  </si>
  <si>
    <t xml:space="preserve">NKJ22CLMTMKA00254</t>
  </si>
  <si>
    <t xml:space="preserve">NKJ22CLMHMKA00248</t>
  </si>
  <si>
    <t xml:space="preserve">TRACTOR WATER BOUSER</t>
  </si>
  <si>
    <t xml:space="preserve">8000 L</t>
  </si>
  <si>
    <t xml:space="preserve">CONVERT TO 03 CUBE TIPPER</t>
  </si>
  <si>
    <t xml:space="preserve">RY-0299   </t>
  </si>
  <si>
    <t xml:space="preserve">T2012-17TTL</t>
  </si>
  <si>
    <t xml:space="preserve">RY-0301  </t>
  </si>
  <si>
    <t xml:space="preserve">T2011-17TTL</t>
  </si>
  <si>
    <t xml:space="preserve">RY-0304  </t>
  </si>
  <si>
    <t xml:space="preserve">T2010-17TTL</t>
  </si>
  <si>
    <t xml:space="preserve">T393117TTL</t>
  </si>
  <si>
    <t xml:space="preserve">10000 L</t>
  </si>
  <si>
    <t xml:space="preserve">TRCTOR TAILER</t>
  </si>
  <si>
    <t xml:space="preserve">0.75 Cube</t>
  </si>
  <si>
    <t xml:space="preserve">T1699 17 TTL</t>
  </si>
  <si>
    <t xml:space="preserve">RV-1991</t>
  </si>
  <si>
    <t xml:space="preserve">MUNDALAMA ESTATE(MISS.CHARITHA)</t>
  </si>
  <si>
    <t xml:space="preserve">1610 cc</t>
  </si>
  <si>
    <t xml:space="preserve">2250 cc</t>
  </si>
  <si>
    <t xml:space="preserve">T725514</t>
  </si>
  <si>
    <t xml:space="preserve">8325D83609</t>
  </si>
  <si>
    <t xml:space="preserve">2048 cc</t>
  </si>
  <si>
    <t xml:space="preserve">Tractor - 04 wheel</t>
  </si>
  <si>
    <t xml:space="preserve">2500 CC</t>
  </si>
  <si>
    <t xml:space="preserve">MADANPALLA REPAIR CENTER</t>
  </si>
  <si>
    <t xml:space="preserve">RG-3189</t>
  </si>
  <si>
    <t xml:space="preserve">RG-3187</t>
  </si>
  <si>
    <t xml:space="preserve">99.35 cc</t>
  </si>
  <si>
    <t xml:space="preserve">ANURADAPURA MR.VIJITHA</t>
  </si>
  <si>
    <t xml:space="preserve">100 cc</t>
  </si>
  <si>
    <t xml:space="preserve">BADALGAMA(UNUSABLE)</t>
  </si>
  <si>
    <t xml:space="preserve">99.27 cc</t>
  </si>
  <si>
    <t xml:space="preserve">ISSUED TO C.COM</t>
  </si>
  <si>
    <t xml:space="preserve">DISCOVER 125 </t>
  </si>
  <si>
    <t xml:space="preserve">124.60 cc</t>
  </si>
  <si>
    <t xml:space="preserve">102 cc</t>
  </si>
  <si>
    <t xml:space="preserve">125 cc</t>
  </si>
  <si>
    <t xml:space="preserve">MD2DSD5ZZPCC12865</t>
  </si>
  <si>
    <t xml:space="preserve">MD2DDJKZZUWH72456</t>
  </si>
  <si>
    <t xml:space="preserve">MD2A76AZ2HWK41111</t>
  </si>
  <si>
    <t xml:space="preserve">PLATINA </t>
  </si>
  <si>
    <t xml:space="preserve">MD2A19AZ7CWC00522</t>
  </si>
  <si>
    <t xml:space="preserve">MD2A76AZ2FWJ44231</t>
  </si>
  <si>
    <t xml:space="preserve">KATANA WATER PROJECT(MR.PRADEEP-TO)</t>
  </si>
  <si>
    <t xml:space="preserve">MD2A76AZ0FWJ44292</t>
  </si>
  <si>
    <t xml:space="preserve">MD2A19AZ0CWH07164</t>
  </si>
  <si>
    <t xml:space="preserve">MD2A19AZ6DWL11819</t>
  </si>
  <si>
    <t xml:space="preserve">ME4JC679MJ8001994</t>
  </si>
  <si>
    <t xml:space="preserve">ME4JC673EH8113339</t>
  </si>
  <si>
    <t xml:space="preserve">C50-9742232</t>
  </si>
  <si>
    <t xml:space="preserve">C50-9791010</t>
  </si>
  <si>
    <t xml:space="preserve">C50-0529599</t>
  </si>
  <si>
    <t xml:space="preserve">MF4JC65BHKG000509</t>
  </si>
  <si>
    <t xml:space="preserve">BIE-8564</t>
  </si>
  <si>
    <t xml:space="preserve">ME4JC65BCJT027595</t>
  </si>
  <si>
    <t xml:space="preserve">BIE-8576</t>
  </si>
  <si>
    <t xml:space="preserve">BID-8756</t>
  </si>
  <si>
    <t xml:space="preserve">MD2B44BY5KWD45805</t>
  </si>
  <si>
    <t xml:space="preserve">BIE-8724</t>
  </si>
  <si>
    <t xml:space="preserve">BGM-2094</t>
  </si>
  <si>
    <t xml:space="preserve">KEBATHIGOLLAWA</t>
  </si>
  <si>
    <t xml:space="preserve">BIE-8569</t>
  </si>
  <si>
    <t xml:space="preserve">BII-2153</t>
  </si>
  <si>
    <t xml:space="preserve">BGY-6447</t>
  </si>
  <si>
    <t xml:space="preserve">BGG-6941</t>
  </si>
  <si>
    <t xml:space="preserve">BII-2094</t>
  </si>
  <si>
    <t xml:space="preserve">SOLUTION </t>
  </si>
  <si>
    <t xml:space="preserve">3500 L</t>
  </si>
  <si>
    <t xml:space="preserve">MIHINTHALE SITE(199-LOT-02)</t>
  </si>
  <si>
    <t xml:space="preserve">1280718T/L</t>
  </si>
  <si>
    <t xml:space="preserve">FOCK LIFT</t>
  </si>
  <si>
    <t xml:space="preserve">TOTAL</t>
  </si>
  <si>
    <t xml:space="preserve">ENGINEERING COST ASSUMPTIONS — 2026</t>
  </si>
  <si>
    <t xml:space="preserve">Blue cells = editable inputs. All figures in LKR unless stated.</t>
  </si>
  <si>
    <t xml:space="preserve">GLOBAL INPUTS</t>
  </si>
  <si>
    <t xml:space="preserve">Auto-diesel price (LKR/L)</t>
  </si>
  <si>
    <t xml:space="preserve">Source: CPC / Lanka IOC, March 2026</t>
  </si>
  <si>
    <t xml:space="preserve">Monthly working hours (min)</t>
  </si>
  <si>
    <t xml:space="preserve">Given by management</t>
  </si>
  <si>
    <t xml:space="preserve">Daily working hours (min)</t>
  </si>
  <si>
    <t xml:space="preserve">Operator rate (LKR/hour)</t>
  </si>
  <si>
    <t xml:space="preserve">Operator minimum monthly pay (LKR)</t>
  </si>
  <si>
    <t xml:space="preserve">Given by management — applies when hours × rate &lt; this</t>
  </si>
  <si>
    <t xml:space="preserve">Overhead rate (% on direct cost)</t>
  </si>
  <si>
    <t xml:space="preserve">Yard, admin, insurance, transport, depreciation recovery</t>
  </si>
  <si>
    <t xml:space="preserve">Gross profit margin (% on total cost)</t>
  </si>
  <si>
    <t xml:space="preserve">Management target</t>
  </si>
  <si>
    <t xml:space="preserve">Working days per month</t>
  </si>
  <si>
    <t xml:space="preserve">6-day work week</t>
  </si>
  <si>
    <t xml:space="preserve">Annual inflation on parts</t>
  </si>
  <si>
    <t xml:space="preserve">Applied when projecting multi-year</t>
  </si>
  <si>
    <t xml:space="preserve">CATEGORY ENGINEERING DATA</t>
  </si>
  <si>
    <t xml:space="preserve">Fuel (L/h)</t>
  </si>
  <si>
    <t xml:space="preserve">PM base (LKR/h)</t>
  </si>
  <si>
    <t xml:space="preserve">Major-repair base (LKR/h)</t>
  </si>
  <si>
    <t xml:space="preserve">Brand-new price (LKR mln)</t>
  </si>
  <si>
    <t xml:space="preserve">Service life (yrs)</t>
  </si>
  <si>
    <t xml:space="preserve">Reliability / market note</t>
  </si>
  <si>
    <t xml:space="preserve">Wet hourly fuel cost (LKR)</t>
  </si>
  <si>
    <t xml:space="preserve">JCB 3DX Plus new ~Rs. 15–18M; strong resale</t>
  </si>
  <si>
    <t xml:space="preserve">SHANTUI SL50W / CAT 910E ~Rs. 35–55M</t>
  </si>
  <si>
    <t xml:space="preserve">TATA LPK2518 + mixer ~Rs. 20–25M</t>
  </si>
  <si>
    <t xml:space="preserve">FIORI DB350 new ~Rs. 26–30M, niche machine</t>
  </si>
  <si>
    <t xml:space="preserve">HAMM 311D / SAKAI SW-900 ~Rs. 20–28M</t>
  </si>
  <si>
    <t xml:space="preserve">BOMAG BW138/Dynapac CC1300 ~Rs. 12–18M</t>
  </si>
  <si>
    <t xml:space="preserve">Dynapac CP201 / SAKAI ~Rs. 18–22M</t>
  </si>
  <si>
    <t xml:space="preserve">SANY STG170 / CAT 140 new ~Rs. 45–65M</t>
  </si>
  <si>
    <t xml:space="preserve">BOBCAT S450/S770 new ~Rs. 9–13M</t>
  </si>
  <si>
    <t xml:space="preserve">VOLVO P6820 / SUMITOMO HA60 ~Rs. 40–55M</t>
  </si>
  <si>
    <t xml:space="preserve">DFAC/Foton chassis + insulated tank ~Rs. 12–16M</t>
  </si>
  <si>
    <t xml:space="preserve">KOBELCO RK250 25T new ~Rs. 45–55M</t>
  </si>
  <si>
    <t xml:space="preserve">TATA/ISUZU + 3T crane ~Rs. 14–18M</t>
  </si>
  <si>
    <t xml:space="preserve">HINO/TATA LPS4018 + bed ~Rs. 20–25M</t>
  </si>
  <si>
    <t xml:space="preserve">SANY/HINO concrete pump ~Rs. 50–65M</t>
  </si>
  <si>
    <t xml:space="preserve">TOYOTA HILUX 2026 ~Rs. 26–29M (strong resale)</t>
  </si>
  <si>
    <t xml:space="preserve">TOYOTA KDH200V ~Rs. 12–16M (reconditioned)</t>
  </si>
  <si>
    <t xml:space="preserve">JMC/ISUZU crew cab ~Rs. 10–13M</t>
  </si>
  <si>
    <t xml:space="preserve">TATA YODHA / Mahindra BMT ~Rs. 5.5–7.5M</t>
  </si>
  <si>
    <t xml:space="preserve">TATA LPK1618 tipper ~Rs. 14–18M</t>
  </si>
  <si>
    <t xml:space="preserve">Locally built/Wimalaoro trailer ~Rs. 2–3M (no engine)</t>
  </si>
  <si>
    <t xml:space="preserve">Tantri TFB40 ~Rs. 4–5M (no engine)</t>
  </si>
  <si>
    <t xml:space="preserve">TATA 207 + bowser ~Rs. 8–10M</t>
  </si>
  <si>
    <t xml:space="preserve">20T class HYUNDAI R220 / CAT 320 ~Rs. 38–48M</t>
  </si>
  <si>
    <t xml:space="preserve">TATA/Ashok Leyland + tank ~Rs. 10–14M</t>
  </si>
  <si>
    <t xml:space="preserve">MAHINDRA 575 / TAFE 45DI ~Rs. 4.5–6.5M</t>
  </si>
  <si>
    <t xml:space="preserve">BAJAJ Platina / HONDA CD110 ~Rs. 400k–500k</t>
  </si>
  <si>
    <t xml:space="preserve">Farm tractor + bowser combo ~Rs. 6–7M</t>
  </si>
  <si>
    <t xml:space="preserve">3T diesel forklift ~Rs. 10–14M</t>
  </si>
  <si>
    <t xml:space="preserve">AGE MULTIPLIERS (how costs escalate with age)</t>
  </si>
  <si>
    <t xml:space="preserve">Machine age (yrs)</t>
  </si>
  <si>
    <t xml:space="preserve">PM multiplier</t>
  </si>
  <si>
    <t xml:space="preserve">Major-repair mult</t>
  </si>
  <si>
    <t xml:space="preserve">0 – 5</t>
  </si>
  <si>
    <t xml:space="preserve">Under warranty / basic service only</t>
  </si>
  <si>
    <t xml:space="preserve">6 – 10</t>
  </si>
  <si>
    <t xml:space="preserve">Out of warranty; filters, brakes wear normally</t>
  </si>
  <si>
    <t xml:space="preserve">11 – 15</t>
  </si>
  <si>
    <t xml:space="preserve">First major overhaul window; hydraulic seals, bearings</t>
  </si>
  <si>
    <t xml:space="preserve">16 – 20</t>
  </si>
  <si>
    <t xml:space="preserve">Engine rebuild territory; parts harder to source</t>
  </si>
  <si>
    <t xml:space="preserve">Over 20 / unknown</t>
  </si>
  <si>
    <t xml:space="preserve">End-of-life — likely uneconomical to keep</t>
  </si>
  <si>
    <t xml:space="preserve">TYPICAL CONSUMABLE PRICES (Sri Lanka 2026)</t>
  </si>
  <si>
    <t xml:space="preserve">Item</t>
  </si>
  <si>
    <t xml:space="preserve">Pack size</t>
  </si>
  <si>
    <t xml:space="preserve">Price (LKR)</t>
  </si>
  <si>
    <t xml:space="preserve">Typical lifetime</t>
  </si>
  <si>
    <t xml:space="preserve">Source</t>
  </si>
  <si>
    <t xml:space="preserve">Engine oil 15W-40 (Caltex Delo / Chevron)</t>
  </si>
  <si>
    <t xml:space="preserve">20 L pail</t>
  </si>
  <si>
    <t xml:space="preserve">250–500 hrs</t>
  </si>
  <si>
    <t xml:space="preserve">Chevron Lanka price list Jan 2024</t>
  </si>
  <si>
    <t xml:space="preserve">Engine oil 15W-40 (Caltex Delo)</t>
  </si>
  <si>
    <t xml:space="preserve">1 L bottle</t>
  </si>
  <si>
    <t xml:space="preserve">Chevron Lanka</t>
  </si>
  <si>
    <t xml:space="preserve">Hydraulic oil AW-68 (Rando HD 68)</t>
  </si>
  <si>
    <t xml:space="preserve">20 L</t>
  </si>
  <si>
    <t xml:space="preserve">1,000–2,000 hrs</t>
  </si>
  <si>
    <t xml:space="preserve">greasemonkey.lk</t>
  </si>
  <si>
    <t xml:space="preserve">Oil filter (diesel engine)</t>
  </si>
  <si>
    <t xml:space="preserve">1 pc</t>
  </si>
  <si>
    <t xml:space="preserve">Greasemonkey/Sakura avg</t>
  </si>
  <si>
    <t xml:space="preserve">Fuel filter + water separator</t>
  </si>
  <si>
    <t xml:space="preserve">set</t>
  </si>
  <si>
    <t xml:space="preserve">500 hrs</t>
  </si>
  <si>
    <t xml:space="preserve">Local dealer avg</t>
  </si>
  <si>
    <t xml:space="preserve">Air filter element (primary)</t>
  </si>
  <si>
    <t xml:space="preserve">Hydraulic return filter</t>
  </si>
  <si>
    <t xml:space="preserve">1,000 hrs</t>
  </si>
  <si>
    <t xml:space="preserve">Multi-purpose grease (EP-2)</t>
  </si>
  <si>
    <t xml:space="preserve">18 kg drum</t>
  </si>
  <si>
    <t xml:space="preserve">Caltex / Shell</t>
  </si>
  <si>
    <t xml:space="preserve">Coolant / antifreeze</t>
  </si>
  <si>
    <t xml:space="preserve">5 L</t>
  </si>
  <si>
    <t xml:space="preserve">Annual</t>
  </si>
  <si>
    <t xml:space="preserve">Gear oil (SAE 90)</t>
  </si>
  <si>
    <t xml:space="preserve">Tyre 10.00-20 (truck/tipper)</t>
  </si>
  <si>
    <t xml:space="preserve">50,000 km</t>
  </si>
  <si>
    <t xml:space="preserve">ikman / Damro avg</t>
  </si>
  <si>
    <t xml:space="preserve">Tyre 18.4-26 (backhoe rear)</t>
  </si>
  <si>
    <t xml:space="preserve">3,000 hrs</t>
  </si>
  <si>
    <t xml:space="preserve">SENOK / local importer avg</t>
  </si>
  <si>
    <t xml:space="preserve">Bucket teeth (20T excavator)</t>
  </si>
  <si>
    <t xml:space="preserve">set of 5</t>
  </si>
  <si>
    <t xml:space="preserve">1,500 hrs</t>
  </si>
  <si>
    <t xml:space="preserve">Importer avg</t>
  </si>
  <si>
    <t xml:space="preserve">V-belt (alternator / fan)</t>
  </si>
  <si>
    <t xml:space="preserve">Battery N100 (heavy duty)</t>
  </si>
  <si>
    <t xml:space="preserve">2 years</t>
  </si>
  <si>
    <t xml:space="preserve">Exide / Lucas</t>
  </si>
  <si>
    <t xml:space="preserve">ENGINEERING COST BUILD-UP — per hour rate construction</t>
  </si>
  <si>
    <t xml:space="preserve">For every fleet unit: Fuel + Operator + Preventive maintenance + Major repair + Overhead + 20% profit = recommended WET rate</t>
  </si>
  <si>
    <t xml:space="preserve">Brand / Model</t>
  </si>
  <si>
    <t xml:space="preserve">Age</t>
  </si>
  <si>
    <t xml:space="preserve">Fuel cost/h</t>
  </si>
  <si>
    <t xml:space="preserve">Operator/h</t>
  </si>
  <si>
    <t xml:space="preserve">PM/h (age-adj.)</t>
  </si>
  <si>
    <t xml:space="preserve">Major repair/h (age-adj.)</t>
  </si>
  <si>
    <t xml:space="preserve">Direct cost/h</t>
  </si>
  <si>
    <t xml:space="preserve">Overhead/h</t>
  </si>
  <si>
    <t xml:space="preserve">Total cost/h</t>
  </si>
  <si>
    <t xml:space="preserve">Profit/h (20%)</t>
  </si>
  <si>
    <t xml:space="preserve">Suggested WET /h</t>
  </si>
  <si>
    <t xml:space="preserve">Current WET /h (Fleet sheet)</t>
  </si>
  <si>
    <t xml:space="preserve">P</t>
  </si>
  <si>
    <t xml:space="preserve">Q</t>
  </si>
  <si>
    <t xml:space="preserve">R</t>
  </si>
  <si>
    <t xml:space="preserve">S</t>
  </si>
  <si>
    <t xml:space="preserve">BOB CAT B760</t>
  </si>
  <si>
    <t xml:space="preserve">J.C.B 3DX</t>
  </si>
  <si>
    <t xml:space="preserve">J.C.B 570ST</t>
  </si>
  <si>
    <t xml:space="preserve">JCB JCB 3DX</t>
  </si>
  <si>
    <t xml:space="preserve">JCB JCB 3CX</t>
  </si>
  <si>
    <t xml:space="preserve">JCB SLP3CX</t>
  </si>
  <si>
    <t xml:space="preserve">SHANTUI SL-50WN</t>
  </si>
  <si>
    <t xml:space="preserve">KOMATSU WA-80SS</t>
  </si>
  <si>
    <t xml:space="preserve">KOMATSU WA150</t>
  </si>
  <si>
    <t xml:space="preserve">SANTUI SL30W</t>
  </si>
  <si>
    <t xml:space="preserve">KOMATSU 924F</t>
  </si>
  <si>
    <t xml:space="preserve">KOMATSU 510</t>
  </si>
  <si>
    <t xml:space="preserve">KOMATSU WA100</t>
  </si>
  <si>
    <t xml:space="preserve">CAT CAT910</t>
  </si>
  <si>
    <t xml:space="preserve">CAT 910E</t>
  </si>
  <si>
    <t xml:space="preserve">TATA LPK 1618</t>
  </si>
  <si>
    <t xml:space="preserve">TATA LPK 2518</t>
  </si>
  <si>
    <t xml:space="preserve">ELCHER TERRA 16</t>
  </si>
  <si>
    <t xml:space="preserve">ASHOK LEYLAND TUSKER SUPER 1613</t>
  </si>
  <si>
    <t xml:space="preserve">MITSUBISHI KK-FE73EB CANTER</t>
  </si>
  <si>
    <t xml:space="preserve">ISUZU KK-NRR35C4 FORWARD</t>
  </si>
  <si>
    <t xml:space="preserve">ISUZU KC-NRR33C20</t>
  </si>
  <si>
    <t xml:space="preserve">MITSUBISHI KC-FH217C</t>
  </si>
  <si>
    <t xml:space="preserve">MITSUBISHI KC-FE517BN</t>
  </si>
  <si>
    <t xml:space="preserve">MITSUBISHI U.FE315BN</t>
  </si>
  <si>
    <t xml:space="preserve">FIORI BF08H01307</t>
  </si>
  <si>
    <t xml:space="preserve">FIORI 8FO8H01246</t>
  </si>
  <si>
    <t xml:space="preserve">FIORI 8FO8H01252</t>
  </si>
  <si>
    <t xml:space="preserve">DYNAPAC CC425</t>
  </si>
  <si>
    <t xml:space="preserve">DYNAPAC CA30D</t>
  </si>
  <si>
    <t xml:space="preserve">CASE 1107EXD</t>
  </si>
  <si>
    <t xml:space="preserve">HAMM HAMM 311D</t>
  </si>
  <si>
    <t xml:space="preserve">CASE —</t>
  </si>
  <si>
    <t xml:space="preserve">SAKAI SW-900</t>
  </si>
  <si>
    <t xml:space="preserve">(Unknown) R12</t>
  </si>
  <si>
    <t xml:space="preserve">(Unknown) —</t>
  </si>
  <si>
    <t xml:space="preserve">IR 2860-01</t>
  </si>
  <si>
    <t xml:space="preserve">DYNAPAC CA250D</t>
  </si>
  <si>
    <t xml:space="preserve">MACADAM —</t>
  </si>
  <si>
    <t xml:space="preserve">SAKAI R2V</t>
  </si>
  <si>
    <t xml:space="preserve">(Unknown) SL203468</t>
  </si>
  <si>
    <t xml:space="preserve">BOMAG BW-138 AD</t>
  </si>
  <si>
    <t xml:space="preserve">BOMAG SA-00-350</t>
  </si>
  <si>
    <t xml:space="preserve">BOMAG BW 75 H</t>
  </si>
  <si>
    <t xml:space="preserve">TACOM TFR60TDS</t>
  </si>
  <si>
    <t xml:space="preserve">TACOM BW 75 H</t>
  </si>
  <si>
    <t xml:space="preserve">BOMAG —</t>
  </si>
  <si>
    <t xml:space="preserve">BOMAG BW 138 AD-05</t>
  </si>
  <si>
    <t xml:space="preserve">CAT 1650NK0285</t>
  </si>
  <si>
    <t xml:space="preserve">DYNAPAC CC142 II</t>
  </si>
  <si>
    <t xml:space="preserve">DYNAPAC CC1300</t>
  </si>
  <si>
    <t xml:space="preserve">SAKAI SW-300</t>
  </si>
  <si>
    <t xml:space="preserve">HAMM —</t>
  </si>
  <si>
    <t xml:space="preserve">KOMATSU —</t>
  </si>
  <si>
    <t xml:space="preserve">(Unknown) CC-1250</t>
  </si>
  <si>
    <t xml:space="preserve">ATLAS —</t>
  </si>
  <si>
    <t xml:space="preserve">CAT CB-504C</t>
  </si>
  <si>
    <t xml:space="preserve">SAKAI —</t>
  </si>
  <si>
    <t xml:space="preserve">SAKAI TW-41</t>
  </si>
  <si>
    <t xml:space="preserve">DYNAPAC CP-201W</t>
  </si>
  <si>
    <t xml:space="preserve">FURUKAWA FT-20W</t>
  </si>
  <si>
    <t xml:space="preserve">KAWASAKI KR-20 D</t>
  </si>
  <si>
    <t xml:space="preserve">KTDTO RT-200W</t>
  </si>
  <si>
    <t xml:space="preserve">SAKAI 6BD1LJ-01</t>
  </si>
  <si>
    <t xml:space="preserve">SAKAI C200</t>
  </si>
  <si>
    <t xml:space="preserve">SAKAI TS200</t>
  </si>
  <si>
    <t xml:space="preserve">KOMATSU J.W 200</t>
  </si>
  <si>
    <t xml:space="preserve">SANY STG170C-8</t>
  </si>
  <si>
    <t xml:space="preserve">SANY STG170C-9</t>
  </si>
  <si>
    <t xml:space="preserve">MITSUBISHI 2GB00258</t>
  </si>
  <si>
    <t xml:space="preserve">MITSUBISHI 2GB01241</t>
  </si>
  <si>
    <t xml:space="preserve">CATERPILLER *CAT0140HC5HM03479*</t>
  </si>
  <si>
    <t xml:space="preserve">KOMATSU 2501</t>
  </si>
  <si>
    <t xml:space="preserve">MITSUBHISHI MG 230</t>
  </si>
  <si>
    <t xml:space="preserve">MITSUBISHI 452-65-147</t>
  </si>
  <si>
    <t xml:space="preserve">MITSUBISHI 320-11-21GD</t>
  </si>
  <si>
    <t xml:space="preserve">BOB CAT S-450</t>
  </si>
  <si>
    <t xml:space="preserve">BOB CAT S-16</t>
  </si>
  <si>
    <t xml:space="preserve">BOB CAT —</t>
  </si>
  <si>
    <t xml:space="preserve">BOB CAT S450 —</t>
  </si>
  <si>
    <t xml:space="preserve">CAT 216B3</t>
  </si>
  <si>
    <t xml:space="preserve">BOB CAT S770</t>
  </si>
  <si>
    <t xml:space="preserve">BOB CAT S130</t>
  </si>
  <si>
    <t xml:space="preserve">DYNAPAC SD2500C</t>
  </si>
  <si>
    <t xml:space="preserve">VOLVO P6820C</t>
  </si>
  <si>
    <t xml:space="preserve">MITSUBISHI MF-55WH</t>
  </si>
  <si>
    <t xml:space="preserve">MITSUBISHI MF60WD</t>
  </si>
  <si>
    <t xml:space="preserve">MITSUBISHI MF40WH</t>
  </si>
  <si>
    <t xml:space="preserve">NIGATA —</t>
  </si>
  <si>
    <t xml:space="preserve">SUMITOMO HA45C-2065</t>
  </si>
  <si>
    <t xml:space="preserve">SUMITOMO HA60W-7</t>
  </si>
  <si>
    <t xml:space="preserve">SUMITOMO HA60W-5</t>
  </si>
  <si>
    <t xml:space="preserve">DFAC EQ1110SJ8BDC</t>
  </si>
  <si>
    <t xml:space="preserve">TATA LPT 709</t>
  </si>
  <si>
    <t xml:space="preserve">FOTON BJ1056R</t>
  </si>
  <si>
    <t xml:space="preserve">ASHOK LEYLAND COMET SUPER</t>
  </si>
  <si>
    <t xml:space="preserve">TADANO TR-350M-3-00101</t>
  </si>
  <si>
    <t xml:space="preserve">KOBELCO RK 250</t>
  </si>
  <si>
    <t xml:space="preserve">TATA LPT1613</t>
  </si>
  <si>
    <t xml:space="preserve">ISUZU PJ.CYZ51V5.OIOA</t>
  </si>
  <si>
    <t xml:space="preserve">ISUZU KL.FSR34LARFORWARD</t>
  </si>
  <si>
    <t xml:space="preserve">FREIGHT ROVER —</t>
  </si>
  <si>
    <t xml:space="preserve">ASHOK LELAND TAURUS 2518</t>
  </si>
  <si>
    <t xml:space="preserve">RENAULT PREMIUM</t>
  </si>
  <si>
    <t xml:space="preserve">TATA LPS4018</t>
  </si>
  <si>
    <t xml:space="preserve">TATA LPT2516</t>
  </si>
  <si>
    <t xml:space="preserve">HINO PROFLA</t>
  </si>
  <si>
    <t xml:space="preserve">ASHOK LELAND CAROO 709</t>
  </si>
  <si>
    <t xml:space="preserve">RENAULT —</t>
  </si>
  <si>
    <t xml:space="preserve">ISUZU GIGA</t>
  </si>
  <si>
    <t xml:space="preserve">SANY LZZ1BCKH2KW579978</t>
  </si>
  <si>
    <t xml:space="preserve">HINO FS1EWY</t>
  </si>
  <si>
    <t xml:space="preserve">TOYOTA HILUX</t>
  </si>
  <si>
    <t xml:space="preserve">TOYOTA HILUX CUN126R DTTLH</t>
  </si>
  <si>
    <t xml:space="preserve">MAHINDRA IMPERIO DCVX</t>
  </si>
  <si>
    <t xml:space="preserve">MAHINDRA BOLERO CAMPER GOLD</t>
  </si>
  <si>
    <t xml:space="preserve">MITSUBISHI L 200</t>
  </si>
  <si>
    <t xml:space="preserve">TOYOTA HILUX VIGO</t>
  </si>
  <si>
    <t xml:space="preserve">TOYOTA HILUX HL2 D-4D 4*4</t>
  </si>
  <si>
    <t xml:space="preserve">VOLKSWAGON T5 TRANSPORTER</t>
  </si>
  <si>
    <t xml:space="preserve">MITSUBISHI MOTOR PIC-UP</t>
  </si>
  <si>
    <t xml:space="preserve">ISUZU MOTOR PIC-UP</t>
  </si>
  <si>
    <t xml:space="preserve">DATZEN MOTOR PIC-UP</t>
  </si>
  <si>
    <t xml:space="preserve">TOYOTA —</t>
  </si>
  <si>
    <t xml:space="preserve">TOYOTA KDH200V</t>
  </si>
  <si>
    <t xml:space="preserve">TOYOTA TOYOTA TOWNACE</t>
  </si>
  <si>
    <t xml:space="preserve">TOYOTA LITEACE</t>
  </si>
  <si>
    <t xml:space="preserve">JMC JX1032DSR</t>
  </si>
  <si>
    <t xml:space="preserve">ISUZU PR75KJ7104331</t>
  </si>
  <si>
    <t xml:space="preserve">JMC 1X1041DSLA2RS</t>
  </si>
  <si>
    <t xml:space="preserve">TOYOTA KO-LY132</t>
  </si>
  <si>
    <t xml:space="preserve">TOYOTA KC-LY101</t>
  </si>
  <si>
    <t xml:space="preserve">TOYOTA KC-LY111</t>
  </si>
  <si>
    <t xml:space="preserve">DATSUN AGY720-921207</t>
  </si>
  <si>
    <t xml:space="preserve">TOYOTA BU19</t>
  </si>
  <si>
    <t xml:space="preserve">MAHINDRA BMT PLUS MTI</t>
  </si>
  <si>
    <t xml:space="preserve">TATA YODHA BSIV</t>
  </si>
  <si>
    <t xml:space="preserve">TATA 207 RX PICKUP</t>
  </si>
  <si>
    <t xml:space="preserve">DFSK EQ1020DR</t>
  </si>
  <si>
    <t xml:space="preserve">TATA 207DI/28</t>
  </si>
  <si>
    <t xml:space="preserve">TATA ACE</t>
  </si>
  <si>
    <t xml:space="preserve">TATA 207 DI</t>
  </si>
  <si>
    <t xml:space="preserve">LITEACE —</t>
  </si>
  <si>
    <t xml:space="preserve">TATA LPK1618</t>
  </si>
  <si>
    <t xml:space="preserve">TATA LPK1615TC</t>
  </si>
  <si>
    <t xml:space="preserve">TATA 10.80 TIPPER</t>
  </si>
  <si>
    <t xml:space="preserve">TATA LPK 1615</t>
  </si>
  <si>
    <t xml:space="preserve">ASHOK LELAND LPK 407</t>
  </si>
  <si>
    <t xml:space="preserve">TATA LPK 407</t>
  </si>
  <si>
    <t xml:space="preserve">ASHOK LELAND COMMET TIPPER 1613</t>
  </si>
  <si>
    <t xml:space="preserve">ASHOK LELAND TAURUS 2516</t>
  </si>
  <si>
    <t xml:space="preserve">TATA LPK 909</t>
  </si>
  <si>
    <t xml:space="preserve">ELCHER TERRA16 HDR</t>
  </si>
  <si>
    <t xml:space="preserve">ASHOK LELAND TAURUS</t>
  </si>
  <si>
    <t xml:space="preserve">ELCHER 20.16</t>
  </si>
  <si>
    <t xml:space="preserve">ASHOK LELAND COMET</t>
  </si>
  <si>
    <t xml:space="preserve">TATA COMMET TIPPER 1613</t>
  </si>
  <si>
    <t xml:space="preserve">LOCALLY BUILT Tractor trailer</t>
  </si>
  <si>
    <t xml:space="preserve">TANKER Tractor trailer</t>
  </si>
  <si>
    <t xml:space="preserve">WIMALAORO Tractor trailer</t>
  </si>
  <si>
    <t xml:space="preserve">TANTRI TFB40</t>
  </si>
  <si>
    <t xml:space="preserve">TANTRI TSK 20</t>
  </si>
  <si>
    <t xml:space="preserve">ISUZU —</t>
  </si>
  <si>
    <t xml:space="preserve">ISUZU 207 DI</t>
  </si>
  <si>
    <t xml:space="preserve">NISSAN ATLAS</t>
  </si>
  <si>
    <t xml:space="preserve">TATA —</t>
  </si>
  <si>
    <t xml:space="preserve">CASE CX220C LC HD</t>
  </si>
  <si>
    <t xml:space="preserve">HYUNDAI E55W</t>
  </si>
  <si>
    <t xml:space="preserve">HYUNDAI R230LM</t>
  </si>
  <si>
    <t xml:space="preserve">HYUNDAI R220LC-9S</t>
  </si>
  <si>
    <t xml:space="preserve">KOBELKO 200</t>
  </si>
  <si>
    <t xml:space="preserve">CAT 303 CR</t>
  </si>
  <si>
    <t xml:space="preserve">CATAPILLAR 314C</t>
  </si>
  <si>
    <t xml:space="preserve">HITHACHI EX75UR-3</t>
  </si>
  <si>
    <t xml:space="preserve">KOBELKO YD-00418</t>
  </si>
  <si>
    <t xml:space="preserve">KOMATSU PC-30</t>
  </si>
  <si>
    <t xml:space="preserve">CAT CAT308CCR</t>
  </si>
  <si>
    <t xml:space="preserve">KUBOTA KX-040</t>
  </si>
  <si>
    <t xml:space="preserve">VOLVO EC210V</t>
  </si>
  <si>
    <t xml:space="preserve">KOBELKO SK115SR</t>
  </si>
  <si>
    <t xml:space="preserve">KOMATSU PC-40MR-1</t>
  </si>
  <si>
    <t xml:space="preserve">KOMATSU PC-60-6</t>
  </si>
  <si>
    <t xml:space="preserve">KOMATSU PC-100</t>
  </si>
  <si>
    <t xml:space="preserve">HITACHI UH045</t>
  </si>
  <si>
    <t xml:space="preserve">KUBOTA U-25-35</t>
  </si>
  <si>
    <t xml:space="preserve">KOMATSU PC60</t>
  </si>
  <si>
    <t xml:space="preserve">KOMATSU PCS50UU-01</t>
  </si>
  <si>
    <t xml:space="preserve">KOMATSU PC27R-8</t>
  </si>
  <si>
    <t xml:space="preserve">KOMATSU PC-120-6EO</t>
  </si>
  <si>
    <t xml:space="preserve">KOMATSU PC-40MR-02</t>
  </si>
  <si>
    <t xml:space="preserve">(Unknown) ROBEX330LC-9S</t>
  </si>
  <si>
    <t xml:space="preserve">(Unknown) E55W</t>
  </si>
  <si>
    <t xml:space="preserve">HYUNDAI 0BEX220LC-9S</t>
  </si>
  <si>
    <t xml:space="preserve">HYUNDAI (ROBEX330LC-96)</t>
  </si>
  <si>
    <t xml:space="preserve">HYUNDAI 220LC-7</t>
  </si>
  <si>
    <t xml:space="preserve">KOBELCO SX 120</t>
  </si>
  <si>
    <t xml:space="preserve">SANTUI SE210</t>
  </si>
  <si>
    <t xml:space="preserve">TATA LPT1615TC</t>
  </si>
  <si>
    <t xml:space="preserve">ASHOK LEYLAND COMET</t>
  </si>
  <si>
    <t xml:space="preserve">ASHOK LEYLAND IVECO-CARGO</t>
  </si>
  <si>
    <t xml:space="preserve">TATA S1313/42 TANKER</t>
  </si>
  <si>
    <t xml:space="preserve">TATA 1210SE-CLOSED</t>
  </si>
  <si>
    <t xml:space="preserve">MAHINDRA 575DI</t>
  </si>
  <si>
    <t xml:space="preserve">MAHINDRA 275 DI</t>
  </si>
  <si>
    <t xml:space="preserve">TAFE 45DI</t>
  </si>
  <si>
    <t xml:space="preserve">MASSEY FEROUSON MF 240</t>
  </si>
  <si>
    <t xml:space="preserve">MASSEY FURGUSON 45DI</t>
  </si>
  <si>
    <t xml:space="preserve">MASSEY FURGUSON 135</t>
  </si>
  <si>
    <t xml:space="preserve">BAJAJ PLATINA</t>
  </si>
  <si>
    <t xml:space="preserve">HONDA CD DREAM DLX 110</t>
  </si>
  <si>
    <t xml:space="preserve">PLATINA PLATINA</t>
  </si>
  <si>
    <t xml:space="preserve">BAJAJ DISCOVER 125</t>
  </si>
  <si>
    <t xml:space="preserve">BAJAJ DISCOVER 125 M</t>
  </si>
  <si>
    <t xml:space="preserve">BAJAJ PLATINA BM 125</t>
  </si>
  <si>
    <t xml:space="preserve">BAJAJ DISCOVER DTSI</t>
  </si>
  <si>
    <t xml:space="preserve">BAJAJ CT100</t>
  </si>
  <si>
    <t xml:space="preserve">TVS STAR CITY</t>
  </si>
  <si>
    <t xml:space="preserve">HONDA CB-125T</t>
  </si>
  <si>
    <t xml:space="preserve">BAJAJ BAJAJ BOXERCT-DELUXE</t>
  </si>
  <si>
    <t xml:space="preserve">DISCOVERY —</t>
  </si>
  <si>
    <t xml:space="preserve">HONDA —</t>
  </si>
  <si>
    <t xml:space="preserve">LOCALLY BUILT TRACTOR BOWSER</t>
  </si>
  <si>
    <t xml:space="preserve">TANKER TRACTOR BOWSER</t>
  </si>
  <si>
    <t xml:space="preserve">TRACTOR TRILER TRACTOR BOWSER</t>
  </si>
  <si>
    <t xml:space="preserve">BARROL FORK LIFT —</t>
  </si>
  <si>
    <t xml:space="preserve">BLADE FOCK LIFT —</t>
  </si>
  <si>
    <t xml:space="preserve">MAINTENANCE &amp; REPAIR COST FORECAST — Monthly (120 hrs)</t>
  </si>
  <si>
    <t xml:space="preserve">Estimated spend per unit per month. Use to budget spare-parts purchasing and identify worst offenders.</t>
  </si>
  <si>
    <t xml:space="preserve">Monthly Fuel</t>
  </si>
  <si>
    <t xml:space="preserve">Monthly Operator</t>
  </si>
  <si>
    <t xml:space="preserve">Monthly PM</t>
  </si>
  <si>
    <t xml:space="preserve">Monthly Major Repair</t>
  </si>
  <si>
    <t xml:space="preserve">Monthly TOTAL direct</t>
  </si>
  <si>
    <t xml:space="preserve">Monthly TOTAL incl. overhead</t>
  </si>
  <si>
    <t xml:space="preserve"> maintenance &amp; repair sheet and </t>
  </si>
  <si>
    <t xml:space="preserve">KEEP / REPLACE ANALYSIS — 2026 depreciated value, expected resale, and new unit cost</t>
  </si>
  <si>
    <t xml:space="preserve">Decision rule:  KEEP if age ≤ 10 yrs.  MONITOR if age 11–15 and revenue &gt; 2× monthly repair cost.  REPLACE if age &gt; 15 yrs OR repair &gt; 60% of revenue OR major failure expected.</t>
  </si>
  <si>
    <t xml:space="preserve">Est. 2026 resale (LKR mln)</t>
  </si>
  <si>
    <t xml:space="preserve">Brand-new 2026 price (LKR mln)</t>
  </si>
  <si>
    <t xml:space="preserve">Monthly revenue (wet)</t>
  </si>
  <si>
    <t xml:space="preserve">Monthly repair cost</t>
  </si>
  <si>
    <t xml:space="preserve">Repair % of revenue</t>
  </si>
  <si>
    <t xml:space="preserve">Years of life left (est.)</t>
  </si>
  <si>
    <t xml:space="preserve">Decision</t>
  </si>
  <si>
    <t xml:space="preserve">Reliability / replacement note</t>
  </si>
  <si>
    <t xml:space="preserve">REPLACEMENT STRATEGY — Category Rollup</t>
  </si>
  <si>
    <t xml:space="preserve">Counts by decision and total CAPEX required if all 'REPLACE' units swapped for brand-new equivalents.</t>
  </si>
  <si>
    <t xml:space="preserve">Total units</t>
  </si>
  <si>
    <t xml:space="preserve">KEEP</t>
  </si>
  <si>
    <t xml:space="preserve">MONITOR</t>
  </si>
  <si>
    <t xml:space="preserve">REPLACE</t>
  </si>
  <si>
    <t xml:space="preserve">Total resale if REPLACE sold (LKR mln)</t>
  </si>
  <si>
    <t xml:space="preserve">CAPEX for new units (LKR mln)</t>
  </si>
  <si>
    <t xml:space="preserve">EDWARD &amp; CHRISTIE GROUP (PVT) LTD</t>
  </si>
  <si>
    <t xml:space="preserve">HEAVY MACHINERY — FOR SALE ( STAGE - 01 )</t>
  </si>
  <si>
    <t xml:space="preserve">Reg. No.</t>
  </si>
  <si>
    <t xml:space="preserve">Serial No.</t>
  </si>
  <si>
    <t xml:space="preserve">Chassis No.</t>
  </si>
  <si>
    <t xml:space="preserve">Engine No.</t>
  </si>
  <si>
    <t xml:space="preserve">GPS</t>
  </si>
  <si>
    <t xml:space="preserve">Market Price (LKR)</t>
  </si>
  <si>
    <t xml:space="preserve">Asking Price (LKR)</t>
  </si>
  <si>
    <t xml:space="preserve">DT-41 / WB-03</t>
  </si>
  <si>
    <t xml:space="preserve">Dump Truck → Water Bowser</t>
  </si>
  <si>
    <t xml:space="preserve">03 Cube / 8,000 L</t>
  </si>
  <si>
    <t xml:space="preserve">YES</t>
  </si>
  <si>
    <t xml:space="preserve">EICHER</t>
  </si>
  <si>
    <t xml:space="preserve">4FE1</t>
  </si>
  <si>
    <t xml:space="preserve">04 TON</t>
  </si>
  <si>
    <t xml:space="preserve">NOTES</t>
  </si>
  <si>
    <t xml:space="preserve">1.  Asking Price column (yellow, col O) is blank — fill in agreed sale prices before distributing.</t>
  </si>
  <si>
    <t xml:space="preserve">2.  Market Price figures are indicative estimates sourced from Riyasewana.com listings (Apr–Jun 2026). Hover each Market Price cell for source note. Actual resale value depends on hours, condition and negotiation.</t>
  </si>
  <si>
    <t xml:space="preserve">3.  HO-9850 appears as both DT-41 (Dump Truck) and WB-03 (Water Bowser) in the fleet — confirm current body configuration before sale.</t>
  </si>
  <si>
    <t xml:space="preserve">4.  LI-7620 and LI-3396 have GPS units installed — confirm GPS removal/deactivation before handover.</t>
  </si>
  <si>
    <t xml:space="preserve">5.  All figures exclude 18% VAT. Buyer responsible for transfer costs and registration fees.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</si>
</sst>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s. &quot;#,##0;[RED]&quot;(Rs. &quot;#,##0\);\-"/>
    <numFmt numFmtId="166" formatCode="0.00"/>
    <numFmt numFmtId="167" formatCode="0.0%"/>
    <numFmt numFmtId="168" formatCode="0%"/>
    <numFmt numFmtId="169" formatCode="@"/>
    <numFmt numFmtId="170" formatCode="0"/>
    <numFmt numFmtId="171" formatCode="d\-mmm"/>
    <numFmt numFmtId="172" formatCode="0.00E+00"/>
    <numFmt numFmtId="173" formatCode="#,##0;[RED]\(#,##0\);\-"/>
    <numFmt numFmtId="174" formatCode="0.0"/>
    <numFmt numFmtId="175" formatCode="General"/>
    <numFmt numFmtId="176" formatCode="#,##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1F4E79"/>
      <name val="Arial"/>
      <family val="2"/>
      <charset val="1"/>
    </font>
    <font>
      <i val="true"/>
      <sz val="11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1F4E79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8"/>
      <color rgb="FF808080"/>
      <name val="Cambria"/>
      <family val="1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i val="true"/>
      <sz val="9"/>
      <name val="Arial"/>
      <family val="2"/>
      <charset val="1"/>
    </font>
    <font>
      <b val="true"/>
      <sz val="16"/>
      <color rgb="FF1F3864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sz val="10"/>
      <color rgb="FF008000"/>
      <name val="Calibri"/>
      <family val="2"/>
      <charset val="1"/>
    </font>
    <font>
      <b val="true"/>
      <sz val="10"/>
      <color rgb="FF1F3864"/>
      <name val="Calibri"/>
      <family val="2"/>
      <charset val="1"/>
    </font>
    <font>
      <sz val="10"/>
      <color rgb="FF595959"/>
      <name val="Calibri"/>
      <family val="2"/>
      <charset val="1"/>
    </font>
    <font>
      <sz val="9"/>
      <color rgb="FF595959"/>
      <name val="Calibri"/>
      <family val="2"/>
      <charset val="1"/>
    </font>
    <font>
      <sz val="9"/>
      <color rgb="FF008000"/>
      <name val="Calibri"/>
      <family val="2"/>
      <charset val="1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E2EFDA"/>
        <bgColor rgb="FFDBEEF4"/>
      </patternFill>
    </fill>
    <fill>
      <patternFill patternType="solid">
        <fgColor rgb="FFD9E1F2"/>
        <bgColor rgb="FFDBEEF4"/>
      </patternFill>
    </fill>
    <fill>
      <patternFill patternType="solid">
        <fgColor rgb="FFFFF2CC"/>
        <bgColor rgb="FFF2F2F2"/>
      </patternFill>
    </fill>
    <fill>
      <patternFill patternType="solid">
        <fgColor rgb="FF92D050"/>
        <bgColor rgb="FFB4B4B4"/>
      </patternFill>
    </fill>
    <fill>
      <patternFill patternType="solid">
        <fgColor rgb="FFFF0000"/>
        <bgColor rgb="FFC00000"/>
      </patternFill>
    </fill>
    <fill>
      <patternFill patternType="solid">
        <fgColor theme="0" tint="-0.25"/>
        <bgColor rgb="FFB4B4B4"/>
      </patternFill>
    </fill>
    <fill>
      <patternFill patternType="solid">
        <fgColor theme="0" tint="-0.35"/>
        <bgColor rgb="FFB4B4B4"/>
      </patternFill>
    </fill>
    <fill>
      <patternFill patternType="solid">
        <fgColor theme="8" tint="0.799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E2EFDA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  <border diagonalUp="false" diagonalDown="false">
      <left/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1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7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6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1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1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7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7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1">
    <dxf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BEEF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4B4B4"/>
      <rgbColor rgb="FFF2F2F2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19.5" hidden="false" customHeight="true" outlineLevel="0" collapsed="false">
      <c r="B2" s="1" t="s">
        <v>0</v>
      </c>
      <c r="C2" s="1"/>
    </row>
    <row r="3" customFormat="false" ht="15" hidden="false" customHeight="true" outlineLevel="0" collapsed="false">
      <c r="B3" s="2" t="s">
        <v>1</v>
      </c>
      <c r="C3" s="2"/>
    </row>
    <row r="4" customFormat="false" ht="15" hidden="false" customHeight="true" outlineLevel="0" collapsed="false">
      <c r="B4" s="3"/>
      <c r="C4" s="4"/>
    </row>
    <row r="5" customFormat="false" ht="23.25" hidden="false" customHeight="true" outlineLevel="0" collapsed="false">
      <c r="B5" s="5" t="s">
        <v>2</v>
      </c>
      <c r="C5" s="4" t="s">
        <v>3</v>
      </c>
    </row>
    <row r="6" customFormat="false" ht="34.5" hidden="false" customHeight="true" outlineLevel="0" collapsed="false">
      <c r="B6" s="5" t="s">
        <v>4</v>
      </c>
      <c r="C6" s="4" t="s">
        <v>5</v>
      </c>
    </row>
    <row r="7" customFormat="false" ht="23.25" hidden="false" customHeight="true" outlineLevel="0" collapsed="false">
      <c r="B7" s="5" t="s">
        <v>6</v>
      </c>
      <c r="C7" s="4" t="s">
        <v>7</v>
      </c>
    </row>
    <row r="8" customFormat="false" ht="23.25" hidden="false" customHeight="true" outlineLevel="0" collapsed="false">
      <c r="B8" s="5" t="s">
        <v>8</v>
      </c>
      <c r="C8" s="4" t="s">
        <v>9</v>
      </c>
    </row>
    <row r="9" customFormat="false" ht="23.25" hidden="false" customHeight="true" outlineLevel="0" collapsed="false">
      <c r="B9" s="5" t="s">
        <v>10</v>
      </c>
      <c r="C9" s="4" t="s">
        <v>11</v>
      </c>
    </row>
    <row r="10" customFormat="false" ht="23.25" hidden="false" customHeight="true" outlineLevel="0" collapsed="false">
      <c r="B10" s="5" t="s">
        <v>12</v>
      </c>
      <c r="C10" s="4" t="s">
        <v>13</v>
      </c>
    </row>
    <row r="11" customFormat="false" ht="23.25" hidden="false" customHeight="true" outlineLevel="0" collapsed="false">
      <c r="B11" s="5" t="s">
        <v>14</v>
      </c>
      <c r="C11" s="4" t="s">
        <v>15</v>
      </c>
    </row>
    <row r="12" customFormat="false" ht="15" hidden="false" customHeight="true" outlineLevel="0" collapsed="false">
      <c r="B12" s="5" t="s">
        <v>16</v>
      </c>
      <c r="C12" s="4" t="s">
        <v>17</v>
      </c>
    </row>
    <row r="13" customFormat="false" ht="23.25" hidden="false" customHeight="true" outlineLevel="0" collapsed="false">
      <c r="B13" s="5" t="s">
        <v>18</v>
      </c>
      <c r="C13" s="4" t="s">
        <v>19</v>
      </c>
    </row>
    <row r="14" customFormat="false" ht="15" hidden="false" customHeight="true" outlineLevel="0" collapsed="false">
      <c r="B14" s="5" t="s">
        <v>20</v>
      </c>
      <c r="C14" s="4" t="s">
        <v>21</v>
      </c>
    </row>
    <row r="15" customFormat="false" ht="15" hidden="false" customHeight="true" outlineLevel="0" collapsed="false">
      <c r="B15" s="3"/>
      <c r="C15" s="4"/>
    </row>
    <row r="16" customFormat="false" ht="15" hidden="false" customHeight="true" outlineLevel="0" collapsed="false">
      <c r="B16" s="6" t="s">
        <v>22</v>
      </c>
      <c r="C16" s="4"/>
    </row>
    <row r="17" customFormat="false" ht="15" hidden="false" customHeight="true" outlineLevel="0" collapsed="false">
      <c r="B17" s="5" t="s">
        <v>23</v>
      </c>
      <c r="C17" s="4" t="s">
        <v>24</v>
      </c>
    </row>
    <row r="18" customFormat="false" ht="15" hidden="false" customHeight="true" outlineLevel="0" collapsed="false">
      <c r="B18" s="5" t="s">
        <v>25</v>
      </c>
      <c r="C18" s="4" t="s">
        <v>26</v>
      </c>
    </row>
    <row r="19" customFormat="false" ht="23.25" hidden="false" customHeight="true" outlineLevel="0" collapsed="false">
      <c r="B19" s="5" t="s">
        <v>27</v>
      </c>
      <c r="C19" s="4" t="s">
        <v>28</v>
      </c>
    </row>
    <row r="20" customFormat="false" ht="23.25" hidden="false" customHeight="true" outlineLevel="0" collapsed="false">
      <c r="B20" s="5" t="s">
        <v>29</v>
      </c>
      <c r="C20" s="4" t="s">
        <v>30</v>
      </c>
    </row>
    <row r="21" customFormat="false" ht="15" hidden="false" customHeight="true" outlineLevel="0" collapsed="false">
      <c r="B21" s="5" t="s">
        <v>31</v>
      </c>
      <c r="C21" s="4" t="s">
        <v>32</v>
      </c>
    </row>
    <row r="22" customFormat="false" ht="15" hidden="false" customHeight="true" outlineLevel="0" collapsed="false">
      <c r="B22" s="3"/>
      <c r="C22" s="4"/>
    </row>
    <row r="23" customFormat="false" ht="15" hidden="false" customHeight="true" outlineLevel="0" collapsed="false">
      <c r="B23" s="5" t="s">
        <v>33</v>
      </c>
      <c r="C23" s="4" t="s">
        <v>34</v>
      </c>
    </row>
    <row r="24" customFormat="false" ht="15" hidden="false" customHeight="true" outlineLevel="0" collapsed="false">
      <c r="B24" s="3"/>
      <c r="C24" s="4"/>
    </row>
    <row r="25" customFormat="false" ht="15" hidden="false" customHeight="true" outlineLevel="0" collapsed="false">
      <c r="B25" s="6" t="s">
        <v>35</v>
      </c>
      <c r="C25" s="4"/>
    </row>
    <row r="26" customFormat="false" ht="23.25" hidden="false" customHeight="true" outlineLevel="0" collapsed="false">
      <c r="B26" s="5" t="s">
        <v>36</v>
      </c>
      <c r="C26" s="4" t="s">
        <v>37</v>
      </c>
    </row>
    <row r="27" customFormat="false" ht="23.25" hidden="false" customHeight="true" outlineLevel="0" collapsed="false">
      <c r="B27" s="5" t="s">
        <v>38</v>
      </c>
      <c r="C27" s="4" t="s">
        <v>39</v>
      </c>
    </row>
    <row r="28" customFormat="false" ht="23.25" hidden="false" customHeight="true" outlineLevel="0" collapsed="false">
      <c r="B28" s="5" t="s">
        <v>40</v>
      </c>
      <c r="C28" s="4" t="s">
        <v>41</v>
      </c>
    </row>
    <row r="29" customFormat="false" ht="23.25" hidden="false" customHeight="true" outlineLevel="0" collapsed="false">
      <c r="B29" s="5" t="s">
        <v>42</v>
      </c>
      <c r="C29" s="4" t="s">
        <v>43</v>
      </c>
    </row>
    <row r="30" customFormat="false" ht="23.25" hidden="false" customHeight="true" outlineLevel="0" collapsed="false">
      <c r="B30" s="5" t="s">
        <v>44</v>
      </c>
      <c r="C30" s="4" t="s">
        <v>45</v>
      </c>
    </row>
    <row r="31" customFormat="false" ht="15" hidden="false" customHeight="true" outlineLevel="0" collapsed="false">
      <c r="B31" s="3"/>
      <c r="C31" s="4"/>
    </row>
    <row r="32" customFormat="false" ht="15" hidden="false" customHeight="true" outlineLevel="0" collapsed="false">
      <c r="B32" s="6" t="s">
        <v>46</v>
      </c>
      <c r="C32" s="4"/>
    </row>
    <row r="33" customFormat="false" ht="15" hidden="false" customHeight="true" outlineLevel="0" collapsed="false">
      <c r="B33" s="5" t="s">
        <v>47</v>
      </c>
      <c r="C33" s="4" t="s">
        <v>48</v>
      </c>
    </row>
    <row r="34" customFormat="false" ht="15" hidden="false" customHeight="true" outlineLevel="0" collapsed="false">
      <c r="B34" s="5" t="s">
        <v>49</v>
      </c>
      <c r="C34" s="4" t="s">
        <v>50</v>
      </c>
    </row>
    <row r="35" customFormat="false" ht="15" hidden="false" customHeight="true" outlineLevel="0" collapsed="false">
      <c r="B35" s="5" t="s">
        <v>51</v>
      </c>
      <c r="C35" s="4" t="s">
        <v>52</v>
      </c>
    </row>
    <row r="36" customFormat="false" ht="15" hidden="false" customHeight="true" outlineLevel="0" collapsed="false">
      <c r="B36" s="5" t="s">
        <v>53</v>
      </c>
      <c r="C36" s="4" t="s">
        <v>54</v>
      </c>
    </row>
    <row r="37" customFormat="false" ht="15" hidden="false" customHeight="true" outlineLevel="0" collapsed="false">
      <c r="B37" s="5" t="s">
        <v>55</v>
      </c>
      <c r="C37" s="4" t="s">
        <v>56</v>
      </c>
    </row>
    <row r="38" customFormat="false" ht="15" hidden="false" customHeight="true" outlineLevel="0" collapsed="false">
      <c r="B38" s="3"/>
      <c r="C38" s="4"/>
    </row>
    <row r="39" customFormat="false" ht="15" hidden="false" customHeight="true" outlineLevel="0" collapsed="false">
      <c r="B39" s="6" t="s">
        <v>57</v>
      </c>
      <c r="C39" s="4"/>
    </row>
    <row r="40" customFormat="false" ht="23.25" hidden="false" customHeight="true" outlineLevel="0" collapsed="false">
      <c r="B40" s="5" t="s">
        <v>58</v>
      </c>
      <c r="C40" s="4" t="s">
        <v>59</v>
      </c>
    </row>
    <row r="41" customFormat="false" ht="34.5" hidden="false" customHeight="true" outlineLevel="0" collapsed="false">
      <c r="B41" s="5" t="s">
        <v>60</v>
      </c>
      <c r="C41" s="4" t="s">
        <v>61</v>
      </c>
    </row>
    <row r="42" customFormat="false" ht="23.25" hidden="false" customHeight="true" outlineLevel="0" collapsed="false">
      <c r="B42" s="5" t="s">
        <v>62</v>
      </c>
      <c r="C42" s="4" t="s">
        <v>63</v>
      </c>
    </row>
    <row r="43" customFormat="false" ht="23.25" hidden="false" customHeight="true" outlineLevel="0" collapsed="false">
      <c r="B43" s="5" t="s">
        <v>64</v>
      </c>
      <c r="C43" s="4" t="s">
        <v>65</v>
      </c>
    </row>
    <row r="45" customFormat="false" ht="14.25" hidden="false" customHeight="false" outlineLevel="0" collapsed="false">
      <c r="B45" s="6" t="s">
        <v>66</v>
      </c>
    </row>
    <row r="46" customFormat="false" ht="46.25" hidden="false" customHeight="false" outlineLevel="0" collapsed="false">
      <c r="B46" s="5" t="s">
        <v>67</v>
      </c>
      <c r="C46" s="4" t="s">
        <v>68</v>
      </c>
    </row>
    <row r="47" customFormat="false" ht="23.85" hidden="false" customHeight="false" outlineLevel="0" collapsed="false">
      <c r="B47" s="5" t="s">
        <v>69</v>
      </c>
      <c r="C47" s="4" t="s">
        <v>70</v>
      </c>
    </row>
    <row r="48" customFormat="false" ht="46.25" hidden="false" customHeight="false" outlineLevel="0" collapsed="false">
      <c r="B48" s="5" t="s">
        <v>71</v>
      </c>
      <c r="C48" s="4" t="s">
        <v>72</v>
      </c>
    </row>
    <row r="49" customFormat="false" ht="35.05" hidden="false" customHeight="false" outlineLevel="0" collapsed="false">
      <c r="B49" s="5" t="s">
        <v>73</v>
      </c>
      <c r="C49" s="4" t="s">
        <v>74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5" activeCellId="0" sqref="I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11" min="9" style="0" width="15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44"/>
  </cols>
  <sheetData>
    <row r="1" customFormat="false" ht="24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48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</row>
    <row r="5" customFormat="false" ht="23.25" hidden="false" customHeight="true" outlineLevel="0" collapsed="false">
      <c r="A5" s="9" t="n">
        <v>1</v>
      </c>
      <c r="B5" s="10" t="s">
        <v>92</v>
      </c>
      <c r="C5" s="11" t="n">
        <v>2500</v>
      </c>
      <c r="D5" s="11" t="n">
        <v>3500</v>
      </c>
      <c r="E5" s="11" t="n">
        <v>6050</v>
      </c>
      <c r="F5" s="12" t="n">
        <f aca="false">'Engineering Assumptions'!$C$18*'Engineering Assumptions'!$B$5+'Engineering Assumptions'!$B$8+'Engineering Assumptions'!$D$18*1+'Engineering Assumptions'!$E$18*0.3</f>
        <v>2997</v>
      </c>
      <c r="G5" s="13" t="n">
        <f aca="false">F5*(1+'Engineering Assumptions'!$B$10)*(1+'Engineering Assumptions'!$B$11)</f>
        <v>4135.86</v>
      </c>
      <c r="H5" s="14" t="s">
        <v>93</v>
      </c>
      <c r="I5" s="15" t="n">
        <f aca="false">MROUND(MIN(MAX(G5,C5*1.1),E5*0.88),50)</f>
        <v>4150</v>
      </c>
      <c r="J5" s="16" t="n">
        <v>0.48</v>
      </c>
      <c r="K5" s="15" t="n">
        <f aca="false">MROUND(I5*J5,50)</f>
        <v>2000</v>
      </c>
      <c r="L5" s="17" t="n">
        <f aca="false">K5/I5</f>
        <v>0.481927710843374</v>
      </c>
      <c r="M5" s="18" t="n">
        <f aca="false">(I5-C5)/C5</f>
        <v>0.66</v>
      </c>
      <c r="N5" s="18" t="n">
        <f aca="false">(E5-I5)/E5</f>
        <v>0.31404958677686</v>
      </c>
      <c r="O5" s="14" t="s">
        <v>94</v>
      </c>
    </row>
    <row r="6" customFormat="false" ht="23.25" hidden="false" customHeight="true" outlineLevel="0" collapsed="false">
      <c r="A6" s="9" t="n">
        <v>2</v>
      </c>
      <c r="B6" s="10" t="s">
        <v>95</v>
      </c>
      <c r="C6" s="11" t="n">
        <v>5000</v>
      </c>
      <c r="D6" s="11" t="n">
        <v>8500</v>
      </c>
      <c r="E6" s="11" t="n">
        <v>15760</v>
      </c>
      <c r="F6" s="12" t="n">
        <f aca="false">'Engineering Assumptions'!$C$19*'Engineering Assumptions'!$B$5+'Engineering Assumptions'!$B$8+'Engineering Assumptions'!$D$19*1+'Engineering Assumptions'!$E$19*0.3</f>
        <v>6110</v>
      </c>
      <c r="G6" s="13" t="n">
        <f aca="false">F6*(1+'Engineering Assumptions'!$B$10)*(1+'Engineering Assumptions'!$B$11)</f>
        <v>8431.8</v>
      </c>
      <c r="H6" s="14" t="s">
        <v>93</v>
      </c>
      <c r="I6" s="15" t="n">
        <f aca="false">MROUND(MIN(MAX(G6,C6*1.1),E6*0.88),50)</f>
        <v>8450</v>
      </c>
      <c r="J6" s="16" t="n">
        <v>0.45</v>
      </c>
      <c r="K6" s="15" t="n">
        <f aca="false">MROUND(I6*J6,50)</f>
        <v>3800</v>
      </c>
      <c r="L6" s="17" t="n">
        <f aca="false">K6/I6</f>
        <v>0.449704142011834</v>
      </c>
      <c r="M6" s="18" t="n">
        <f aca="false">(I6-C6)/C6</f>
        <v>0.69</v>
      </c>
      <c r="N6" s="18" t="n">
        <f aca="false">(E6-I6)/E6</f>
        <v>0.463832487309645</v>
      </c>
      <c r="O6" s="14" t="s">
        <v>96</v>
      </c>
    </row>
    <row r="7" customFormat="false" ht="23.25" hidden="false" customHeight="true" outlineLevel="0" collapsed="false">
      <c r="A7" s="9" t="n">
        <v>3</v>
      </c>
      <c r="B7" s="10" t="s">
        <v>97</v>
      </c>
      <c r="C7" s="11" t="n">
        <v>3500</v>
      </c>
      <c r="D7" s="11" t="n">
        <v>4500</v>
      </c>
      <c r="E7" s="11" t="n">
        <v>5500</v>
      </c>
      <c r="F7" s="12" t="n">
        <f aca="false">'Engineering Assumptions'!$C$20*'Engineering Assumptions'!$B$5+'Engineering Assumptions'!$B$8+'Engineering Assumptions'!$D$20*1+'Engineering Assumptions'!$E$20*0.3</f>
        <v>3628</v>
      </c>
      <c r="G7" s="13" t="n">
        <f aca="false">F7*(1+'Engineering Assumptions'!$B$10)*(1+'Engineering Assumptions'!$B$11)</f>
        <v>5006.64</v>
      </c>
      <c r="H7" s="14" t="s">
        <v>93</v>
      </c>
      <c r="I7" s="15" t="n">
        <f aca="false">MROUND(MIN(MAX(G7,C7*1.1),E7*0.88),50)</f>
        <v>4850</v>
      </c>
      <c r="J7" s="16" t="n">
        <v>0.5</v>
      </c>
      <c r="K7" s="15" t="n">
        <f aca="false">MROUND(I7*J7,50)</f>
        <v>2450</v>
      </c>
      <c r="L7" s="17" t="n">
        <f aca="false">K7/I7</f>
        <v>0.505154639175258</v>
      </c>
      <c r="M7" s="18" t="n">
        <f aca="false">(I7-C7)/C7</f>
        <v>0.385714285714286</v>
      </c>
      <c r="N7" s="18" t="n">
        <f aca="false">(E7-I7)/E7</f>
        <v>0.118181818181818</v>
      </c>
      <c r="O7" s="14" t="s">
        <v>98</v>
      </c>
    </row>
    <row r="8" customFormat="false" ht="23.25" hidden="false" customHeight="true" outlineLevel="0" collapsed="false">
      <c r="A8" s="9" t="n">
        <v>4</v>
      </c>
      <c r="B8" s="10" t="s">
        <v>99</v>
      </c>
      <c r="C8" s="11" t="n">
        <v>4500</v>
      </c>
      <c r="D8" s="11" t="n">
        <v>5200</v>
      </c>
      <c r="E8" s="11" t="n">
        <v>6000</v>
      </c>
      <c r="F8" s="12" t="n">
        <f aca="false">'Engineering Assumptions'!$C$21*'Engineering Assumptions'!$B$5+'Engineering Assumptions'!$B$8+'Engineering Assumptions'!$D$21*1+'Engineering Assumptions'!$E$21*0.3</f>
        <v>4062</v>
      </c>
      <c r="G8" s="13" t="n">
        <f aca="false">F8*(1+'Engineering Assumptions'!$B$10)*(1+'Engineering Assumptions'!$B$11)</f>
        <v>5605.56</v>
      </c>
      <c r="H8" s="14" t="s">
        <v>93</v>
      </c>
      <c r="I8" s="15" t="n">
        <f aca="false">MROUND(MIN(MAX(G8,C8*1.1),E8*0.88),50)</f>
        <v>5300</v>
      </c>
      <c r="J8" s="16" t="n">
        <v>0.5</v>
      </c>
      <c r="K8" s="15" t="n">
        <f aca="false">MROUND(I8*J8,50)</f>
        <v>2650</v>
      </c>
      <c r="L8" s="17" t="n">
        <f aca="false">K8/I8</f>
        <v>0.5</v>
      </c>
      <c r="M8" s="18" t="n">
        <f aca="false">(I8-C8)/C8</f>
        <v>0.177777777777778</v>
      </c>
      <c r="N8" s="18" t="n">
        <f aca="false">(E8-I8)/E8</f>
        <v>0.116666666666667</v>
      </c>
      <c r="O8" s="14" t="s">
        <v>100</v>
      </c>
    </row>
    <row r="9" customFormat="false" ht="23.25" hidden="false" customHeight="true" outlineLevel="0" collapsed="false">
      <c r="A9" s="9" t="n">
        <v>5</v>
      </c>
      <c r="B9" s="10" t="s">
        <v>101</v>
      </c>
      <c r="C9" s="11" t="n">
        <v>2500</v>
      </c>
      <c r="D9" s="11" t="n">
        <v>3500</v>
      </c>
      <c r="E9" s="11" t="n">
        <v>5230</v>
      </c>
      <c r="F9" s="12" t="n">
        <f aca="false">'Engineering Assumptions'!$C$22*'Engineering Assumptions'!$B$5+'Engineering Assumptions'!$B$8+'Engineering Assumptions'!$D$22*1+'Engineering Assumptions'!$E$22*0.3</f>
        <v>4029</v>
      </c>
      <c r="G9" s="13" t="n">
        <f aca="false">F9*(1+'Engineering Assumptions'!$B$10)*(1+'Engineering Assumptions'!$B$11)</f>
        <v>5560.02</v>
      </c>
      <c r="H9" s="14" t="s">
        <v>93</v>
      </c>
      <c r="I9" s="15" t="n">
        <f aca="false">MROUND(MIN(MAX(G9,C9*1.1),E9*0.88),50)</f>
        <v>4600</v>
      </c>
      <c r="J9" s="16" t="n">
        <v>0.5</v>
      </c>
      <c r="K9" s="15" t="n">
        <f aca="false">MROUND(I9*J9,50)</f>
        <v>2300</v>
      </c>
      <c r="L9" s="17" t="n">
        <f aca="false">K9/I9</f>
        <v>0.5</v>
      </c>
      <c r="M9" s="18" t="n">
        <f aca="false">(I9-C9)/C9</f>
        <v>0.84</v>
      </c>
      <c r="N9" s="18" t="n">
        <f aca="false">(E9-I9)/E9</f>
        <v>0.120458891013384</v>
      </c>
      <c r="O9" s="14" t="s">
        <v>102</v>
      </c>
    </row>
    <row r="10" customFormat="false" ht="23.25" hidden="false" customHeight="true" outlineLevel="0" collapsed="false">
      <c r="A10" s="9" t="n">
        <v>6</v>
      </c>
      <c r="B10" s="10" t="s">
        <v>103</v>
      </c>
      <c r="C10" s="11" t="n">
        <v>3000</v>
      </c>
      <c r="D10" s="11" t="n">
        <v>4000</v>
      </c>
      <c r="E10" s="11" t="n">
        <v>5000</v>
      </c>
      <c r="F10" s="12" t="n">
        <f aca="false">'Engineering Assumptions'!$C$23*'Engineering Assumptions'!$B$5+'Engineering Assumptions'!$B$8+'Engineering Assumptions'!$D$23*1+'Engineering Assumptions'!$E$23*0.3</f>
        <v>2812</v>
      </c>
      <c r="G10" s="13" t="n">
        <f aca="false">F10*(1+'Engineering Assumptions'!$B$10)*(1+'Engineering Assumptions'!$B$11)</f>
        <v>3880.56</v>
      </c>
      <c r="H10" s="14" t="s">
        <v>93</v>
      </c>
      <c r="I10" s="15" t="n">
        <f aca="false">MROUND(MIN(MAX(G10,C10*1.1),E10*0.88),50)</f>
        <v>3900</v>
      </c>
      <c r="J10" s="16" t="n">
        <v>0.5</v>
      </c>
      <c r="K10" s="15" t="n">
        <f aca="false">MROUND(I10*J10,50)</f>
        <v>1950</v>
      </c>
      <c r="L10" s="17" t="n">
        <f aca="false">K10/I10</f>
        <v>0.5</v>
      </c>
      <c r="M10" s="18" t="n">
        <f aca="false">(I10-C10)/C10</f>
        <v>0.3</v>
      </c>
      <c r="N10" s="18" t="n">
        <f aca="false">(E10-I10)/E10</f>
        <v>0.22</v>
      </c>
      <c r="O10" s="14" t="s">
        <v>104</v>
      </c>
    </row>
    <row r="11" customFormat="false" ht="23.25" hidden="false" customHeight="true" outlineLevel="0" collapsed="false">
      <c r="A11" s="9" t="n">
        <v>7</v>
      </c>
      <c r="B11" s="10" t="s">
        <v>105</v>
      </c>
      <c r="C11" s="11" t="n">
        <v>3000</v>
      </c>
      <c r="D11" s="11" t="n">
        <v>3800</v>
      </c>
      <c r="E11" s="11" t="n">
        <v>4500</v>
      </c>
      <c r="F11" s="12" t="n">
        <f aca="false">'Engineering Assumptions'!$C$24*'Engineering Assumptions'!$B$5+'Engineering Assumptions'!$B$8+'Engineering Assumptions'!$D$24*1+'Engineering Assumptions'!$E$24*0.3</f>
        <v>3605</v>
      </c>
      <c r="G11" s="13" t="n">
        <f aca="false">F11*(1+'Engineering Assumptions'!$B$10)*(1+'Engineering Assumptions'!$B$11)</f>
        <v>4974.9</v>
      </c>
      <c r="H11" s="14" t="s">
        <v>93</v>
      </c>
      <c r="I11" s="15" t="n">
        <f aca="false">MROUND(MIN(MAX(G11,C11*1.1),E11*0.88),50)</f>
        <v>3950</v>
      </c>
      <c r="J11" s="16" t="n">
        <v>0.5</v>
      </c>
      <c r="K11" s="15" t="n">
        <f aca="false">MROUND(I11*J11,50)</f>
        <v>2000</v>
      </c>
      <c r="L11" s="17" t="n">
        <f aca="false">K11/I11</f>
        <v>0.506329113924051</v>
      </c>
      <c r="M11" s="18" t="n">
        <f aca="false">(I11-C11)/C11</f>
        <v>0.316666666666667</v>
      </c>
      <c r="N11" s="18" t="n">
        <f aca="false">(E11-I11)/E11</f>
        <v>0.122222222222222</v>
      </c>
      <c r="O11" s="14" t="s">
        <v>106</v>
      </c>
    </row>
    <row r="12" customFormat="false" ht="23.25" hidden="false" customHeight="true" outlineLevel="0" collapsed="false">
      <c r="A12" s="9" t="n">
        <v>8</v>
      </c>
      <c r="B12" s="10" t="s">
        <v>107</v>
      </c>
      <c r="C12" s="11" t="n">
        <v>7000</v>
      </c>
      <c r="D12" s="11" t="n">
        <v>8500</v>
      </c>
      <c r="E12" s="11" t="n">
        <v>11000</v>
      </c>
      <c r="F12" s="12" t="n">
        <f aca="false">'Engineering Assumptions'!$C$25*'Engineering Assumptions'!$B$5+'Engineering Assumptions'!$B$8+'Engineering Assumptions'!$D$25*1+'Engineering Assumptions'!$E$25*0.3</f>
        <v>6980</v>
      </c>
      <c r="G12" s="13" t="n">
        <f aca="false">F12*(1+'Engineering Assumptions'!$B$10)*(1+'Engineering Assumptions'!$B$11)</f>
        <v>9632.4</v>
      </c>
      <c r="H12" s="14" t="s">
        <v>93</v>
      </c>
      <c r="I12" s="15" t="n">
        <f aca="false">MROUND(MIN(MAX(G12,C12*1.1),E12*0.88),50)</f>
        <v>9650</v>
      </c>
      <c r="J12" s="16" t="n">
        <v>0.45</v>
      </c>
      <c r="K12" s="15" t="n">
        <f aca="false">MROUND(I12*J12,50)</f>
        <v>4350</v>
      </c>
      <c r="L12" s="17" t="n">
        <f aca="false">K12/I12</f>
        <v>0.450777202072539</v>
      </c>
      <c r="M12" s="18" t="n">
        <f aca="false">(I12-C12)/C12</f>
        <v>0.378571428571429</v>
      </c>
      <c r="N12" s="18" t="n">
        <f aca="false">(E12-I12)/E12</f>
        <v>0.122727272727273</v>
      </c>
      <c r="O12" s="14" t="s">
        <v>108</v>
      </c>
    </row>
    <row r="13" customFormat="false" ht="23.25" hidden="false" customHeight="true" outlineLevel="0" collapsed="false">
      <c r="A13" s="9" t="n">
        <v>9</v>
      </c>
      <c r="B13" s="10" t="s">
        <v>109</v>
      </c>
      <c r="C13" s="11" t="n">
        <v>2000</v>
      </c>
      <c r="D13" s="11" t="n">
        <v>2500</v>
      </c>
      <c r="E13" s="11" t="n">
        <v>3060</v>
      </c>
      <c r="F13" s="12" t="n">
        <f aca="false">'Engineering Assumptions'!$C$26*'Engineering Assumptions'!$B$5+'Engineering Assumptions'!$B$8+'Engineering Assumptions'!$D$26*1+'Engineering Assumptions'!$E$26*0.3</f>
        <v>2589</v>
      </c>
      <c r="G13" s="13" t="n">
        <f aca="false">F13*(1+'Engineering Assumptions'!$B$10)*(1+'Engineering Assumptions'!$B$11)</f>
        <v>3572.82</v>
      </c>
      <c r="H13" s="14" t="s">
        <v>93</v>
      </c>
      <c r="I13" s="15" t="n">
        <f aca="false">MROUND(MIN(MAX(G13,C13*1.1),E13*0.88),50)</f>
        <v>2700</v>
      </c>
      <c r="J13" s="16" t="n">
        <v>0.5</v>
      </c>
      <c r="K13" s="15" t="n">
        <f aca="false">MROUND(I13*J13,50)</f>
        <v>1350</v>
      </c>
      <c r="L13" s="17" t="n">
        <f aca="false">K13/I13</f>
        <v>0.5</v>
      </c>
      <c r="M13" s="18" t="n">
        <f aca="false">(I13-C13)/C13</f>
        <v>0.35</v>
      </c>
      <c r="N13" s="18" t="n">
        <f aca="false">(E13-I13)/E13</f>
        <v>0.117647058823529</v>
      </c>
      <c r="O13" s="14" t="s">
        <v>110</v>
      </c>
    </row>
    <row r="14" customFormat="false" ht="23.25" hidden="false" customHeight="true" outlineLevel="0" collapsed="false">
      <c r="A14" s="9" t="n">
        <v>10</v>
      </c>
      <c r="B14" s="10" t="s">
        <v>111</v>
      </c>
      <c r="C14" s="11" t="n">
        <v>7000</v>
      </c>
      <c r="D14" s="11" t="n">
        <v>8500</v>
      </c>
      <c r="E14" s="11" t="n">
        <v>10000</v>
      </c>
      <c r="F14" s="12" t="n">
        <f aca="false">'Engineering Assumptions'!$C$27*'Engineering Assumptions'!$B$5+'Engineering Assumptions'!$B$8+'Engineering Assumptions'!$D$27*1+'Engineering Assumptions'!$E$27*0.3</f>
        <v>5822</v>
      </c>
      <c r="G14" s="13" t="n">
        <f aca="false">F14*(1+'Engineering Assumptions'!$B$10)*(1+'Engineering Assumptions'!$B$11)</f>
        <v>8034.36</v>
      </c>
      <c r="H14" s="14" t="s">
        <v>93</v>
      </c>
      <c r="I14" s="15" t="n">
        <f aca="false">MROUND(MIN(MAX(G14,C14*1.1),E14*0.88),50)</f>
        <v>8050</v>
      </c>
      <c r="J14" s="16" t="n">
        <v>0.45</v>
      </c>
      <c r="K14" s="15" t="n">
        <f aca="false">MROUND(I14*J14,50)</f>
        <v>3600</v>
      </c>
      <c r="L14" s="17" t="n">
        <f aca="false">K14/I14</f>
        <v>0.447204968944099</v>
      </c>
      <c r="M14" s="18" t="n">
        <f aca="false">(I14-C14)/C14</f>
        <v>0.15</v>
      </c>
      <c r="N14" s="18" t="n">
        <f aca="false">(E14-I14)/E14</f>
        <v>0.195</v>
      </c>
      <c r="O14" s="14" t="s">
        <v>112</v>
      </c>
    </row>
    <row r="15" customFormat="false" ht="23.25" hidden="false" customHeight="true" outlineLevel="0" collapsed="false">
      <c r="A15" s="9" t="n">
        <v>11</v>
      </c>
      <c r="B15" s="10" t="s">
        <v>113</v>
      </c>
      <c r="C15" s="11" t="n">
        <v>2500</v>
      </c>
      <c r="D15" s="11" t="n">
        <v>3200</v>
      </c>
      <c r="E15" s="11" t="n">
        <v>4000</v>
      </c>
      <c r="F15" s="12" t="n">
        <f aca="false">'Engineering Assumptions'!$C$28*'Engineering Assumptions'!$B$5+'Engineering Assumptions'!$B$8+'Engineering Assumptions'!$D$28*1+'Engineering Assumptions'!$E$28*0.3</f>
        <v>3366</v>
      </c>
      <c r="G15" s="13" t="n">
        <f aca="false">F15*(1+'Engineering Assumptions'!$B$10)*(1+'Engineering Assumptions'!$B$11)</f>
        <v>4645.08</v>
      </c>
      <c r="H15" s="14" t="s">
        <v>93</v>
      </c>
      <c r="I15" s="15" t="n">
        <f aca="false">MROUND(MIN(MAX(G15,C15*1.1),E15*0.88),50)</f>
        <v>3500</v>
      </c>
      <c r="J15" s="16" t="n">
        <v>0.5</v>
      </c>
      <c r="K15" s="15" t="n">
        <f aca="false">MROUND(I15*J15,50)</f>
        <v>1750</v>
      </c>
      <c r="L15" s="17" t="n">
        <f aca="false">K15/I15</f>
        <v>0.5</v>
      </c>
      <c r="M15" s="18" t="n">
        <f aca="false">(I15-C15)/C15</f>
        <v>0.4</v>
      </c>
      <c r="N15" s="18" t="n">
        <f aca="false">(E15-I15)/E15</f>
        <v>0.125</v>
      </c>
      <c r="O15" s="14" t="s">
        <v>114</v>
      </c>
    </row>
    <row r="16" customFormat="false" ht="23.25" hidden="false" customHeight="true" outlineLevel="0" collapsed="false">
      <c r="A16" s="9" t="n">
        <v>12</v>
      </c>
      <c r="B16" s="10" t="s">
        <v>115</v>
      </c>
      <c r="C16" s="11" t="n">
        <v>8000</v>
      </c>
      <c r="D16" s="11" t="n">
        <v>9500</v>
      </c>
      <c r="E16" s="11" t="n">
        <v>11660</v>
      </c>
      <c r="F16" s="12" t="n">
        <f aca="false">'Engineering Assumptions'!$C$29*'Engineering Assumptions'!$B$5+'Engineering Assumptions'!$B$8+'Engineering Assumptions'!$D$29*1+'Engineering Assumptions'!$E$29*0.3</f>
        <v>4954</v>
      </c>
      <c r="G16" s="13" t="n">
        <f aca="false">F16*(1+'Engineering Assumptions'!$B$10)*(1+'Engineering Assumptions'!$B$11)</f>
        <v>6836.52</v>
      </c>
      <c r="H16" s="14" t="s">
        <v>93</v>
      </c>
      <c r="I16" s="15" t="n">
        <f aca="false">MROUND(MIN(MAX(G16,C16*1.1),E16*0.88),50)</f>
        <v>8800</v>
      </c>
      <c r="J16" s="16" t="n">
        <v>0.5</v>
      </c>
      <c r="K16" s="15" t="n">
        <f aca="false">MROUND(I16*J16,50)</f>
        <v>4400</v>
      </c>
      <c r="L16" s="17" t="n">
        <f aca="false">K16/I16</f>
        <v>0.5</v>
      </c>
      <c r="M16" s="18" t="n">
        <f aca="false">(I16-C16)/C16</f>
        <v>0.1</v>
      </c>
      <c r="N16" s="18" t="n">
        <f aca="false">(E16-I16)/E16</f>
        <v>0.245283018867925</v>
      </c>
      <c r="O16" s="14" t="s">
        <v>116</v>
      </c>
    </row>
    <row r="17" customFormat="false" ht="23.25" hidden="false" customHeight="true" outlineLevel="0" collapsed="false">
      <c r="A17" s="9" t="n">
        <v>13</v>
      </c>
      <c r="B17" s="10" t="s">
        <v>117</v>
      </c>
      <c r="C17" s="11" t="n">
        <v>4000</v>
      </c>
      <c r="D17" s="11" t="n">
        <v>5000</v>
      </c>
      <c r="E17" s="11" t="n">
        <v>6610</v>
      </c>
      <c r="F17" s="12" t="n">
        <f aca="false">'Engineering Assumptions'!$C$30*'Engineering Assumptions'!$B$5+'Engineering Assumptions'!$B$8+'Engineering Assumptions'!$D$30*1+'Engineering Assumptions'!$E$30*0.3</f>
        <v>3628</v>
      </c>
      <c r="G17" s="13" t="n">
        <f aca="false">F17*(1+'Engineering Assumptions'!$B$10)*(1+'Engineering Assumptions'!$B$11)</f>
        <v>5006.64</v>
      </c>
      <c r="H17" s="14" t="s">
        <v>93</v>
      </c>
      <c r="I17" s="15" t="n">
        <f aca="false">MROUND(MIN(MAX(G17,C17*1.1),E17*0.88),50)</f>
        <v>5000</v>
      </c>
      <c r="J17" s="16" t="n">
        <v>0.5</v>
      </c>
      <c r="K17" s="15" t="n">
        <f aca="false">MROUND(I17*J17,50)</f>
        <v>2500</v>
      </c>
      <c r="L17" s="17" t="n">
        <f aca="false">K17/I17</f>
        <v>0.5</v>
      </c>
      <c r="M17" s="18" t="n">
        <f aca="false">(I17-C17)/C17</f>
        <v>0.25</v>
      </c>
      <c r="N17" s="18" t="n">
        <f aca="false">(E17-I17)/E17</f>
        <v>0.24357034795764</v>
      </c>
      <c r="O17" s="14" t="s">
        <v>118</v>
      </c>
    </row>
    <row r="18" customFormat="false" ht="23.25" hidden="false" customHeight="true" outlineLevel="0" collapsed="false">
      <c r="A18" s="9" t="n">
        <v>14</v>
      </c>
      <c r="B18" s="10" t="s">
        <v>119</v>
      </c>
      <c r="C18" s="11" t="n">
        <v>3500</v>
      </c>
      <c r="D18" s="11" t="n">
        <v>4500</v>
      </c>
      <c r="E18" s="11" t="n">
        <v>5500</v>
      </c>
      <c r="F18" s="12" t="n">
        <f aca="false">'Engineering Assumptions'!$C$31*'Engineering Assumptions'!$B$5+'Engineering Assumptions'!$B$8+'Engineering Assumptions'!$D$31*1+'Engineering Assumptions'!$E$31*0.3</f>
        <v>6363</v>
      </c>
      <c r="G18" s="13" t="n">
        <f aca="false">F18*(1+'Engineering Assumptions'!$B$10)*(1+'Engineering Assumptions'!$B$11)</f>
        <v>8780.94</v>
      </c>
      <c r="H18" s="14" t="s">
        <v>93</v>
      </c>
      <c r="I18" s="15" t="n">
        <f aca="false">MROUND(MIN(MAX(G18,C18*1.1),E18*0.88),50)</f>
        <v>4850</v>
      </c>
      <c r="J18" s="16" t="n">
        <v>0.5</v>
      </c>
      <c r="K18" s="15" t="n">
        <f aca="false">MROUND(I18*J18,50)</f>
        <v>2450</v>
      </c>
      <c r="L18" s="17" t="n">
        <f aca="false">K18/I18</f>
        <v>0.505154639175258</v>
      </c>
      <c r="M18" s="18" t="n">
        <f aca="false">(I18-C18)/C18</f>
        <v>0.385714285714286</v>
      </c>
      <c r="N18" s="18" t="n">
        <f aca="false">(E18-I18)/E18</f>
        <v>0.118181818181818</v>
      </c>
      <c r="O18" s="14" t="s">
        <v>120</v>
      </c>
    </row>
    <row r="19" customFormat="false" ht="23.25" hidden="false" customHeight="true" outlineLevel="0" collapsed="false">
      <c r="A19" s="9" t="n">
        <v>15</v>
      </c>
      <c r="B19" s="10" t="s">
        <v>121</v>
      </c>
      <c r="C19" s="11" t="n">
        <v>8500</v>
      </c>
      <c r="D19" s="11" t="n">
        <v>10000</v>
      </c>
      <c r="E19" s="11" t="n">
        <v>11000</v>
      </c>
      <c r="F19" s="12" t="n">
        <f aca="false">'Engineering Assumptions'!$C$32*'Engineering Assumptions'!$B$5+'Engineering Assumptions'!$B$8+'Engineering Assumptions'!$D$32*1+'Engineering Assumptions'!$E$32*0.3</f>
        <v>6242</v>
      </c>
      <c r="G19" s="13" t="n">
        <f aca="false">F19*(1+'Engineering Assumptions'!$B$10)*(1+'Engineering Assumptions'!$B$11)</f>
        <v>8613.96</v>
      </c>
      <c r="H19" s="14" t="s">
        <v>93</v>
      </c>
      <c r="I19" s="15" t="n">
        <f aca="false">MROUND(MIN(MAX(G19,C19*1.1),E19*0.88),50)</f>
        <v>9350</v>
      </c>
      <c r="J19" s="16" t="n">
        <v>0.45</v>
      </c>
      <c r="K19" s="15" t="n">
        <f aca="false">MROUND(I19*J19,50)</f>
        <v>4200</v>
      </c>
      <c r="L19" s="17" t="n">
        <f aca="false">K19/I19</f>
        <v>0.449197860962567</v>
      </c>
      <c r="M19" s="18" t="n">
        <f aca="false">(I19-C19)/C19</f>
        <v>0.1</v>
      </c>
      <c r="N19" s="18" t="n">
        <f aca="false">(E19-I19)/E19</f>
        <v>0.15</v>
      </c>
      <c r="O19" s="14" t="s">
        <v>122</v>
      </c>
    </row>
    <row r="20" customFormat="false" ht="23.25" hidden="false" customHeight="true" outlineLevel="0" collapsed="false">
      <c r="A20" s="9" t="n">
        <v>16</v>
      </c>
      <c r="B20" s="10" t="s">
        <v>123</v>
      </c>
      <c r="C20" s="11" t="n">
        <v>1200</v>
      </c>
      <c r="D20" s="11" t="n">
        <v>1500</v>
      </c>
      <c r="E20" s="11" t="n">
        <v>2000</v>
      </c>
      <c r="F20" s="12" t="n">
        <f aca="false">'Engineering Assumptions'!$C$33*'Engineering Assumptions'!$B$5+'Engineering Assumptions'!$B$8+'Engineering Assumptions'!$D$33*1+'Engineering Assumptions'!$E$33*0.3</f>
        <v>1919</v>
      </c>
      <c r="G20" s="13" t="n">
        <f aca="false">F20*(1+'Engineering Assumptions'!$B$10)*(1+'Engineering Assumptions'!$B$11)</f>
        <v>2648.22</v>
      </c>
      <c r="H20" s="14" t="s">
        <v>93</v>
      </c>
      <c r="I20" s="15" t="n">
        <f aca="false">MROUND(MIN(MAX(G20,C20*1.1),E20*0.88),50)</f>
        <v>1750</v>
      </c>
      <c r="J20" s="16" t="n">
        <v>0.55</v>
      </c>
      <c r="K20" s="15" t="n">
        <f aca="false">MROUND(I20*J20,50)</f>
        <v>950</v>
      </c>
      <c r="L20" s="17" t="n">
        <f aca="false">K20/I20</f>
        <v>0.542857142857143</v>
      </c>
      <c r="M20" s="18" t="n">
        <f aca="false">(I20-C20)/C20</f>
        <v>0.458333333333333</v>
      </c>
      <c r="N20" s="18" t="n">
        <f aca="false">(E20-I20)/E20</f>
        <v>0.125</v>
      </c>
      <c r="O20" s="14" t="s">
        <v>124</v>
      </c>
    </row>
    <row r="21" customFormat="false" ht="23.25" hidden="false" customHeight="true" outlineLevel="0" collapsed="false">
      <c r="A21" s="9" t="n">
        <v>17</v>
      </c>
      <c r="B21" s="10" t="s">
        <v>125</v>
      </c>
      <c r="C21" s="11" t="n">
        <v>950</v>
      </c>
      <c r="D21" s="11" t="n">
        <v>1300</v>
      </c>
      <c r="E21" s="11" t="n">
        <v>1800</v>
      </c>
      <c r="F21" s="12" t="n">
        <f aca="false">'Engineering Assumptions'!$C$34*'Engineering Assumptions'!$B$5+'Engineering Assumptions'!$B$8+'Engineering Assumptions'!$D$34*1+'Engineering Assumptions'!$E$34*0.3</f>
        <v>1702</v>
      </c>
      <c r="G21" s="13" t="n">
        <f aca="false">F21*(1+'Engineering Assumptions'!$B$10)*(1+'Engineering Assumptions'!$B$11)</f>
        <v>2348.76</v>
      </c>
      <c r="H21" s="14" t="s">
        <v>93</v>
      </c>
      <c r="I21" s="15" t="n">
        <f aca="false">MROUND(MIN(MAX(G21,C21*1.1),E21*0.88),50)</f>
        <v>1600</v>
      </c>
      <c r="J21" s="16" t="n">
        <v>0.55</v>
      </c>
      <c r="K21" s="15" t="n">
        <f aca="false">MROUND(I21*J21,50)</f>
        <v>900</v>
      </c>
      <c r="L21" s="17" t="n">
        <f aca="false">K21/I21</f>
        <v>0.5625</v>
      </c>
      <c r="M21" s="18" t="n">
        <f aca="false">(I21-C21)/C21</f>
        <v>0.68421052631579</v>
      </c>
      <c r="N21" s="18" t="n">
        <f aca="false">(E21-I21)/E21</f>
        <v>0.111111111111111</v>
      </c>
      <c r="O21" s="14" t="s">
        <v>126</v>
      </c>
    </row>
    <row r="22" customFormat="false" ht="23.25" hidden="false" customHeight="true" outlineLevel="0" collapsed="false">
      <c r="A22" s="9" t="n">
        <v>18</v>
      </c>
      <c r="B22" s="10" t="s">
        <v>127</v>
      </c>
      <c r="C22" s="11" t="n">
        <v>900</v>
      </c>
      <c r="D22" s="11" t="n">
        <v>1200</v>
      </c>
      <c r="E22" s="11" t="n">
        <v>1600</v>
      </c>
      <c r="F22" s="12" t="n">
        <f aca="false">'Engineering Assumptions'!$C$35*'Engineering Assumptions'!$B$5+'Engineering Assumptions'!$B$8+'Engineering Assumptions'!$D$35*1+'Engineering Assumptions'!$E$35*0.3</f>
        <v>1906</v>
      </c>
      <c r="G22" s="13" t="n">
        <f aca="false">F22*(1+'Engineering Assumptions'!$B$10)*(1+'Engineering Assumptions'!$B$11)</f>
        <v>2630.28</v>
      </c>
      <c r="H22" s="14" t="s">
        <v>93</v>
      </c>
      <c r="I22" s="15" t="n">
        <f aca="false">MROUND(MIN(MAX(G22,C22*1.1),E22*0.88),50)</f>
        <v>1400</v>
      </c>
      <c r="J22" s="16" t="n">
        <v>0.55</v>
      </c>
      <c r="K22" s="15" t="n">
        <f aca="false">MROUND(I22*J22,50)</f>
        <v>750</v>
      </c>
      <c r="L22" s="17" t="n">
        <f aca="false">K22/I22</f>
        <v>0.535714285714286</v>
      </c>
      <c r="M22" s="18" t="n">
        <f aca="false">(I22-C22)/C22</f>
        <v>0.555555555555556</v>
      </c>
      <c r="N22" s="18" t="n">
        <f aca="false">(E22-I22)/E22</f>
        <v>0.125</v>
      </c>
      <c r="O22" s="14" t="s">
        <v>128</v>
      </c>
    </row>
    <row r="23" customFormat="false" ht="23.25" hidden="false" customHeight="true" outlineLevel="0" collapsed="false">
      <c r="A23" s="9" t="n">
        <v>19</v>
      </c>
      <c r="B23" s="10" t="s">
        <v>129</v>
      </c>
      <c r="C23" s="11" t="n">
        <v>700</v>
      </c>
      <c r="D23" s="11" t="n">
        <v>1000</v>
      </c>
      <c r="E23" s="11" t="n">
        <v>1300</v>
      </c>
      <c r="F23" s="12" t="n">
        <f aca="false">'Engineering Assumptions'!$C$36*'Engineering Assumptions'!$B$5+'Engineering Assumptions'!$B$8+'Engineering Assumptions'!$D$36*1+'Engineering Assumptions'!$E$36*0.3</f>
        <v>1702</v>
      </c>
      <c r="G23" s="13" t="n">
        <f aca="false">F23*(1+'Engineering Assumptions'!$B$10)*(1+'Engineering Assumptions'!$B$11)</f>
        <v>2348.76</v>
      </c>
      <c r="H23" s="14" t="s">
        <v>93</v>
      </c>
      <c r="I23" s="15" t="n">
        <f aca="false">MROUND(MIN(MAX(G23,C23*1.1),E23*0.88),50)</f>
        <v>1150</v>
      </c>
      <c r="J23" s="16" t="n">
        <v>0.55</v>
      </c>
      <c r="K23" s="15" t="n">
        <f aca="false">MROUND(I23*J23,50)</f>
        <v>650</v>
      </c>
      <c r="L23" s="17" t="n">
        <f aca="false">K23/I23</f>
        <v>0.565217391304348</v>
      </c>
      <c r="M23" s="18" t="n">
        <f aca="false">(I23-C23)/C23</f>
        <v>0.642857142857143</v>
      </c>
      <c r="N23" s="18" t="n">
        <f aca="false">(E23-I23)/E23</f>
        <v>0.115384615384615</v>
      </c>
      <c r="O23" s="14" t="s">
        <v>130</v>
      </c>
    </row>
    <row r="24" customFormat="false" ht="23.25" hidden="false" customHeight="true" outlineLevel="0" collapsed="false">
      <c r="A24" s="9" t="n">
        <v>20</v>
      </c>
      <c r="B24" s="10" t="s">
        <v>131</v>
      </c>
      <c r="C24" s="11" t="n">
        <v>2000</v>
      </c>
      <c r="D24" s="11" t="n">
        <v>2800</v>
      </c>
      <c r="E24" s="11" t="n">
        <v>3700</v>
      </c>
      <c r="F24" s="12" t="n">
        <f aca="false">'Engineering Assumptions'!$C$37*'Engineering Assumptions'!$B$5+'Engineering Assumptions'!$B$8+'Engineering Assumptions'!$D$37*1+'Engineering Assumptions'!$E$37*0.3</f>
        <v>3838</v>
      </c>
      <c r="G24" s="13" t="n">
        <f aca="false">F24*(1+'Engineering Assumptions'!$B$10)*(1+'Engineering Assumptions'!$B$11)</f>
        <v>5296.44</v>
      </c>
      <c r="H24" s="14" t="s">
        <v>93</v>
      </c>
      <c r="I24" s="15" t="n">
        <f aca="false">MROUND(MIN(MAX(G24,C24*1.1),E24*0.88),50)</f>
        <v>3250</v>
      </c>
      <c r="J24" s="16" t="n">
        <v>0.48</v>
      </c>
      <c r="K24" s="15" t="n">
        <f aca="false">MROUND(I24*J24,50)</f>
        <v>1550</v>
      </c>
      <c r="L24" s="17" t="n">
        <f aca="false">K24/I24</f>
        <v>0.476923076923077</v>
      </c>
      <c r="M24" s="18" t="n">
        <f aca="false">(I24-C24)/C24</f>
        <v>0.625</v>
      </c>
      <c r="N24" s="18" t="n">
        <f aca="false">(E24-I24)/E24</f>
        <v>0.121621621621622</v>
      </c>
      <c r="O24" s="14" t="s">
        <v>132</v>
      </c>
    </row>
    <row r="25" customFormat="false" ht="23.25" hidden="false" customHeight="true" outlineLevel="0" collapsed="false">
      <c r="A25" s="9" t="n">
        <v>21</v>
      </c>
      <c r="B25" s="10" t="s">
        <v>133</v>
      </c>
      <c r="C25" s="11" t="n">
        <v>1200</v>
      </c>
      <c r="D25" s="11" t="n">
        <v>1700</v>
      </c>
      <c r="E25" s="11" t="n">
        <v>2200</v>
      </c>
      <c r="F25" s="12" t="n">
        <f aca="false">'Engineering Assumptions'!$C$38*'Engineering Assumptions'!$B$5+0+'Engineering Assumptions'!$D$38*1+'Engineering Assumptions'!$E$38*0.3</f>
        <v>71</v>
      </c>
      <c r="G25" s="13" t="n">
        <f aca="false">F25*(1+'Engineering Assumptions'!$B$10)*(1+'Engineering Assumptions'!$B$11)</f>
        <v>97.98</v>
      </c>
      <c r="H25" s="14" t="s">
        <v>93</v>
      </c>
      <c r="I25" s="15" t="n">
        <f aca="false">MROUND(MIN(MAX(G25,C25*1.1),E25*0.88),50)</f>
        <v>1300</v>
      </c>
      <c r="J25" s="16" t="n">
        <v>0.95</v>
      </c>
      <c r="K25" s="15" t="n">
        <f aca="false">MROUND(I25*J25,50)</f>
        <v>1250</v>
      </c>
      <c r="L25" s="17" t="n">
        <f aca="false">K25/I25</f>
        <v>0.961538461538462</v>
      </c>
      <c r="M25" s="18" t="n">
        <f aca="false">(I25-C25)/C25</f>
        <v>0.0833333333333333</v>
      </c>
      <c r="N25" s="18" t="n">
        <f aca="false">(E25-I25)/E25</f>
        <v>0.409090909090909</v>
      </c>
      <c r="O25" s="14" t="s">
        <v>134</v>
      </c>
    </row>
    <row r="26" customFormat="false" ht="23.25" hidden="false" customHeight="true" outlineLevel="0" collapsed="false">
      <c r="A26" s="9" t="n">
        <v>22</v>
      </c>
      <c r="B26" s="10" t="s">
        <v>135</v>
      </c>
      <c r="C26" s="11" t="n">
        <v>2000</v>
      </c>
      <c r="D26" s="11" t="n">
        <v>2600</v>
      </c>
      <c r="E26" s="11" t="n">
        <v>3200</v>
      </c>
      <c r="F26" s="12" t="n">
        <f aca="false">'Engineering Assumptions'!$C$39*'Engineering Assumptions'!$B$5+0+'Engineering Assumptions'!$D$39*1+'Engineering Assumptions'!$E$39*0.3</f>
        <v>84</v>
      </c>
      <c r="G26" s="13" t="n">
        <f aca="false">F26*(1+'Engineering Assumptions'!$B$10)*(1+'Engineering Assumptions'!$B$11)</f>
        <v>115.92</v>
      </c>
      <c r="H26" s="14" t="s">
        <v>93</v>
      </c>
      <c r="I26" s="15" t="n">
        <f aca="false">MROUND(MIN(MAX(G26,C26*1.1),E26*0.88),50)</f>
        <v>2200</v>
      </c>
      <c r="J26" s="16" t="n">
        <v>0.95</v>
      </c>
      <c r="K26" s="15" t="n">
        <f aca="false">MROUND(I26*J26,50)</f>
        <v>2100</v>
      </c>
      <c r="L26" s="17" t="n">
        <f aca="false">K26/I26</f>
        <v>0.954545454545455</v>
      </c>
      <c r="M26" s="18" t="n">
        <f aca="false">(I26-C26)/C26</f>
        <v>0.1</v>
      </c>
      <c r="N26" s="18" t="n">
        <f aca="false">(E26-I26)/E26</f>
        <v>0.3125</v>
      </c>
      <c r="O26" s="14" t="s">
        <v>136</v>
      </c>
    </row>
    <row r="27" customFormat="false" ht="23.25" hidden="false" customHeight="true" outlineLevel="0" collapsed="false">
      <c r="A27" s="9" t="n">
        <v>23</v>
      </c>
      <c r="B27" s="10" t="s">
        <v>137</v>
      </c>
      <c r="C27" s="11" t="n">
        <v>1500</v>
      </c>
      <c r="D27" s="11" t="n">
        <v>2200</v>
      </c>
      <c r="E27" s="11" t="n">
        <v>2800</v>
      </c>
      <c r="F27" s="12" t="n">
        <f aca="false">'Engineering Assumptions'!$C$40*'Engineering Assumptions'!$B$5+'Engineering Assumptions'!$B$8+'Engineering Assumptions'!$D$40*1+'Engineering Assumptions'!$E$40*0.3</f>
        <v>2139</v>
      </c>
      <c r="G27" s="13" t="n">
        <f aca="false">F27*(1+'Engineering Assumptions'!$B$10)*(1+'Engineering Assumptions'!$B$11)</f>
        <v>2951.82</v>
      </c>
      <c r="H27" s="14" t="s">
        <v>93</v>
      </c>
      <c r="I27" s="15" t="n">
        <f aca="false">MROUND(MIN(MAX(G27,C27*1.1),E27*0.88),50)</f>
        <v>2450</v>
      </c>
      <c r="J27" s="16" t="n">
        <v>0.55</v>
      </c>
      <c r="K27" s="15" t="n">
        <f aca="false">MROUND(I27*J27,50)</f>
        <v>1350</v>
      </c>
      <c r="L27" s="17" t="n">
        <f aca="false">K27/I27</f>
        <v>0.551020408163265</v>
      </c>
      <c r="M27" s="18" t="n">
        <f aca="false">(I27-C27)/C27</f>
        <v>0.633333333333333</v>
      </c>
      <c r="N27" s="18" t="n">
        <f aca="false">(E27-I27)/E27</f>
        <v>0.125</v>
      </c>
      <c r="O27" s="14" t="s">
        <v>138</v>
      </c>
    </row>
    <row r="28" customFormat="false" ht="23.25" hidden="false" customHeight="true" outlineLevel="0" collapsed="false">
      <c r="A28" s="9" t="n">
        <v>24</v>
      </c>
      <c r="B28" s="10" t="s">
        <v>139</v>
      </c>
      <c r="C28" s="11" t="n">
        <v>5500</v>
      </c>
      <c r="D28" s="11" t="n">
        <v>7500</v>
      </c>
      <c r="E28" s="11" t="n">
        <v>12100</v>
      </c>
      <c r="F28" s="12" t="n">
        <f aca="false">'Engineering Assumptions'!$C$41*'Engineering Assumptions'!$B$5+'Engineering Assumptions'!$B$8+'Engineering Assumptions'!$D$41*1+'Engineering Assumptions'!$E$41*0.3</f>
        <v>6916</v>
      </c>
      <c r="G28" s="13" t="n">
        <f aca="false">F28*(1+'Engineering Assumptions'!$B$10)*(1+'Engineering Assumptions'!$B$11)</f>
        <v>9544.08</v>
      </c>
      <c r="H28" s="14" t="s">
        <v>93</v>
      </c>
      <c r="I28" s="15" t="n">
        <f aca="false">MROUND(MIN(MAX(G28,C28*1.1),E28*0.88),50)</f>
        <v>9550</v>
      </c>
      <c r="J28" s="16" t="n">
        <v>0.45</v>
      </c>
      <c r="K28" s="15" t="n">
        <f aca="false">MROUND(I28*J28,50)</f>
        <v>4300</v>
      </c>
      <c r="L28" s="17" t="n">
        <f aca="false">K28/I28</f>
        <v>0.450261780104712</v>
      </c>
      <c r="M28" s="18" t="n">
        <f aca="false">(I28-C28)/C28</f>
        <v>0.736363636363636</v>
      </c>
      <c r="N28" s="18" t="n">
        <f aca="false">(E28-I28)/E28</f>
        <v>0.210743801652893</v>
      </c>
      <c r="O28" s="14" t="s">
        <v>140</v>
      </c>
    </row>
    <row r="29" customFormat="false" ht="23.25" hidden="false" customHeight="true" outlineLevel="0" collapsed="false">
      <c r="A29" s="9" t="n">
        <v>25</v>
      </c>
      <c r="B29" s="10" t="s">
        <v>141</v>
      </c>
      <c r="C29" s="11" t="n">
        <v>1800</v>
      </c>
      <c r="D29" s="11" t="n">
        <v>2300</v>
      </c>
      <c r="E29" s="11" t="n">
        <v>4940</v>
      </c>
      <c r="F29" s="12" t="n">
        <f aca="false">'Engineering Assumptions'!$C$42*'Engineering Assumptions'!$B$5+'Engineering Assumptions'!$B$8+'Engineering Assumptions'!$D$42*1+'Engineering Assumptions'!$E$42*0.3</f>
        <v>2152</v>
      </c>
      <c r="G29" s="13" t="n">
        <f aca="false">F29*(1+'Engineering Assumptions'!$B$10)*(1+'Engineering Assumptions'!$B$11)</f>
        <v>2969.76</v>
      </c>
      <c r="H29" s="14" t="s">
        <v>93</v>
      </c>
      <c r="I29" s="15" t="n">
        <f aca="false">MROUND(MIN(MAX(G29,C29*1.1),E29*0.88),50)</f>
        <v>2950</v>
      </c>
      <c r="J29" s="16" t="n">
        <v>0.5</v>
      </c>
      <c r="K29" s="15" t="n">
        <f aca="false">MROUND(I29*J29,50)</f>
        <v>1500</v>
      </c>
      <c r="L29" s="17" t="n">
        <f aca="false">K29/I29</f>
        <v>0.508474576271186</v>
      </c>
      <c r="M29" s="18" t="n">
        <f aca="false">(I29-C29)/C29</f>
        <v>0.638888888888889</v>
      </c>
      <c r="N29" s="18" t="n">
        <f aca="false">(E29-I29)/E29</f>
        <v>0.402834008097166</v>
      </c>
      <c r="O29" s="14" t="s">
        <v>142</v>
      </c>
    </row>
    <row r="30" customFormat="false" ht="23.25" hidden="false" customHeight="true" outlineLevel="0" collapsed="false">
      <c r="A30" s="9" t="n">
        <v>26</v>
      </c>
      <c r="B30" s="10" t="s">
        <v>143</v>
      </c>
      <c r="C30" s="11" t="n">
        <v>1200</v>
      </c>
      <c r="D30" s="11" t="n">
        <v>1800</v>
      </c>
      <c r="E30" s="11" t="n">
        <v>2400</v>
      </c>
      <c r="F30" s="12" t="n">
        <f aca="false">'Engineering Assumptions'!$C$43*'Engineering Assumptions'!$B$5+'Engineering Assumptions'!$B$8+'Engineering Assumptions'!$D$43*1+'Engineering Assumptions'!$E$43*0.3</f>
        <v>2330</v>
      </c>
      <c r="G30" s="13" t="n">
        <f aca="false">F30*(1+'Engineering Assumptions'!$B$10)*(1+'Engineering Assumptions'!$B$11)</f>
        <v>3215.4</v>
      </c>
      <c r="H30" s="14" t="s">
        <v>93</v>
      </c>
      <c r="I30" s="15" t="n">
        <f aca="false">MROUND(MIN(MAX(G30,C30*1.1),E30*0.88),50)</f>
        <v>2100</v>
      </c>
      <c r="J30" s="16" t="n">
        <v>0.55</v>
      </c>
      <c r="K30" s="15" t="n">
        <f aca="false">MROUND(I30*J30,50)</f>
        <v>1150</v>
      </c>
      <c r="L30" s="17" t="n">
        <f aca="false">K30/I30</f>
        <v>0.547619047619048</v>
      </c>
      <c r="M30" s="18" t="n">
        <f aca="false">(I30-C30)/C30</f>
        <v>0.75</v>
      </c>
      <c r="N30" s="18" t="n">
        <f aca="false">(E30-I30)/E30</f>
        <v>0.125</v>
      </c>
      <c r="O30" s="14" t="s">
        <v>144</v>
      </c>
    </row>
    <row r="31" customFormat="false" ht="23.25" hidden="false" customHeight="true" outlineLevel="0" collapsed="false">
      <c r="A31" s="9" t="n">
        <v>27</v>
      </c>
      <c r="B31" s="10" t="s">
        <v>145</v>
      </c>
      <c r="C31" s="11" t="n">
        <v>250</v>
      </c>
      <c r="D31" s="11" t="n">
        <v>350</v>
      </c>
      <c r="E31" s="11" t="n">
        <v>550</v>
      </c>
      <c r="F31" s="12" t="n">
        <f aca="false">'Engineering Assumptions'!$C$44*'Engineering Assumptions'!$B$5+0+'Engineering Assumptions'!$D$44*1+'Engineering Assumptions'!$E$44*0.3</f>
        <v>493.9</v>
      </c>
      <c r="G31" s="13" t="n">
        <f aca="false">F31*(1+'Engineering Assumptions'!$B$10)*(1+'Engineering Assumptions'!$B$11)</f>
        <v>681.582</v>
      </c>
      <c r="H31" s="14" t="s">
        <v>93</v>
      </c>
      <c r="I31" s="15" t="n">
        <f aca="false">MROUND(MIN(MAX(G31,C31*1.1),E31*0.88),50)</f>
        <v>500</v>
      </c>
      <c r="J31" s="16" t="n">
        <v>0.6</v>
      </c>
      <c r="K31" s="15" t="n">
        <f aca="false">MROUND(I31*J31,50)</f>
        <v>300</v>
      </c>
      <c r="L31" s="17" t="n">
        <f aca="false">K31/I31</f>
        <v>0.6</v>
      </c>
      <c r="M31" s="18" t="n">
        <f aca="false">(I31-C31)/C31</f>
        <v>1</v>
      </c>
      <c r="N31" s="18" t="n">
        <f aca="false">(E31-I31)/E31</f>
        <v>0.0909090909090909</v>
      </c>
      <c r="O31" s="14" t="s">
        <v>146</v>
      </c>
    </row>
    <row r="32" customFormat="false" ht="23.25" hidden="false" customHeight="true" outlineLevel="0" collapsed="false">
      <c r="A32" s="9" t="n">
        <v>28</v>
      </c>
      <c r="B32" s="10" t="s">
        <v>147</v>
      </c>
      <c r="C32" s="11" t="n">
        <v>1200</v>
      </c>
      <c r="D32" s="11" t="n">
        <v>1600</v>
      </c>
      <c r="E32" s="11" t="n">
        <v>2000</v>
      </c>
      <c r="F32" s="12" t="n">
        <f aca="false">'Engineering Assumptions'!$C$45*'Engineering Assumptions'!$B$5+'Engineering Assumptions'!$B$8+'Engineering Assumptions'!$D$45*1+'Engineering Assumptions'!$E$45*0.3</f>
        <v>2521</v>
      </c>
      <c r="G32" s="13" t="n">
        <f aca="false">F32*(1+'Engineering Assumptions'!$B$10)*(1+'Engineering Assumptions'!$B$11)</f>
        <v>3478.98</v>
      </c>
      <c r="H32" s="14" t="s">
        <v>93</v>
      </c>
      <c r="I32" s="15" t="n">
        <f aca="false">MROUND(MIN(MAX(G32,C32*1.1),E32*0.88),50)</f>
        <v>1750</v>
      </c>
      <c r="J32" s="16" t="n">
        <v>0.55</v>
      </c>
      <c r="K32" s="15" t="n">
        <f aca="false">MROUND(I32*J32,50)</f>
        <v>950</v>
      </c>
      <c r="L32" s="17" t="n">
        <f aca="false">K32/I32</f>
        <v>0.542857142857143</v>
      </c>
      <c r="M32" s="18" t="n">
        <f aca="false">(I32-C32)/C32</f>
        <v>0.458333333333333</v>
      </c>
      <c r="N32" s="18" t="n">
        <f aca="false">(E32-I32)/E32</f>
        <v>0.125</v>
      </c>
      <c r="O32" s="14" t="s">
        <v>148</v>
      </c>
    </row>
    <row r="33" customFormat="false" ht="23.25" hidden="false" customHeight="true" outlineLevel="0" collapsed="false">
      <c r="A33" s="9" t="n">
        <v>29</v>
      </c>
      <c r="B33" s="10" t="s">
        <v>149</v>
      </c>
      <c r="C33" s="11" t="n">
        <v>2000</v>
      </c>
      <c r="D33" s="11" t="n">
        <v>3000</v>
      </c>
      <c r="E33" s="11" t="n">
        <v>3800</v>
      </c>
      <c r="F33" s="12" t="n">
        <f aca="false">'Engineering Assumptions'!$C$46*'Engineering Assumptions'!$B$5+'Engineering Assumptions'!$B$8+'Engineering Assumptions'!$D$46*1+'Engineering Assumptions'!$E$46*0.3</f>
        <v>2210</v>
      </c>
      <c r="G33" s="13" t="n">
        <f aca="false">F33*(1+'Engineering Assumptions'!$B$10)*(1+'Engineering Assumptions'!$B$11)</f>
        <v>3049.8</v>
      </c>
      <c r="H33" s="14" t="s">
        <v>93</v>
      </c>
      <c r="I33" s="15" t="n">
        <f aca="false">MROUND(MIN(MAX(G33,C33*1.1),E33*0.88),50)</f>
        <v>3050</v>
      </c>
      <c r="J33" s="16" t="n">
        <v>0.5</v>
      </c>
      <c r="K33" s="15" t="n">
        <f aca="false">MROUND(I33*J33,50)</f>
        <v>1550</v>
      </c>
      <c r="L33" s="17" t="n">
        <f aca="false">K33/I33</f>
        <v>0.508196721311475</v>
      </c>
      <c r="M33" s="18" t="n">
        <f aca="false">(I33-C33)/C33</f>
        <v>0.525</v>
      </c>
      <c r="N33" s="18" t="n">
        <f aca="false">(E33-I33)/E33</f>
        <v>0.197368421052632</v>
      </c>
      <c r="O33" s="14" t="s">
        <v>150</v>
      </c>
    </row>
    <row r="36" customFormat="false" ht="15" hidden="false" customHeight="true" outlineLevel="0" collapsed="false">
      <c r="A36" s="19" t="s">
        <v>151</v>
      </c>
      <c r="B36" s="19"/>
      <c r="C36" s="19"/>
      <c r="D36" s="19"/>
      <c r="E36" s="19"/>
    </row>
    <row r="37" customFormat="false" ht="15" hidden="false" customHeight="true" outlineLevel="0" collapsed="false">
      <c r="A37" s="20" t="s">
        <v>152</v>
      </c>
      <c r="B37" s="20" t="s">
        <v>153</v>
      </c>
      <c r="C37" s="20" t="s">
        <v>154</v>
      </c>
      <c r="D37" s="21" t="s">
        <v>155</v>
      </c>
      <c r="E37" s="21"/>
    </row>
    <row r="38" customFormat="false" ht="15" hidden="false" customHeight="true" outlineLevel="0" collapsed="false">
      <c r="A38" s="22" t="s">
        <v>156</v>
      </c>
      <c r="B38" s="16" t="n">
        <v>1</v>
      </c>
      <c r="C38" s="23" t="n">
        <f aca="false">B38</f>
        <v>1</v>
      </c>
      <c r="D38" s="14" t="s">
        <v>157</v>
      </c>
      <c r="E38" s="14"/>
    </row>
    <row r="39" customFormat="false" ht="15" hidden="false" customHeight="true" outlineLevel="0" collapsed="false">
      <c r="A39" s="22" t="s">
        <v>158</v>
      </c>
      <c r="B39" s="16" t="n">
        <v>0.92</v>
      </c>
      <c r="C39" s="23" t="n">
        <f aca="false">B39</f>
        <v>0.92</v>
      </c>
      <c r="D39" s="14" t="s">
        <v>159</v>
      </c>
      <c r="E39" s="14"/>
    </row>
    <row r="40" customFormat="false" ht="15" hidden="false" customHeight="true" outlineLevel="0" collapsed="false">
      <c r="A40" s="22" t="s">
        <v>160</v>
      </c>
      <c r="B40" s="16" t="n">
        <v>0.82</v>
      </c>
      <c r="C40" s="23" t="n">
        <f aca="false">B40</f>
        <v>0.82</v>
      </c>
      <c r="D40" s="14" t="s">
        <v>161</v>
      </c>
      <c r="E40" s="14"/>
    </row>
    <row r="41" customFormat="false" ht="23.25" hidden="false" customHeight="true" outlineLevel="0" collapsed="false">
      <c r="A41" s="22" t="s">
        <v>162</v>
      </c>
      <c r="B41" s="16" t="n">
        <v>0.72</v>
      </c>
      <c r="C41" s="23" t="n">
        <f aca="false">B41</f>
        <v>0.72</v>
      </c>
      <c r="D41" s="14" t="s">
        <v>163</v>
      </c>
      <c r="E41" s="14"/>
    </row>
    <row r="42" customFormat="false" ht="23.25" hidden="false" customHeight="true" outlineLevel="0" collapsed="false">
      <c r="A42" s="22" t="s">
        <v>164</v>
      </c>
      <c r="B42" s="16" t="n">
        <v>0.65</v>
      </c>
      <c r="C42" s="23" t="n">
        <f aca="false">B42</f>
        <v>0.65</v>
      </c>
      <c r="D42" s="14" t="s">
        <v>165</v>
      </c>
      <c r="E42" s="14"/>
    </row>
    <row r="43" customFormat="false" ht="15" hidden="false" customHeight="true" outlineLevel="0" collapsed="false">
      <c r="A43" s="22" t="s">
        <v>166</v>
      </c>
      <c r="B43" s="16" t="n">
        <v>0.58</v>
      </c>
      <c r="C43" s="23" t="n">
        <f aca="false">B43</f>
        <v>0.58</v>
      </c>
      <c r="D43" s="14" t="s">
        <v>167</v>
      </c>
      <c r="E43" s="14"/>
    </row>
    <row r="46" customFormat="false" ht="15" hidden="false" customHeight="true" outlineLevel="0" collapsed="false">
      <c r="A46" s="19" t="s">
        <v>168</v>
      </c>
      <c r="B46" s="19"/>
      <c r="C46" s="19"/>
      <c r="D46" s="19"/>
      <c r="E46" s="19"/>
    </row>
    <row r="47" customFormat="false" ht="15" hidden="false" customHeight="true" outlineLevel="0" collapsed="false">
      <c r="A47" s="22" t="s">
        <v>169</v>
      </c>
      <c r="B47" s="16" t="n">
        <v>0.95</v>
      </c>
      <c r="C47" s="24" t="s">
        <v>170</v>
      </c>
    </row>
    <row r="48" customFormat="false" ht="15" hidden="false" customHeight="true" outlineLevel="0" collapsed="false">
      <c r="A48" s="22" t="s">
        <v>171</v>
      </c>
      <c r="B48" s="16" t="n">
        <v>0.85</v>
      </c>
      <c r="C48" s="24" t="s">
        <v>172</v>
      </c>
    </row>
  </sheetData>
  <mergeCells count="11">
    <mergeCell ref="A1:N1"/>
    <mergeCell ref="A2:N2"/>
    <mergeCell ref="A36:E36"/>
    <mergeCell ref="D37:E37"/>
    <mergeCell ref="D38:E38"/>
    <mergeCell ref="D39:E39"/>
    <mergeCell ref="D40:E40"/>
    <mergeCell ref="D41:E41"/>
    <mergeCell ref="D42:E42"/>
    <mergeCell ref="D43:E43"/>
    <mergeCell ref="A46:E46"/>
  </mergeCells>
  <conditionalFormatting sqref="G5:G33">
    <cfRule type="expression" priority="2" aboveAverage="0" equalAverage="0" bottom="0" percent="0" rank="0" text="" dxfId="0">
      <formula>G5&gt;E5*0.88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52"/>
  </cols>
  <sheetData>
    <row r="1" customFormat="false" ht="24" hidden="false" customHeight="true" outlineLevel="0" collapsed="false">
      <c r="A1" s="25" t="s">
        <v>173</v>
      </c>
      <c r="B1" s="25"/>
      <c r="C1" s="25"/>
      <c r="D1" s="25"/>
      <c r="E1" s="25"/>
      <c r="F1" s="25"/>
      <c r="G1" s="25"/>
      <c r="H1" s="25"/>
    </row>
    <row r="2" customFormat="false" ht="37.5" hidden="false" customHeight="true" outlineLevel="0" collapsed="false">
      <c r="A2" s="26" t="s">
        <v>174</v>
      </c>
      <c r="B2" s="26"/>
      <c r="C2" s="26"/>
      <c r="D2" s="26"/>
      <c r="E2" s="26"/>
      <c r="F2" s="26"/>
      <c r="G2" s="26"/>
      <c r="H2" s="26"/>
    </row>
    <row r="4" customFormat="false" ht="30" hidden="false" customHeight="true" outlineLevel="0" collapsed="false">
      <c r="A4" s="27" t="s">
        <v>77</v>
      </c>
      <c r="B4" s="27" t="s">
        <v>78</v>
      </c>
      <c r="C4" s="27" t="s">
        <v>175</v>
      </c>
      <c r="D4" s="27" t="s">
        <v>176</v>
      </c>
      <c r="E4" s="27" t="s">
        <v>177</v>
      </c>
      <c r="F4" s="27" t="s">
        <v>178</v>
      </c>
      <c r="G4" s="27" t="s">
        <v>179</v>
      </c>
      <c r="H4" s="27" t="s">
        <v>180</v>
      </c>
    </row>
    <row r="5" customFormat="false" ht="15" hidden="false" customHeight="false" outlineLevel="0" collapsed="false">
      <c r="A5" s="28" t="n">
        <v>1</v>
      </c>
      <c r="B5" s="29" t="s">
        <v>181</v>
      </c>
      <c r="C5" s="30" t="s">
        <v>182</v>
      </c>
      <c r="D5" s="31" t="n">
        <v>5000</v>
      </c>
      <c r="E5" s="31" t="n">
        <v>2500</v>
      </c>
      <c r="F5" s="32" t="s">
        <v>183</v>
      </c>
      <c r="G5" s="32" t="s">
        <v>184</v>
      </c>
      <c r="H5" s="33" t="s">
        <v>185</v>
      </c>
    </row>
    <row r="6" customFormat="false" ht="15" hidden="false" customHeight="false" outlineLevel="0" collapsed="false">
      <c r="A6" s="28" t="n">
        <v>2</v>
      </c>
      <c r="B6" s="29" t="s">
        <v>181</v>
      </c>
      <c r="C6" s="30" t="s">
        <v>186</v>
      </c>
      <c r="D6" s="31" t="n">
        <v>7000</v>
      </c>
      <c r="E6" s="31" t="n">
        <v>3500</v>
      </c>
      <c r="F6" s="32" t="s">
        <v>183</v>
      </c>
      <c r="G6" s="32" t="s">
        <v>184</v>
      </c>
      <c r="H6" s="33" t="s">
        <v>187</v>
      </c>
    </row>
    <row r="7" customFormat="false" ht="15" hidden="false" customHeight="false" outlineLevel="0" collapsed="false">
      <c r="A7" s="28" t="n">
        <v>3</v>
      </c>
      <c r="B7" s="29" t="s">
        <v>181</v>
      </c>
      <c r="C7" s="30" t="s">
        <v>188</v>
      </c>
      <c r="D7" s="31" t="n">
        <v>12000</v>
      </c>
      <c r="E7" s="31" t="n">
        <v>6000</v>
      </c>
      <c r="F7" s="32" t="s">
        <v>183</v>
      </c>
      <c r="G7" s="32" t="s">
        <v>184</v>
      </c>
      <c r="H7" s="33" t="s">
        <v>189</v>
      </c>
    </row>
    <row r="8" customFormat="false" ht="15" hidden="false" customHeight="false" outlineLevel="0" collapsed="false">
      <c r="A8" s="28" t="n">
        <v>4</v>
      </c>
      <c r="B8" s="29" t="s">
        <v>181</v>
      </c>
      <c r="C8" s="30" t="s">
        <v>190</v>
      </c>
      <c r="D8" s="31" t="n">
        <v>18000</v>
      </c>
      <c r="E8" s="31" t="n">
        <v>10000</v>
      </c>
      <c r="F8" s="32" t="s">
        <v>183</v>
      </c>
      <c r="G8" s="32" t="s">
        <v>184</v>
      </c>
      <c r="H8" s="33" t="s">
        <v>191</v>
      </c>
    </row>
    <row r="9" customFormat="false" ht="15" hidden="false" customHeight="false" outlineLevel="0" collapsed="false">
      <c r="A9" s="28" t="n">
        <v>5</v>
      </c>
      <c r="B9" s="29" t="s">
        <v>181</v>
      </c>
      <c r="C9" s="30" t="s">
        <v>192</v>
      </c>
      <c r="D9" s="31" t="n">
        <v>26000</v>
      </c>
      <c r="E9" s="31" t="n">
        <v>15000</v>
      </c>
      <c r="F9" s="32" t="s">
        <v>183</v>
      </c>
      <c r="G9" s="32" t="s">
        <v>184</v>
      </c>
      <c r="H9" s="33" t="s">
        <v>193</v>
      </c>
    </row>
    <row r="10" customFormat="false" ht="15" hidden="false" customHeight="false" outlineLevel="0" collapsed="false">
      <c r="A10" s="28" t="n">
        <v>6</v>
      </c>
      <c r="B10" s="29" t="s">
        <v>181</v>
      </c>
      <c r="C10" s="30" t="s">
        <v>194</v>
      </c>
      <c r="D10" s="31" t="n">
        <v>38000</v>
      </c>
      <c r="E10" s="31" t="n">
        <v>22000</v>
      </c>
      <c r="F10" s="32" t="s">
        <v>183</v>
      </c>
      <c r="G10" s="32" t="s">
        <v>184</v>
      </c>
      <c r="H10" s="33" t="s">
        <v>195</v>
      </c>
    </row>
    <row r="11" customFormat="false" ht="15" hidden="false" customHeight="false" outlineLevel="0" collapsed="false">
      <c r="A11" s="28" t="n">
        <v>7</v>
      </c>
      <c r="B11" s="29" t="s">
        <v>181</v>
      </c>
      <c r="C11" s="30" t="s">
        <v>196</v>
      </c>
      <c r="D11" s="31" t="n">
        <v>48000</v>
      </c>
      <c r="E11" s="31" t="n">
        <v>28000</v>
      </c>
      <c r="F11" s="32" t="s">
        <v>183</v>
      </c>
      <c r="G11" s="32" t="s">
        <v>184</v>
      </c>
      <c r="H11" s="33" t="s">
        <v>197</v>
      </c>
    </row>
    <row r="12" customFormat="false" ht="15" hidden="false" customHeight="false" outlineLevel="0" collapsed="false">
      <c r="A12" s="28" t="n">
        <v>8</v>
      </c>
      <c r="B12" s="29" t="s">
        <v>198</v>
      </c>
      <c r="C12" s="30" t="s">
        <v>199</v>
      </c>
      <c r="D12" s="31" t="n">
        <v>2200</v>
      </c>
      <c r="E12" s="31" t="n">
        <v>1300</v>
      </c>
      <c r="F12" s="32" t="s">
        <v>183</v>
      </c>
      <c r="G12" s="32" t="s">
        <v>184</v>
      </c>
      <c r="H12" s="33" t="s">
        <v>200</v>
      </c>
    </row>
    <row r="13" customFormat="false" ht="15" hidden="false" customHeight="false" outlineLevel="0" collapsed="false">
      <c r="A13" s="28" t="n">
        <v>9</v>
      </c>
      <c r="B13" s="29" t="s">
        <v>198</v>
      </c>
      <c r="C13" s="30" t="s">
        <v>201</v>
      </c>
      <c r="D13" s="31" t="n">
        <v>3800</v>
      </c>
      <c r="E13" s="31" t="n">
        <v>2400</v>
      </c>
      <c r="F13" s="32" t="s">
        <v>183</v>
      </c>
      <c r="G13" s="32" t="s">
        <v>184</v>
      </c>
      <c r="H13" s="33" t="s">
        <v>202</v>
      </c>
    </row>
    <row r="14" customFormat="false" ht="15" hidden="false" customHeight="false" outlineLevel="0" collapsed="false">
      <c r="A14" s="28" t="n">
        <v>10</v>
      </c>
      <c r="B14" s="29" t="s">
        <v>198</v>
      </c>
      <c r="C14" s="30" t="s">
        <v>203</v>
      </c>
      <c r="D14" s="31" t="n">
        <v>6500</v>
      </c>
      <c r="E14" s="31" t="n">
        <v>4500</v>
      </c>
      <c r="F14" s="32" t="s">
        <v>183</v>
      </c>
      <c r="G14" s="32" t="s">
        <v>184</v>
      </c>
      <c r="H14" s="33" t="s">
        <v>202</v>
      </c>
    </row>
    <row r="15" customFormat="false" ht="15" hidden="false" customHeight="false" outlineLevel="0" collapsed="false">
      <c r="A15" s="28" t="n">
        <v>11</v>
      </c>
      <c r="B15" s="29" t="s">
        <v>198</v>
      </c>
      <c r="C15" s="30" t="s">
        <v>204</v>
      </c>
      <c r="D15" s="31" t="n">
        <v>16000</v>
      </c>
      <c r="E15" s="31" t="n">
        <v>11000</v>
      </c>
      <c r="F15" s="32" t="s">
        <v>183</v>
      </c>
      <c r="G15" s="32" t="s">
        <v>184</v>
      </c>
      <c r="H15" s="33" t="s">
        <v>205</v>
      </c>
    </row>
    <row r="16" customFormat="false" ht="15" hidden="false" customHeight="false" outlineLevel="0" collapsed="false">
      <c r="A16" s="28" t="n">
        <v>12</v>
      </c>
      <c r="B16" s="29" t="s">
        <v>198</v>
      </c>
      <c r="C16" s="30" t="s">
        <v>206</v>
      </c>
      <c r="D16" s="31" t="n">
        <v>26000</v>
      </c>
      <c r="E16" s="31" t="n">
        <v>18000</v>
      </c>
      <c r="F16" s="32" t="s">
        <v>183</v>
      </c>
      <c r="G16" s="32" t="s">
        <v>184</v>
      </c>
      <c r="H16" s="33" t="s">
        <v>207</v>
      </c>
    </row>
    <row r="17" customFormat="false" ht="15" hidden="false" customHeight="false" outlineLevel="0" collapsed="false">
      <c r="A17" s="28" t="n">
        <v>13</v>
      </c>
      <c r="B17" s="29" t="s">
        <v>208</v>
      </c>
      <c r="C17" s="30" t="s">
        <v>209</v>
      </c>
      <c r="D17" s="31" t="n">
        <v>2800</v>
      </c>
      <c r="E17" s="31" t="n">
        <v>1700</v>
      </c>
      <c r="F17" s="32" t="s">
        <v>183</v>
      </c>
      <c r="G17" s="32" t="s">
        <v>184</v>
      </c>
      <c r="H17" s="33" t="s">
        <v>210</v>
      </c>
    </row>
    <row r="18" customFormat="false" ht="15" hidden="false" customHeight="false" outlineLevel="0" collapsed="false">
      <c r="A18" s="28" t="n">
        <v>14</v>
      </c>
      <c r="B18" s="29" t="s">
        <v>208</v>
      </c>
      <c r="C18" s="30" t="s">
        <v>211</v>
      </c>
      <c r="D18" s="31" t="n">
        <v>2000</v>
      </c>
      <c r="E18" s="31" t="n">
        <v>1200</v>
      </c>
      <c r="F18" s="32" t="s">
        <v>183</v>
      </c>
      <c r="G18" s="32" t="s">
        <v>184</v>
      </c>
      <c r="H18" s="33" t="s">
        <v>212</v>
      </c>
    </row>
    <row r="19" customFormat="false" ht="15" hidden="false" customHeight="false" outlineLevel="0" collapsed="false">
      <c r="A19" s="28" t="n">
        <v>15</v>
      </c>
      <c r="B19" s="29" t="s">
        <v>208</v>
      </c>
      <c r="C19" s="30" t="s">
        <v>213</v>
      </c>
      <c r="D19" s="31" t="n">
        <v>800</v>
      </c>
      <c r="E19" s="31" t="n">
        <v>500</v>
      </c>
      <c r="F19" s="32" t="s">
        <v>183</v>
      </c>
      <c r="G19" s="32" t="s">
        <v>184</v>
      </c>
      <c r="H19" s="33" t="s">
        <v>214</v>
      </c>
    </row>
    <row r="20" customFormat="false" ht="15" hidden="false" customHeight="false" outlineLevel="0" collapsed="false">
      <c r="A20" s="28" t="n">
        <v>16</v>
      </c>
      <c r="B20" s="29" t="s">
        <v>215</v>
      </c>
      <c r="C20" s="30" t="s">
        <v>216</v>
      </c>
      <c r="D20" s="31" t="n">
        <v>1300</v>
      </c>
      <c r="E20" s="31" t="n">
        <v>800</v>
      </c>
      <c r="F20" s="32" t="s">
        <v>183</v>
      </c>
      <c r="G20" s="32" t="s">
        <v>184</v>
      </c>
      <c r="H20" s="33" t="s">
        <v>217</v>
      </c>
    </row>
    <row r="21" customFormat="false" ht="15" hidden="false" customHeight="false" outlineLevel="0" collapsed="false">
      <c r="A21" s="28" t="n">
        <v>17</v>
      </c>
      <c r="B21" s="29" t="s">
        <v>215</v>
      </c>
      <c r="C21" s="30" t="s">
        <v>218</v>
      </c>
      <c r="D21" s="31" t="n">
        <v>2000</v>
      </c>
      <c r="E21" s="31" t="n">
        <v>1300</v>
      </c>
      <c r="F21" s="32" t="s">
        <v>183</v>
      </c>
      <c r="G21" s="32" t="s">
        <v>184</v>
      </c>
      <c r="H21" s="33" t="s">
        <v>219</v>
      </c>
    </row>
    <row r="22" customFormat="false" ht="15" hidden="false" customHeight="false" outlineLevel="0" collapsed="false">
      <c r="A22" s="28" t="n">
        <v>18</v>
      </c>
      <c r="B22" s="29" t="s">
        <v>215</v>
      </c>
      <c r="C22" s="30" t="s">
        <v>220</v>
      </c>
      <c r="D22" s="31" t="n">
        <v>3000</v>
      </c>
      <c r="E22" s="31" t="n">
        <v>2100</v>
      </c>
      <c r="F22" s="32" t="s">
        <v>183</v>
      </c>
      <c r="G22" s="32" t="s">
        <v>184</v>
      </c>
      <c r="H22" s="33" t="s">
        <v>221</v>
      </c>
    </row>
    <row r="23" customFormat="false" ht="15" hidden="false" customHeight="false" outlineLevel="0" collapsed="false">
      <c r="A23" s="28" t="n">
        <v>19</v>
      </c>
      <c r="B23" s="29" t="s">
        <v>215</v>
      </c>
      <c r="C23" s="30" t="s">
        <v>222</v>
      </c>
      <c r="D23" s="31" t="n">
        <v>4500</v>
      </c>
      <c r="E23" s="31" t="n">
        <v>3300</v>
      </c>
      <c r="F23" s="32" t="s">
        <v>183</v>
      </c>
      <c r="G23" s="32" t="s">
        <v>184</v>
      </c>
      <c r="H23" s="33" t="s">
        <v>223</v>
      </c>
    </row>
    <row r="24" customFormat="false" ht="15" hidden="false" customHeight="false" outlineLevel="0" collapsed="false">
      <c r="A24" s="28" t="n">
        <v>20</v>
      </c>
      <c r="B24" s="29" t="s">
        <v>215</v>
      </c>
      <c r="C24" s="30" t="s">
        <v>224</v>
      </c>
      <c r="D24" s="31" t="n">
        <v>8000</v>
      </c>
      <c r="E24" s="31" t="n">
        <v>6000</v>
      </c>
      <c r="F24" s="32" t="s">
        <v>183</v>
      </c>
      <c r="G24" s="32" t="s">
        <v>184</v>
      </c>
      <c r="H24" s="33" t="s">
        <v>225</v>
      </c>
    </row>
    <row r="25" customFormat="false" ht="15" hidden="false" customHeight="false" outlineLevel="0" collapsed="false">
      <c r="A25" s="28" t="n">
        <v>21</v>
      </c>
      <c r="B25" s="29" t="s">
        <v>226</v>
      </c>
      <c r="C25" s="30" t="s">
        <v>227</v>
      </c>
      <c r="D25" s="31" t="n">
        <v>2800</v>
      </c>
      <c r="E25" s="31" t="n">
        <v>1800</v>
      </c>
      <c r="F25" s="32" t="s">
        <v>183</v>
      </c>
      <c r="G25" s="32" t="s">
        <v>184</v>
      </c>
      <c r="H25" s="33" t="s">
        <v>228</v>
      </c>
    </row>
    <row r="26" customFormat="false" ht="15" hidden="false" customHeight="false" outlineLevel="0" collapsed="false">
      <c r="A26" s="28" t="n">
        <v>22</v>
      </c>
      <c r="B26" s="29" t="s">
        <v>226</v>
      </c>
      <c r="C26" s="30" t="s">
        <v>229</v>
      </c>
      <c r="D26" s="31" t="n">
        <v>3800</v>
      </c>
      <c r="E26" s="31" t="n">
        <v>2600</v>
      </c>
      <c r="F26" s="32" t="s">
        <v>183</v>
      </c>
      <c r="G26" s="32" t="s">
        <v>184</v>
      </c>
      <c r="H26" s="33" t="s">
        <v>230</v>
      </c>
    </row>
    <row r="27" customFormat="false" ht="15" hidden="false" customHeight="false" outlineLevel="0" collapsed="false">
      <c r="A27" s="28" t="n">
        <v>23</v>
      </c>
      <c r="B27" s="29" t="s">
        <v>226</v>
      </c>
      <c r="C27" s="30" t="s">
        <v>231</v>
      </c>
      <c r="D27" s="31" t="n">
        <v>6000</v>
      </c>
      <c r="E27" s="31" t="n">
        <v>4300</v>
      </c>
      <c r="F27" s="32" t="s">
        <v>183</v>
      </c>
      <c r="G27" s="32" t="s">
        <v>184</v>
      </c>
      <c r="H27" s="33" t="s">
        <v>232</v>
      </c>
    </row>
    <row r="28" customFormat="false" ht="15" hidden="false" customHeight="false" outlineLevel="0" collapsed="false">
      <c r="A28" s="28" t="n">
        <v>24</v>
      </c>
      <c r="B28" s="29" t="s">
        <v>226</v>
      </c>
      <c r="C28" s="30" t="s">
        <v>233</v>
      </c>
      <c r="D28" s="31" t="n">
        <v>5200</v>
      </c>
      <c r="E28" s="31" t="n">
        <v>3700</v>
      </c>
      <c r="F28" s="32" t="s">
        <v>183</v>
      </c>
      <c r="G28" s="32" t="s">
        <v>184</v>
      </c>
      <c r="H28" s="33" t="s">
        <v>234</v>
      </c>
    </row>
    <row r="29" customFormat="false" ht="22.35" hidden="false" customHeight="false" outlineLevel="0" collapsed="false">
      <c r="A29" s="28" t="n">
        <v>25</v>
      </c>
      <c r="B29" s="29" t="s">
        <v>235</v>
      </c>
      <c r="C29" s="30" t="s">
        <v>236</v>
      </c>
      <c r="D29" s="31" t="n">
        <v>1500</v>
      </c>
      <c r="E29" s="31" t="n">
        <v>1000</v>
      </c>
      <c r="F29" s="32" t="s">
        <v>183</v>
      </c>
      <c r="G29" s="32" t="s">
        <v>184</v>
      </c>
      <c r="H29" s="33" t="s">
        <v>237</v>
      </c>
    </row>
    <row r="30" customFormat="false" ht="15" hidden="false" customHeight="false" outlineLevel="0" collapsed="false">
      <c r="A30" s="28" t="n">
        <v>26</v>
      </c>
      <c r="B30" s="29" t="s">
        <v>235</v>
      </c>
      <c r="C30" s="30" t="s">
        <v>238</v>
      </c>
      <c r="D30" s="31" t="n">
        <v>2200</v>
      </c>
      <c r="E30" s="31" t="n">
        <v>1500</v>
      </c>
      <c r="F30" s="32" t="s">
        <v>183</v>
      </c>
      <c r="G30" s="32" t="s">
        <v>184</v>
      </c>
      <c r="H30" s="33" t="s">
        <v>239</v>
      </c>
    </row>
    <row r="31" customFormat="false" ht="15" hidden="false" customHeight="false" outlineLevel="0" collapsed="false">
      <c r="A31" s="28" t="n">
        <v>27</v>
      </c>
      <c r="B31" s="29" t="s">
        <v>235</v>
      </c>
      <c r="C31" s="30" t="s">
        <v>240</v>
      </c>
      <c r="D31" s="31" t="n">
        <v>4000</v>
      </c>
      <c r="E31" s="31" t="n">
        <v>2700</v>
      </c>
      <c r="F31" s="32" t="s">
        <v>183</v>
      </c>
      <c r="G31" s="32" t="s">
        <v>184</v>
      </c>
      <c r="H31" s="33" t="s">
        <v>241</v>
      </c>
    </row>
    <row r="32" customFormat="false" ht="15" hidden="false" customHeight="false" outlineLevel="0" collapsed="false">
      <c r="A32" s="28" t="n">
        <v>28</v>
      </c>
      <c r="B32" s="29" t="s">
        <v>242</v>
      </c>
      <c r="C32" s="30" t="s">
        <v>243</v>
      </c>
      <c r="D32" s="31" t="n">
        <v>1200</v>
      </c>
      <c r="E32" s="31" t="n">
        <v>800</v>
      </c>
      <c r="F32" s="32" t="s">
        <v>183</v>
      </c>
      <c r="G32" s="32" t="s">
        <v>184</v>
      </c>
      <c r="H32" s="33" t="s">
        <v>244</v>
      </c>
    </row>
    <row r="33" customFormat="false" ht="15" hidden="false" customHeight="false" outlineLevel="0" collapsed="false">
      <c r="A33" s="28" t="n">
        <v>29</v>
      </c>
      <c r="B33" s="29" t="s">
        <v>242</v>
      </c>
      <c r="C33" s="30" t="s">
        <v>245</v>
      </c>
      <c r="D33" s="31" t="n">
        <v>1700</v>
      </c>
      <c r="E33" s="31" t="n">
        <v>1100</v>
      </c>
      <c r="F33" s="32" t="s">
        <v>183</v>
      </c>
      <c r="G33" s="32" t="s">
        <v>184</v>
      </c>
      <c r="H33" s="33" t="s">
        <v>246</v>
      </c>
    </row>
    <row r="34" customFormat="false" ht="15" hidden="false" customHeight="false" outlineLevel="0" collapsed="false">
      <c r="A34" s="28" t="n">
        <v>30</v>
      </c>
      <c r="B34" s="29" t="s">
        <v>242</v>
      </c>
      <c r="C34" s="30" t="s">
        <v>247</v>
      </c>
      <c r="D34" s="31" t="n">
        <v>3800</v>
      </c>
      <c r="E34" s="31" t="n">
        <v>2600</v>
      </c>
      <c r="F34" s="32" t="s">
        <v>183</v>
      </c>
      <c r="G34" s="32" t="s">
        <v>184</v>
      </c>
      <c r="H34" s="33" t="s">
        <v>248</v>
      </c>
    </row>
    <row r="35" customFormat="false" ht="15" hidden="false" customHeight="false" outlineLevel="0" collapsed="false">
      <c r="A35" s="28" t="n">
        <v>31</v>
      </c>
      <c r="B35" s="29" t="s">
        <v>249</v>
      </c>
      <c r="C35" s="30" t="s">
        <v>250</v>
      </c>
      <c r="D35" s="31" t="n">
        <v>900</v>
      </c>
      <c r="E35" s="31" t="n">
        <v>550</v>
      </c>
      <c r="F35" s="32" t="s">
        <v>183</v>
      </c>
      <c r="G35" s="32" t="s">
        <v>184</v>
      </c>
      <c r="H35" s="33" t="s">
        <v>251</v>
      </c>
    </row>
    <row r="36" customFormat="false" ht="15" hidden="false" customHeight="false" outlineLevel="0" collapsed="false">
      <c r="A36" s="28" t="n">
        <v>32</v>
      </c>
      <c r="B36" s="29" t="s">
        <v>249</v>
      </c>
      <c r="C36" s="30" t="s">
        <v>252</v>
      </c>
      <c r="D36" s="31" t="n">
        <v>1500</v>
      </c>
      <c r="E36" s="31" t="n">
        <v>950</v>
      </c>
      <c r="F36" s="32" t="s">
        <v>183</v>
      </c>
      <c r="G36" s="32" t="s">
        <v>184</v>
      </c>
      <c r="H36" s="33" t="s">
        <v>253</v>
      </c>
    </row>
    <row r="37" customFormat="false" ht="15" hidden="false" customHeight="false" outlineLevel="0" collapsed="false">
      <c r="A37" s="28" t="n">
        <v>33</v>
      </c>
      <c r="B37" s="29" t="s">
        <v>254</v>
      </c>
      <c r="C37" s="30" t="s">
        <v>255</v>
      </c>
      <c r="D37" s="31" t="n">
        <v>700</v>
      </c>
      <c r="E37" s="31" t="n">
        <v>450</v>
      </c>
      <c r="F37" s="32" t="s">
        <v>183</v>
      </c>
      <c r="G37" s="32" t="s">
        <v>184</v>
      </c>
      <c r="H37" s="33" t="s">
        <v>256</v>
      </c>
    </row>
    <row r="38" customFormat="false" ht="15" hidden="false" customHeight="false" outlineLevel="0" collapsed="false">
      <c r="A38" s="28" t="n">
        <v>34</v>
      </c>
      <c r="B38" s="29" t="s">
        <v>254</v>
      </c>
      <c r="C38" s="30" t="s">
        <v>257</v>
      </c>
      <c r="D38" s="31" t="n">
        <v>5000</v>
      </c>
      <c r="E38" s="31" t="n">
        <v>3500</v>
      </c>
      <c r="F38" s="32" t="s">
        <v>183</v>
      </c>
      <c r="G38" s="32" t="s">
        <v>184</v>
      </c>
      <c r="H38" s="33" t="s">
        <v>258</v>
      </c>
    </row>
    <row r="39" customFormat="false" ht="15" hidden="false" customHeight="false" outlineLevel="0" collapsed="false">
      <c r="A39" s="28" t="n">
        <v>35</v>
      </c>
      <c r="B39" s="29" t="s">
        <v>254</v>
      </c>
      <c r="C39" s="30" t="s">
        <v>259</v>
      </c>
      <c r="D39" s="31" t="n">
        <v>5500</v>
      </c>
      <c r="E39" s="31" t="n">
        <v>3800</v>
      </c>
      <c r="F39" s="32" t="s">
        <v>183</v>
      </c>
      <c r="G39" s="32" t="s">
        <v>184</v>
      </c>
      <c r="H39" s="33" t="s">
        <v>260</v>
      </c>
    </row>
    <row r="40" customFormat="false" ht="15" hidden="false" customHeight="false" outlineLevel="0" collapsed="false">
      <c r="A40" s="28" t="n">
        <v>36</v>
      </c>
      <c r="B40" s="29" t="s">
        <v>261</v>
      </c>
      <c r="C40" s="30" t="s">
        <v>262</v>
      </c>
      <c r="D40" s="31" t="n">
        <v>9500</v>
      </c>
      <c r="E40" s="31" t="n">
        <v>6500</v>
      </c>
      <c r="F40" s="32" t="s">
        <v>183</v>
      </c>
      <c r="G40" s="32" t="s">
        <v>184</v>
      </c>
      <c r="H40" s="33" t="s">
        <v>263</v>
      </c>
    </row>
    <row r="42" customFormat="false" ht="15" hidden="false" customHeight="false" outlineLevel="0" collapsed="false">
      <c r="A42" s="34" t="s">
        <v>264</v>
      </c>
      <c r="B42" s="34"/>
      <c r="C42" s="34"/>
      <c r="D42" s="34"/>
      <c r="E42" s="34"/>
      <c r="F42" s="34"/>
      <c r="G42" s="34"/>
      <c r="H42" s="34"/>
    </row>
    <row r="43" customFormat="false" ht="30" hidden="false" customHeight="true" outlineLevel="0" collapsed="false">
      <c r="A43" s="35" t="s">
        <v>265</v>
      </c>
      <c r="B43" s="35"/>
      <c r="C43" s="35"/>
      <c r="D43" s="35"/>
      <c r="E43" s="35"/>
      <c r="F43" s="35"/>
      <c r="G43" s="35"/>
      <c r="H43" s="35"/>
    </row>
    <row r="44" customFormat="false" ht="30" hidden="false" customHeight="true" outlineLevel="0" collapsed="false">
      <c r="A44" s="35" t="s">
        <v>266</v>
      </c>
      <c r="B44" s="35"/>
      <c r="C44" s="35"/>
      <c r="D44" s="35"/>
      <c r="E44" s="35"/>
      <c r="F44" s="35"/>
      <c r="G44" s="35"/>
      <c r="H44" s="35"/>
    </row>
    <row r="45" customFormat="false" ht="30" hidden="false" customHeight="true" outlineLevel="0" collapsed="false">
      <c r="A45" s="35" t="s">
        <v>267</v>
      </c>
      <c r="B45" s="35"/>
      <c r="C45" s="35"/>
      <c r="D45" s="35"/>
      <c r="E45" s="35"/>
      <c r="F45" s="35"/>
      <c r="G45" s="35"/>
      <c r="H45" s="35"/>
    </row>
    <row r="46" customFormat="false" ht="30" hidden="false" customHeight="true" outlineLevel="0" collapsed="false">
      <c r="A46" s="35" t="s">
        <v>268</v>
      </c>
      <c r="B46" s="35"/>
      <c r="C46" s="35"/>
      <c r="D46" s="35"/>
      <c r="E46" s="35"/>
      <c r="F46" s="35"/>
      <c r="G46" s="35"/>
      <c r="H46" s="35"/>
    </row>
    <row r="47" customFormat="false" ht="30" hidden="false" customHeight="true" outlineLevel="0" collapsed="false">
      <c r="A47" s="35" t="s">
        <v>269</v>
      </c>
      <c r="B47" s="35"/>
      <c r="C47" s="35"/>
      <c r="D47" s="35"/>
      <c r="E47" s="35"/>
      <c r="F47" s="35"/>
      <c r="G47" s="35"/>
      <c r="H47" s="35"/>
    </row>
  </sheetData>
  <mergeCells count="8">
    <mergeCell ref="A1:H1"/>
    <mergeCell ref="A2:H2"/>
    <mergeCell ref="A42:H42"/>
    <mergeCell ref="A43:H43"/>
    <mergeCell ref="A44:H44"/>
    <mergeCell ref="A45:H45"/>
    <mergeCell ref="A46:H46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34" activeCellId="0" sqref="F3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270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7" t="s">
        <v>271</v>
      </c>
      <c r="B2" s="7"/>
      <c r="C2" s="7"/>
      <c r="D2" s="7"/>
      <c r="E2" s="7"/>
      <c r="F2" s="7"/>
    </row>
    <row r="4" customFormat="false" ht="26.25" hidden="false" customHeight="true" outlineLevel="0" collapsed="false">
      <c r="A4" s="8" t="s">
        <v>77</v>
      </c>
      <c r="B4" s="8" t="s">
        <v>78</v>
      </c>
      <c r="C4" s="8" t="s">
        <v>272</v>
      </c>
      <c r="D4" s="8" t="s">
        <v>273</v>
      </c>
      <c r="E4" s="8" t="s">
        <v>274</v>
      </c>
      <c r="F4" s="8" t="s">
        <v>275</v>
      </c>
    </row>
    <row r="5" customFormat="false" ht="15" hidden="false" customHeight="true" outlineLevel="0" collapsed="false">
      <c r="A5" s="9" t="n">
        <v>1</v>
      </c>
      <c r="B5" s="10" t="s">
        <v>92</v>
      </c>
      <c r="C5" s="9" t="n">
        <v>24</v>
      </c>
      <c r="D5" s="12" t="n">
        <f aca="false">IFERROR(AVERAGEIF('Fleet Pricing'!B:B,B5,'Fleet Pricing'!H:H),0)</f>
        <v>3704.58333333333</v>
      </c>
      <c r="E5" s="12" t="n">
        <f aca="false">IFERROR(AVERAGEIF('Fleet Pricing'!B:B,B5,'Fleet Pricing'!L:L),0)</f>
        <v>377937.5</v>
      </c>
      <c r="F5" s="12" t="n">
        <f aca="false">C5*E5</f>
        <v>9070500</v>
      </c>
    </row>
    <row r="6" customFormat="false" ht="15" hidden="false" customHeight="true" outlineLevel="0" collapsed="false">
      <c r="A6" s="9" t="n">
        <v>2</v>
      </c>
      <c r="B6" s="10" t="s">
        <v>95</v>
      </c>
      <c r="C6" s="9" t="n">
        <v>9</v>
      </c>
      <c r="D6" s="12" t="n">
        <f aca="false">IFERROR(AVERAGEIF('Fleet Pricing'!B:B,B6,'Fleet Pricing'!H:H),0)</f>
        <v>7097.77777777778</v>
      </c>
      <c r="E6" s="12" t="n">
        <f aca="false">IFERROR(AVERAGEIF('Fleet Pricing'!B:B,B6,'Fleet Pricing'!L:L),0)</f>
        <v>724055.555555556</v>
      </c>
      <c r="F6" s="12" t="n">
        <f aca="false">C6*E6</f>
        <v>6516500</v>
      </c>
    </row>
    <row r="7" customFormat="false" ht="15" hidden="false" customHeight="true" outlineLevel="0" collapsed="false">
      <c r="A7" s="9" t="n">
        <v>3</v>
      </c>
      <c r="B7" s="10" t="s">
        <v>97</v>
      </c>
      <c r="C7" s="9" t="n">
        <v>16</v>
      </c>
      <c r="D7" s="12" t="n">
        <f aca="false">IFERROR(AVERAGEIF('Fleet Pricing'!B:B,B7,'Fleet Pricing'!H:H),0)</f>
        <v>3780.625</v>
      </c>
      <c r="E7" s="12" t="n">
        <f aca="false">IFERROR(AVERAGEIF('Fleet Pricing'!B:B,B7,'Fleet Pricing'!L:L),0)</f>
        <v>385656.25</v>
      </c>
      <c r="F7" s="12" t="n">
        <f aca="false">C7*E7</f>
        <v>6170500</v>
      </c>
    </row>
    <row r="8" customFormat="false" ht="15" hidden="false" customHeight="true" outlineLevel="0" collapsed="false">
      <c r="A8" s="9" t="n">
        <v>4</v>
      </c>
      <c r="B8" s="10" t="s">
        <v>99</v>
      </c>
      <c r="C8" s="9" t="n">
        <v>3</v>
      </c>
      <c r="D8" s="12" t="n">
        <f aca="false">IFERROR(AVERAGEIF('Fleet Pricing'!B:B,B8,'Fleet Pricing'!H:H),0)</f>
        <v>4880</v>
      </c>
      <c r="E8" s="12" t="n">
        <f aca="false">IFERROR(AVERAGEIF('Fleet Pricing'!B:B,B8,'Fleet Pricing'!L:L),0)</f>
        <v>498000</v>
      </c>
      <c r="F8" s="12" t="n">
        <f aca="false">C8*E8</f>
        <v>1494000</v>
      </c>
    </row>
    <row r="9" customFormat="false" ht="15" hidden="false" customHeight="true" outlineLevel="0" collapsed="false">
      <c r="A9" s="9" t="n">
        <v>5</v>
      </c>
      <c r="B9" s="10" t="s">
        <v>101</v>
      </c>
      <c r="C9" s="9" t="n">
        <v>19</v>
      </c>
      <c r="D9" s="12" t="n">
        <f aca="false">IFERROR(AVERAGEIF('Fleet Pricing'!B:B,B9,'Fleet Pricing'!H:H),0)</f>
        <v>3602.10526315789</v>
      </c>
      <c r="E9" s="12" t="n">
        <f aca="false">IFERROR(AVERAGEIF('Fleet Pricing'!B:B,B9,'Fleet Pricing'!L:L),0)</f>
        <v>367421.052631579</v>
      </c>
      <c r="F9" s="12" t="n">
        <f aca="false">C9*E9</f>
        <v>6981000</v>
      </c>
    </row>
    <row r="10" customFormat="false" ht="15" hidden="false" customHeight="true" outlineLevel="0" collapsed="false">
      <c r="A10" s="9" t="n">
        <v>6</v>
      </c>
      <c r="B10" s="10" t="s">
        <v>103</v>
      </c>
      <c r="C10" s="9" t="n">
        <v>72</v>
      </c>
      <c r="D10" s="12" t="n">
        <f aca="false">IFERROR(AVERAGEIF('Fleet Pricing'!B:B,B10,'Fleet Pricing'!H:H),0)</f>
        <v>2716.66666666667</v>
      </c>
      <c r="E10" s="12" t="n">
        <f aca="false">IFERROR(AVERAGEIF('Fleet Pricing'!B:B,B10,'Fleet Pricing'!L:L),0)</f>
        <v>277083.333333333</v>
      </c>
      <c r="F10" s="12" t="n">
        <f aca="false">C10*E10</f>
        <v>19950000</v>
      </c>
    </row>
    <row r="11" customFormat="false" ht="15" hidden="false" customHeight="true" outlineLevel="0" collapsed="false">
      <c r="A11" s="9" t="n">
        <v>7</v>
      </c>
      <c r="B11" s="10" t="s">
        <v>105</v>
      </c>
      <c r="C11" s="9" t="n">
        <v>10</v>
      </c>
      <c r="D11" s="12" t="n">
        <f aca="false">IFERROR(AVERAGEIF('Fleet Pricing'!B:B,B11,'Fleet Pricing'!H:H),0)</f>
        <v>2983</v>
      </c>
      <c r="E11" s="12" t="n">
        <f aca="false">IFERROR(AVERAGEIF('Fleet Pricing'!B:B,B11,'Fleet Pricing'!L:L),0)</f>
        <v>304250</v>
      </c>
      <c r="F11" s="12" t="n">
        <f aca="false">C11*E11</f>
        <v>3042500</v>
      </c>
    </row>
    <row r="12" customFormat="false" ht="15" hidden="false" customHeight="true" outlineLevel="0" collapsed="false">
      <c r="A12" s="9" t="n">
        <v>8</v>
      </c>
      <c r="B12" s="10" t="s">
        <v>107</v>
      </c>
      <c r="C12" s="9" t="n">
        <v>16</v>
      </c>
      <c r="D12" s="12" t="n">
        <f aca="false">IFERROR(AVERAGEIF('Fleet Pricing'!B:B,B12,'Fleet Pricing'!H:H),0)</f>
        <v>7094.375</v>
      </c>
      <c r="E12" s="12" t="n">
        <f aca="false">IFERROR(AVERAGEIF('Fleet Pricing'!B:B,B12,'Fleet Pricing'!L:L),0)</f>
        <v>723593.75</v>
      </c>
      <c r="F12" s="12" t="n">
        <f aca="false">C12*E12</f>
        <v>11577500</v>
      </c>
    </row>
    <row r="13" customFormat="false" ht="15" hidden="false" customHeight="true" outlineLevel="0" collapsed="false">
      <c r="A13" s="9" t="n">
        <v>9</v>
      </c>
      <c r="B13" s="10" t="s">
        <v>109</v>
      </c>
      <c r="C13" s="9" t="n">
        <v>25</v>
      </c>
      <c r="D13" s="12" t="n">
        <f aca="false">IFERROR(AVERAGEIF('Fleet Pricing'!B:B,B13,'Fleet Pricing'!H:H),0)</f>
        <v>2489.6</v>
      </c>
      <c r="E13" s="12" t="n">
        <f aca="false">IFERROR(AVERAGEIF('Fleet Pricing'!B:B,B13,'Fleet Pricing'!L:L),0)</f>
        <v>254000</v>
      </c>
      <c r="F13" s="12" t="n">
        <f aca="false">C13*E13</f>
        <v>6350000</v>
      </c>
    </row>
    <row r="14" customFormat="false" ht="15" hidden="false" customHeight="true" outlineLevel="0" collapsed="false">
      <c r="A14" s="9" t="n">
        <v>10</v>
      </c>
      <c r="B14" s="10" t="s">
        <v>111</v>
      </c>
      <c r="C14" s="9" t="n">
        <v>11</v>
      </c>
      <c r="D14" s="12" t="n">
        <f aca="false">IFERROR(AVERAGEIF('Fleet Pricing'!B:B,B14,'Fleet Pricing'!H:H),0)</f>
        <v>6381.81818181818</v>
      </c>
      <c r="E14" s="12" t="n">
        <f aca="false">IFERROR(AVERAGEIF('Fleet Pricing'!B:B,B14,'Fleet Pricing'!L:L),0)</f>
        <v>650863.636363636</v>
      </c>
      <c r="F14" s="12" t="n">
        <f aca="false">C14*E14</f>
        <v>7159500</v>
      </c>
    </row>
    <row r="15" customFormat="false" ht="15" hidden="false" customHeight="true" outlineLevel="0" collapsed="false">
      <c r="A15" s="9" t="n">
        <v>11</v>
      </c>
      <c r="B15" s="10" t="s">
        <v>113</v>
      </c>
      <c r="C15" s="9" t="n">
        <v>4</v>
      </c>
      <c r="D15" s="12" t="n">
        <f aca="false">IFERROR(AVERAGEIF('Fleet Pricing'!B:B,B15,'Fleet Pricing'!H:H),0)</f>
        <v>2747.5</v>
      </c>
      <c r="E15" s="12" t="n">
        <f aca="false">IFERROR(AVERAGEIF('Fleet Pricing'!B:B,B15,'Fleet Pricing'!L:L),0)</f>
        <v>280125</v>
      </c>
      <c r="F15" s="12" t="n">
        <f aca="false">C15*E15</f>
        <v>1120500</v>
      </c>
    </row>
    <row r="16" customFormat="false" ht="15" hidden="false" customHeight="true" outlineLevel="0" collapsed="false">
      <c r="A16" s="9" t="n">
        <v>12</v>
      </c>
      <c r="B16" s="10" t="s">
        <v>115</v>
      </c>
      <c r="C16" s="9" t="n">
        <v>2</v>
      </c>
      <c r="D16" s="12" t="n">
        <f aca="false">IFERROR(AVERAGEIF('Fleet Pricing'!B:B,B16,'Fleet Pricing'!H:H),0)</f>
        <v>5100</v>
      </c>
      <c r="E16" s="12" t="n">
        <f aca="false">IFERROR(AVERAGEIF('Fleet Pricing'!B:B,B16,'Fleet Pricing'!L:L),0)</f>
        <v>520000</v>
      </c>
      <c r="F16" s="12" t="n">
        <f aca="false">C16*E16</f>
        <v>1040000</v>
      </c>
    </row>
    <row r="17" customFormat="false" ht="15" hidden="false" customHeight="true" outlineLevel="0" collapsed="false">
      <c r="A17" s="9" t="n">
        <v>13</v>
      </c>
      <c r="B17" s="10" t="s">
        <v>117</v>
      </c>
      <c r="C17" s="9" t="n">
        <v>4</v>
      </c>
      <c r="D17" s="12" t="n">
        <f aca="false">IFERROR(AVERAGEIF('Fleet Pricing'!B:B,B17,'Fleet Pricing'!H:H),0)</f>
        <v>3337.5</v>
      </c>
      <c r="E17" s="12" t="n">
        <f aca="false">IFERROR(AVERAGEIF('Fleet Pricing'!B:B,B17,'Fleet Pricing'!L:L),0)</f>
        <v>340375</v>
      </c>
      <c r="F17" s="12" t="n">
        <f aca="false">C17*E17</f>
        <v>1361500</v>
      </c>
    </row>
    <row r="18" customFormat="false" ht="15" hidden="false" customHeight="true" outlineLevel="0" collapsed="false">
      <c r="A18" s="9" t="n">
        <v>14</v>
      </c>
      <c r="B18" s="10" t="s">
        <v>119</v>
      </c>
      <c r="C18" s="9" t="n">
        <v>8</v>
      </c>
      <c r="D18" s="12" t="n">
        <f aca="false">IFERROR(AVERAGEIF('Fleet Pricing'!B:B,B18,'Fleet Pricing'!H:H),0)</f>
        <v>3540</v>
      </c>
      <c r="E18" s="12" t="n">
        <f aca="false">IFERROR(AVERAGEIF('Fleet Pricing'!B:B,B18,'Fleet Pricing'!L:L),0)</f>
        <v>361062.5</v>
      </c>
      <c r="F18" s="12" t="n">
        <f aca="false">C18*E18</f>
        <v>2888500</v>
      </c>
    </row>
    <row r="19" customFormat="false" ht="15" hidden="false" customHeight="true" outlineLevel="0" collapsed="false">
      <c r="A19" s="9" t="n">
        <v>15</v>
      </c>
      <c r="B19" s="10" t="s">
        <v>121</v>
      </c>
      <c r="C19" s="9" t="n">
        <v>2</v>
      </c>
      <c r="D19" s="12" t="n">
        <f aca="false">IFERROR(AVERAGEIF('Fleet Pricing'!B:B,B19,'Fleet Pricing'!H:H),0)</f>
        <v>7665</v>
      </c>
      <c r="E19" s="12" t="n">
        <f aca="false">IFERROR(AVERAGEIF('Fleet Pricing'!B:B,B19,'Fleet Pricing'!L:L),0)</f>
        <v>781750</v>
      </c>
      <c r="F19" s="12" t="n">
        <f aca="false">C19*E19</f>
        <v>1563500</v>
      </c>
    </row>
    <row r="20" customFormat="false" ht="15" hidden="false" customHeight="true" outlineLevel="0" collapsed="false">
      <c r="A20" s="9" t="n">
        <v>16</v>
      </c>
      <c r="B20" s="10" t="s">
        <v>123</v>
      </c>
      <c r="C20" s="9" t="n">
        <v>25</v>
      </c>
      <c r="D20" s="12" t="n">
        <f aca="false">IFERROR(AVERAGEIF('Fleet Pricing'!B:B,B20,'Fleet Pricing'!H:H),0)</f>
        <v>1361.6</v>
      </c>
      <c r="E20" s="12" t="n">
        <f aca="false">IFERROR(AVERAGEIF('Fleet Pricing'!B:B,B20,'Fleet Pricing'!L:L),0)</f>
        <v>138800</v>
      </c>
      <c r="F20" s="12" t="n">
        <f aca="false">C20*E20</f>
        <v>3470000</v>
      </c>
    </row>
    <row r="21" customFormat="false" ht="15" hidden="false" customHeight="true" outlineLevel="0" collapsed="false">
      <c r="A21" s="9" t="n">
        <v>17</v>
      </c>
      <c r="B21" s="10" t="s">
        <v>125</v>
      </c>
      <c r="C21" s="9" t="n">
        <v>3</v>
      </c>
      <c r="D21" s="12" t="n">
        <f aca="false">IFERROR(AVERAGEIF('Fleet Pricing'!B:B,B21,'Fleet Pricing'!H:H),0)</f>
        <v>1003.33333333333</v>
      </c>
      <c r="E21" s="12" t="n">
        <f aca="false">IFERROR(AVERAGEIF('Fleet Pricing'!B:B,B21,'Fleet Pricing'!L:L),0)</f>
        <v>102500</v>
      </c>
      <c r="F21" s="12" t="n">
        <f aca="false">C21*E21</f>
        <v>307500</v>
      </c>
    </row>
    <row r="22" customFormat="false" ht="15" hidden="false" customHeight="true" outlineLevel="0" collapsed="false">
      <c r="A22" s="9" t="n">
        <v>18</v>
      </c>
      <c r="B22" s="10" t="s">
        <v>127</v>
      </c>
      <c r="C22" s="9" t="n">
        <v>11</v>
      </c>
      <c r="D22" s="12" t="n">
        <f aca="false">IFERROR(AVERAGEIF('Fleet Pricing'!B:B,B22,'Fleet Pricing'!H:H),0)</f>
        <v>1080.90909090909</v>
      </c>
      <c r="E22" s="12" t="n">
        <f aca="false">IFERROR(AVERAGEIF('Fleet Pricing'!B:B,B22,'Fleet Pricing'!L:L),0)</f>
        <v>110181.818181818</v>
      </c>
      <c r="F22" s="12" t="n">
        <f aca="false">C22*E22</f>
        <v>1212000</v>
      </c>
    </row>
    <row r="23" customFormat="false" ht="15" hidden="false" customHeight="true" outlineLevel="0" collapsed="false">
      <c r="A23" s="9" t="n">
        <v>19</v>
      </c>
      <c r="B23" s="10" t="s">
        <v>129</v>
      </c>
      <c r="C23" s="9" t="n">
        <v>13</v>
      </c>
      <c r="D23" s="12" t="n">
        <f aca="false">IFERROR(AVERAGEIF('Fleet Pricing'!B:B,B23,'Fleet Pricing'!H:H),0)</f>
        <v>956.923076923077</v>
      </c>
      <c r="E23" s="12" t="n">
        <f aca="false">IFERROR(AVERAGEIF('Fleet Pricing'!B:B,B23,'Fleet Pricing'!L:L),0)</f>
        <v>97615.3846153846</v>
      </c>
      <c r="F23" s="12" t="n">
        <f aca="false">C23*E23</f>
        <v>1269000</v>
      </c>
    </row>
    <row r="24" customFormat="false" ht="15" hidden="false" customHeight="true" outlineLevel="0" collapsed="false">
      <c r="A24" s="9" t="n">
        <v>20</v>
      </c>
      <c r="B24" s="10" t="s">
        <v>131</v>
      </c>
      <c r="C24" s="9" t="n">
        <v>88</v>
      </c>
      <c r="D24" s="12" t="n">
        <f aca="false">IFERROR(AVERAGEIF('Fleet Pricing'!B:B,B24,'Fleet Pricing'!H:H),0)</f>
        <v>2933.29545454545</v>
      </c>
      <c r="E24" s="12" t="n">
        <f aca="false">IFERROR(AVERAGEIF('Fleet Pricing'!B:B,B24,'Fleet Pricing'!L:L),0)</f>
        <v>299232.954545455</v>
      </c>
      <c r="F24" s="12" t="n">
        <f aca="false">C24*E24</f>
        <v>26332500</v>
      </c>
    </row>
    <row r="25" customFormat="false" ht="15" hidden="false" customHeight="true" outlineLevel="0" collapsed="false">
      <c r="A25" s="9" t="n">
        <v>21</v>
      </c>
      <c r="B25" s="10" t="s">
        <v>133</v>
      </c>
      <c r="C25" s="9" t="n">
        <v>6</v>
      </c>
      <c r="D25" s="12" t="n">
        <f aca="false">IFERROR(AVERAGEIF('Fleet Pricing'!B:B,B25,'Fleet Pricing'!H:H),0)</f>
        <v>1113.33333333333</v>
      </c>
      <c r="E25" s="12" t="n">
        <f aca="false">IFERROR(AVERAGEIF('Fleet Pricing'!B:B,B25,'Fleet Pricing'!L:L),0)</f>
        <v>113666.666666667</v>
      </c>
      <c r="F25" s="12" t="n">
        <f aca="false">C25*E25</f>
        <v>682000</v>
      </c>
    </row>
    <row r="26" customFormat="false" ht="15" hidden="false" customHeight="true" outlineLevel="0" collapsed="false">
      <c r="A26" s="9" t="n">
        <v>22</v>
      </c>
      <c r="B26" s="10" t="s">
        <v>135</v>
      </c>
      <c r="C26" s="9" t="n">
        <v>3</v>
      </c>
      <c r="D26" s="12" t="n">
        <f aca="false">IFERROR(AVERAGEIF('Fleet Pricing'!B:B,B26,'Fleet Pricing'!H:H),0)</f>
        <v>1503.33333333333</v>
      </c>
      <c r="E26" s="12" t="n">
        <f aca="false">IFERROR(AVERAGEIF('Fleet Pricing'!B:B,B26,'Fleet Pricing'!L:L),0)</f>
        <v>153333.333333333</v>
      </c>
      <c r="F26" s="12" t="n">
        <f aca="false">C26*E26</f>
        <v>460000</v>
      </c>
    </row>
    <row r="27" customFormat="false" ht="15" hidden="false" customHeight="true" outlineLevel="0" collapsed="false">
      <c r="A27" s="9" t="n">
        <v>23</v>
      </c>
      <c r="B27" s="10" t="s">
        <v>137</v>
      </c>
      <c r="C27" s="9" t="n">
        <v>6</v>
      </c>
      <c r="D27" s="12" t="n">
        <f aca="false">IFERROR(AVERAGEIF('Fleet Pricing'!B:B,B27,'Fleet Pricing'!H:H),0)</f>
        <v>1533.33333333333</v>
      </c>
      <c r="E27" s="12" t="n">
        <f aca="false">IFERROR(AVERAGEIF('Fleet Pricing'!B:B,B27,'Fleet Pricing'!L:L),0)</f>
        <v>156500</v>
      </c>
      <c r="F27" s="12" t="n">
        <f aca="false">C27*E27</f>
        <v>939000</v>
      </c>
    </row>
    <row r="28" customFormat="false" ht="15" hidden="false" customHeight="true" outlineLevel="0" collapsed="false">
      <c r="A28" s="9" t="n">
        <v>24</v>
      </c>
      <c r="B28" s="10" t="s">
        <v>139</v>
      </c>
      <c r="C28" s="9" t="n">
        <v>41</v>
      </c>
      <c r="D28" s="12" t="n">
        <f aca="false">IFERROR(AVERAGEIF('Fleet Pricing'!B:B,B28,'Fleet Pricing'!H:H),0)</f>
        <v>6978.29268292683</v>
      </c>
      <c r="E28" s="12" t="n">
        <f aca="false">IFERROR(AVERAGEIF('Fleet Pricing'!B:B,B28,'Fleet Pricing'!L:L),0)</f>
        <v>711756.097560976</v>
      </c>
      <c r="F28" s="12" t="n">
        <f aca="false">C28*E28</f>
        <v>29182000</v>
      </c>
    </row>
    <row r="29" customFormat="false" ht="15" hidden="false" customHeight="true" outlineLevel="0" collapsed="false">
      <c r="A29" s="9" t="n">
        <v>25</v>
      </c>
      <c r="B29" s="10" t="s">
        <v>141</v>
      </c>
      <c r="C29" s="9" t="n">
        <v>19</v>
      </c>
      <c r="D29" s="12" t="n">
        <f aca="false">IFERROR(AVERAGEIF('Fleet Pricing'!B:B,B29,'Fleet Pricing'!H:H),0)</f>
        <v>1843.68421052632</v>
      </c>
      <c r="E29" s="12" t="n">
        <f aca="false">IFERROR(AVERAGEIF('Fleet Pricing'!B:B,B29,'Fleet Pricing'!L:L),0)</f>
        <v>188131.578947368</v>
      </c>
      <c r="F29" s="12" t="n">
        <f aca="false">C29*E29</f>
        <v>3574500</v>
      </c>
    </row>
    <row r="30" customFormat="false" ht="15" hidden="false" customHeight="true" outlineLevel="0" collapsed="false">
      <c r="A30" s="9" t="n">
        <v>26</v>
      </c>
      <c r="B30" s="10" t="s">
        <v>143</v>
      </c>
      <c r="C30" s="9" t="n">
        <v>12</v>
      </c>
      <c r="D30" s="12" t="n">
        <f aca="false">IFERROR(AVERAGEIF('Fleet Pricing'!B:B,B30,'Fleet Pricing'!H:H),0)</f>
        <v>1459.16666666667</v>
      </c>
      <c r="E30" s="12" t="n">
        <f aca="false">IFERROR(AVERAGEIF('Fleet Pricing'!B:B,B30,'Fleet Pricing'!L:L),0)</f>
        <v>148875</v>
      </c>
      <c r="F30" s="12" t="n">
        <f aca="false">C30*E30</f>
        <v>1786500</v>
      </c>
    </row>
    <row r="31" customFormat="false" ht="15" hidden="false" customHeight="true" outlineLevel="0" collapsed="false">
      <c r="A31" s="9" t="n">
        <v>27</v>
      </c>
      <c r="B31" s="10" t="s">
        <v>145</v>
      </c>
      <c r="C31" s="9" t="n">
        <v>53</v>
      </c>
      <c r="D31" s="12" t="n">
        <f aca="false">IFERROR(AVERAGEIF('Fleet Pricing'!B:B,B31,'Fleet Pricing'!H:H),0)</f>
        <v>366.603773584906</v>
      </c>
      <c r="E31" s="12" t="n">
        <f aca="false">IFERROR(AVERAGEIF('Fleet Pricing'!B:B,B31,'Fleet Pricing'!L:L),0)</f>
        <v>37396.2264150943</v>
      </c>
      <c r="F31" s="12" t="n">
        <f aca="false">C31*E31</f>
        <v>1982000</v>
      </c>
    </row>
    <row r="32" customFormat="false" ht="15" hidden="false" customHeight="true" outlineLevel="0" collapsed="false">
      <c r="A32" s="9" t="n">
        <v>28</v>
      </c>
      <c r="B32" s="10" t="s">
        <v>147</v>
      </c>
      <c r="C32" s="9" t="n">
        <v>10</v>
      </c>
      <c r="D32" s="12" t="n">
        <f aca="false">IFERROR(AVERAGEIF('Fleet Pricing'!B:B,B32,'Fleet Pricing'!H:H),0)</f>
        <v>1256</v>
      </c>
      <c r="E32" s="12" t="n">
        <f aca="false">IFERROR(AVERAGEIF('Fleet Pricing'!B:B,B32,'Fleet Pricing'!L:L),0)</f>
        <v>128000</v>
      </c>
      <c r="F32" s="12" t="n">
        <f aca="false">C32*E32</f>
        <v>1280000</v>
      </c>
    </row>
    <row r="33" customFormat="false" ht="15" hidden="false" customHeight="true" outlineLevel="0" collapsed="false">
      <c r="A33" s="9" t="n">
        <v>29</v>
      </c>
      <c r="B33" s="10" t="s">
        <v>149</v>
      </c>
      <c r="C33" s="9" t="n">
        <v>3</v>
      </c>
      <c r="D33" s="12" t="n">
        <f aca="false">IFERROR(AVERAGEIF('Fleet Pricing'!B:B,B33,'Fleet Pricing'!H:H),0)</f>
        <v>1770</v>
      </c>
      <c r="E33" s="12" t="n">
        <f aca="false">IFERROR(AVERAGEIF('Fleet Pricing'!B:B,B33,'Fleet Pricing'!L:L),0)</f>
        <v>180500</v>
      </c>
      <c r="F33" s="12" t="n">
        <f aca="false">C33*E33</f>
        <v>541500</v>
      </c>
    </row>
    <row r="34" customFormat="false" ht="15" hidden="false" customHeight="true" outlineLevel="0" collapsed="false">
      <c r="A34" s="36"/>
      <c r="B34" s="37" t="s">
        <v>276</v>
      </c>
      <c r="C34" s="8" t="n">
        <f aca="false">SUM(C5:C33)</f>
        <v>518</v>
      </c>
      <c r="D34" s="36"/>
      <c r="E34" s="36"/>
      <c r="F34" s="38" t="n">
        <f aca="false">SUM(F5:F33)</f>
        <v>159304500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4" topLeftCell="A7" activePane="bottomLeft" state="frozen"/>
      <selection pane="topLeft" activeCell="B1" activeCellId="0" sqref="B1"/>
      <selection pane="bottomLeft" activeCell="L14" activeCellId="0" sqref="L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16.67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3" min="12" style="0" width="16"/>
    <col collapsed="false" customWidth="true" hidden="false" outlineLevel="0" max="14" min="14" style="0" width="26"/>
    <col collapsed="false" customWidth="true" hidden="true" outlineLevel="0" max="16" min="15" style="0" width="13"/>
  </cols>
  <sheetData>
    <row r="1" customFormat="false" ht="24" hidden="false" customHeight="tru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7" t="s">
        <v>278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26.25" hidden="false" customHeight="true" outlineLevel="0" collapsed="false">
      <c r="A4" s="8" t="s">
        <v>77</v>
      </c>
      <c r="B4" s="8" t="s">
        <v>78</v>
      </c>
      <c r="C4" s="39" t="s">
        <v>279</v>
      </c>
      <c r="D4" s="8" t="s">
        <v>280</v>
      </c>
      <c r="E4" s="40" t="s">
        <v>281</v>
      </c>
      <c r="F4" s="8" t="s">
        <v>282</v>
      </c>
      <c r="G4" s="8" t="s">
        <v>283</v>
      </c>
      <c r="H4" s="8" t="s">
        <v>284</v>
      </c>
      <c r="I4" s="8" t="s">
        <v>285</v>
      </c>
      <c r="J4" s="8" t="s">
        <v>286</v>
      </c>
      <c r="K4" s="8" t="s">
        <v>287</v>
      </c>
      <c r="L4" s="8" t="s">
        <v>288</v>
      </c>
      <c r="M4" s="8" t="s">
        <v>289</v>
      </c>
      <c r="N4" s="8" t="s">
        <v>290</v>
      </c>
      <c r="O4" s="41" t="s">
        <v>291</v>
      </c>
      <c r="P4" s="41" t="s">
        <v>292</v>
      </c>
    </row>
    <row r="5" customFormat="false" ht="15" hidden="false" customHeight="true" outlineLevel="0" collapsed="false">
      <c r="A5" s="42" t="s">
        <v>293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customFormat="false" ht="15" hidden="false" customHeight="true" outlineLevel="0" collapsed="false">
      <c r="A6" s="9" t="n">
        <v>1</v>
      </c>
      <c r="B6" s="43" t="s">
        <v>92</v>
      </c>
      <c r="C6" s="43" t="s">
        <v>294</v>
      </c>
      <c r="D6" s="44" t="s">
        <v>295</v>
      </c>
      <c r="E6" s="43" t="s">
        <v>296</v>
      </c>
      <c r="F6" s="45" t="s">
        <v>297</v>
      </c>
      <c r="G6" s="45" t="s">
        <v>298</v>
      </c>
      <c r="H6" s="12" t="n">
        <f aca="false">MROUND('Rate Card'!$I$5*O6*P6,10)</f>
        <v>4150</v>
      </c>
      <c r="I6" s="12" t="n">
        <f aca="false">MROUND('Rate Card'!$K$5*O6*P6,10)</f>
        <v>2000</v>
      </c>
      <c r="J6" s="12" t="n">
        <f aca="false">MROUND(H6*4*'Rate Card'!$B$47,100)</f>
        <v>15800</v>
      </c>
      <c r="K6" s="12" t="n">
        <f aca="false">MROUND(I6*4*'Rate Card'!$B$47,100)</f>
        <v>7600</v>
      </c>
      <c r="L6" s="12" t="n">
        <f aca="false">MROUND(H6*120*'Rate Card'!$B$48,500)</f>
        <v>423500</v>
      </c>
      <c r="M6" s="12" t="n">
        <f aca="false">MROUND(I6*120*'Rate Card'!$B$48,500)</f>
        <v>204000</v>
      </c>
      <c r="N6" s="14"/>
      <c r="O6" s="46" t="n">
        <v>1</v>
      </c>
      <c r="P6" s="46" t="n">
        <v>1</v>
      </c>
    </row>
    <row r="7" customFormat="false" ht="15" hidden="false" customHeight="true" outlineLevel="0" collapsed="false">
      <c r="A7" s="9" t="n">
        <v>2</v>
      </c>
      <c r="B7" s="43" t="s">
        <v>92</v>
      </c>
      <c r="C7" s="43" t="s">
        <v>294</v>
      </c>
      <c r="D7" s="44" t="s">
        <v>299</v>
      </c>
      <c r="E7" s="43" t="s">
        <v>296</v>
      </c>
      <c r="F7" s="45" t="s">
        <v>297</v>
      </c>
      <c r="G7" s="45" t="s">
        <v>300</v>
      </c>
      <c r="H7" s="12" t="n">
        <f aca="false">MROUND('Rate Card'!$I$5*O7*P7,10)</f>
        <v>4150</v>
      </c>
      <c r="I7" s="12" t="n">
        <f aca="false">MROUND('Rate Card'!$K$5*O7*P7,10)</f>
        <v>2000</v>
      </c>
      <c r="J7" s="12" t="n">
        <f aca="false">MROUND(H7*4*'Rate Card'!$B$47,100)</f>
        <v>15800</v>
      </c>
      <c r="K7" s="12" t="n">
        <f aca="false">MROUND(I7*4*'Rate Card'!$B$47,100)</f>
        <v>7600</v>
      </c>
      <c r="L7" s="12" t="n">
        <f aca="false">MROUND(H7*120*'Rate Card'!$B$48,500)</f>
        <v>423500</v>
      </c>
      <c r="M7" s="12" t="n">
        <f aca="false">MROUND(I7*120*'Rate Card'!$B$48,500)</f>
        <v>204000</v>
      </c>
      <c r="N7" s="14"/>
      <c r="O7" s="46" t="n">
        <v>1</v>
      </c>
      <c r="P7" s="46" t="n">
        <v>1</v>
      </c>
    </row>
    <row r="8" customFormat="false" ht="15" hidden="false" customHeight="true" outlineLevel="0" collapsed="false">
      <c r="A8" s="9" t="n">
        <v>3</v>
      </c>
      <c r="B8" s="43" t="s">
        <v>92</v>
      </c>
      <c r="C8" s="43" t="s">
        <v>294</v>
      </c>
      <c r="D8" s="44" t="s">
        <v>301</v>
      </c>
      <c r="E8" s="43" t="s">
        <v>296</v>
      </c>
      <c r="F8" s="45" t="s">
        <v>297</v>
      </c>
      <c r="G8" s="45" t="s">
        <v>302</v>
      </c>
      <c r="H8" s="12" t="n">
        <f aca="false">MROUND('Rate Card'!$I$5*O8*P8,10)</f>
        <v>4150</v>
      </c>
      <c r="I8" s="12" t="n">
        <f aca="false">MROUND('Rate Card'!$K$5*O8*P8,10)</f>
        <v>2000</v>
      </c>
      <c r="J8" s="12" t="n">
        <f aca="false">MROUND(H8*4*'Rate Card'!$B$47,100)</f>
        <v>15800</v>
      </c>
      <c r="K8" s="12" t="n">
        <f aca="false">MROUND(I8*4*'Rate Card'!$B$47,100)</f>
        <v>7600</v>
      </c>
      <c r="L8" s="12" t="n">
        <f aca="false">MROUND(H8*120*'Rate Card'!$B$48,500)</f>
        <v>423500</v>
      </c>
      <c r="M8" s="12" t="n">
        <f aca="false">MROUND(I8*120*'Rate Card'!$B$48,500)</f>
        <v>204000</v>
      </c>
      <c r="N8" s="14"/>
      <c r="O8" s="46" t="n">
        <v>1</v>
      </c>
      <c r="P8" s="46" t="n">
        <v>1</v>
      </c>
    </row>
    <row r="9" customFormat="false" ht="15" hidden="false" customHeight="true" outlineLevel="0" collapsed="false">
      <c r="A9" s="9" t="n">
        <v>4</v>
      </c>
      <c r="B9" s="43" t="s">
        <v>92</v>
      </c>
      <c r="C9" s="43" t="s">
        <v>303</v>
      </c>
      <c r="D9" s="44" t="s">
        <v>304</v>
      </c>
      <c r="E9" s="43" t="s">
        <v>305</v>
      </c>
      <c r="F9" s="45" t="s">
        <v>306</v>
      </c>
      <c r="G9" s="45" t="s">
        <v>307</v>
      </c>
      <c r="H9" s="12" t="n">
        <f aca="false">MROUND('Rate Card'!$I$5*O9*P9,10)</f>
        <v>4150</v>
      </c>
      <c r="I9" s="12" t="n">
        <f aca="false">MROUND('Rate Card'!$K$5*O9*P9,10)</f>
        <v>2000</v>
      </c>
      <c r="J9" s="12" t="n">
        <f aca="false">MROUND(H9*4*'Rate Card'!$B$47,100)</f>
        <v>15800</v>
      </c>
      <c r="K9" s="12" t="n">
        <f aca="false">MROUND(I9*4*'Rate Card'!$B$47,100)</f>
        <v>7600</v>
      </c>
      <c r="L9" s="12" t="n">
        <f aca="false">MROUND(H9*120*'Rate Card'!$B$48,500)</f>
        <v>423500</v>
      </c>
      <c r="M9" s="12" t="n">
        <f aca="false">MROUND(I9*120*'Rate Card'!$B$48,500)</f>
        <v>204000</v>
      </c>
      <c r="N9" s="14"/>
      <c r="O9" s="46" t="n">
        <v>1</v>
      </c>
      <c r="P9" s="46" t="n">
        <v>1</v>
      </c>
    </row>
    <row r="10" customFormat="false" ht="15" hidden="false" customHeight="true" outlineLevel="0" collapsed="false">
      <c r="A10" s="9" t="n">
        <v>5</v>
      </c>
      <c r="B10" s="43" t="s">
        <v>92</v>
      </c>
      <c r="C10" s="43" t="s">
        <v>308</v>
      </c>
      <c r="D10" s="44" t="s">
        <v>309</v>
      </c>
      <c r="E10" s="43" t="s">
        <v>305</v>
      </c>
      <c r="F10" s="45" t="s">
        <v>310</v>
      </c>
      <c r="G10" s="45" t="s">
        <v>311</v>
      </c>
      <c r="H10" s="12" t="n">
        <f aca="false">MROUND('Rate Card'!$I$5*O10*P10,10)</f>
        <v>4150</v>
      </c>
      <c r="I10" s="12" t="n">
        <f aca="false">MROUND('Rate Card'!$K$5*O10*P10,10)</f>
        <v>2000</v>
      </c>
      <c r="J10" s="12" t="n">
        <f aca="false">MROUND(H10*4*'Rate Card'!$B$47,100)</f>
        <v>15800</v>
      </c>
      <c r="K10" s="12" t="n">
        <f aca="false">MROUND(I10*4*'Rate Card'!$B$47,100)</f>
        <v>7600</v>
      </c>
      <c r="L10" s="12" t="n">
        <f aca="false">MROUND(H10*120*'Rate Card'!$B$48,500)</f>
        <v>423500</v>
      </c>
      <c r="M10" s="12" t="n">
        <f aca="false">MROUND(I10*120*'Rate Card'!$B$48,500)</f>
        <v>204000</v>
      </c>
      <c r="N10" s="14"/>
      <c r="O10" s="46" t="n">
        <v>1</v>
      </c>
      <c r="P10" s="46" t="n">
        <v>1</v>
      </c>
    </row>
    <row r="11" customFormat="false" ht="15" hidden="false" customHeight="true" outlineLevel="0" collapsed="false">
      <c r="A11" s="9" t="n">
        <v>6</v>
      </c>
      <c r="B11" s="43" t="s">
        <v>92</v>
      </c>
      <c r="C11" s="43" t="s">
        <v>308</v>
      </c>
      <c r="D11" s="44" t="s">
        <v>312</v>
      </c>
      <c r="E11" s="43" t="s">
        <v>305</v>
      </c>
      <c r="F11" s="45" t="s">
        <v>310</v>
      </c>
      <c r="G11" s="45" t="s">
        <v>313</v>
      </c>
      <c r="H11" s="12" t="n">
        <f aca="false">MROUND('Rate Card'!$I$5*O11*P11,10)</f>
        <v>4150</v>
      </c>
      <c r="I11" s="12" t="n">
        <f aca="false">MROUND('Rate Card'!$K$5*O11*P11,10)</f>
        <v>2000</v>
      </c>
      <c r="J11" s="12" t="n">
        <f aca="false">MROUND(H11*4*'Rate Card'!$B$47,100)</f>
        <v>15800</v>
      </c>
      <c r="K11" s="12" t="n">
        <f aca="false">MROUND(I11*4*'Rate Card'!$B$47,100)</f>
        <v>7600</v>
      </c>
      <c r="L11" s="12" t="n">
        <f aca="false">MROUND(H11*120*'Rate Card'!$B$48,500)</f>
        <v>423500</v>
      </c>
      <c r="M11" s="12" t="n">
        <f aca="false">MROUND(I11*120*'Rate Card'!$B$48,500)</f>
        <v>204000</v>
      </c>
      <c r="N11" s="14"/>
      <c r="O11" s="46" t="n">
        <v>1</v>
      </c>
      <c r="P11" s="46" t="n">
        <v>1</v>
      </c>
    </row>
    <row r="12" customFormat="false" ht="15" hidden="false" customHeight="true" outlineLevel="0" collapsed="false">
      <c r="A12" s="9" t="n">
        <v>7</v>
      </c>
      <c r="B12" s="43" t="s">
        <v>92</v>
      </c>
      <c r="C12" s="43" t="s">
        <v>308</v>
      </c>
      <c r="D12" s="44" t="s">
        <v>314</v>
      </c>
      <c r="E12" s="43" t="s">
        <v>305</v>
      </c>
      <c r="F12" s="45" t="s">
        <v>315</v>
      </c>
      <c r="G12" s="45" t="s">
        <v>316</v>
      </c>
      <c r="H12" s="12" t="n">
        <f aca="false">MROUND('Rate Card'!$I$5*O12*P12,10)</f>
        <v>4150</v>
      </c>
      <c r="I12" s="12" t="n">
        <f aca="false">MROUND('Rate Card'!$K$5*O12*P12,10)</f>
        <v>2000</v>
      </c>
      <c r="J12" s="12" t="n">
        <f aca="false">MROUND(H12*4*'Rate Card'!$B$47,100)</f>
        <v>15800</v>
      </c>
      <c r="K12" s="12" t="n">
        <f aca="false">MROUND(I12*4*'Rate Card'!$B$47,100)</f>
        <v>7600</v>
      </c>
      <c r="L12" s="12" t="n">
        <f aca="false">MROUND(H12*120*'Rate Card'!$B$48,500)</f>
        <v>423500</v>
      </c>
      <c r="M12" s="12" t="n">
        <f aca="false">MROUND(I12*120*'Rate Card'!$B$48,500)</f>
        <v>204000</v>
      </c>
      <c r="N12" s="14"/>
      <c r="O12" s="46" t="n">
        <v>1</v>
      </c>
      <c r="P12" s="46" t="n">
        <v>1</v>
      </c>
    </row>
    <row r="13" customFormat="false" ht="15" hidden="false" customHeight="true" outlineLevel="0" collapsed="false">
      <c r="A13" s="9" t="n">
        <v>8</v>
      </c>
      <c r="B13" s="43" t="s">
        <v>92</v>
      </c>
      <c r="C13" s="43" t="s">
        <v>308</v>
      </c>
      <c r="D13" s="44" t="s">
        <v>317</v>
      </c>
      <c r="E13" s="43" t="s">
        <v>305</v>
      </c>
      <c r="F13" s="45" t="s">
        <v>318</v>
      </c>
      <c r="G13" s="45" t="s">
        <v>319</v>
      </c>
      <c r="H13" s="12" t="n">
        <f aca="false">MROUND('Rate Card'!$I$5*O13*P13,10)</f>
        <v>4150</v>
      </c>
      <c r="I13" s="12" t="n">
        <f aca="false">MROUND('Rate Card'!$K$5*O13*P13,10)</f>
        <v>2000</v>
      </c>
      <c r="J13" s="12" t="n">
        <f aca="false">MROUND(H13*4*'Rate Card'!$B$47,100)</f>
        <v>15800</v>
      </c>
      <c r="K13" s="12" t="n">
        <f aca="false">MROUND(I13*4*'Rate Card'!$B$47,100)</f>
        <v>7600</v>
      </c>
      <c r="L13" s="12" t="n">
        <f aca="false">MROUND(H13*120*'Rate Card'!$B$48,500)</f>
        <v>423500</v>
      </c>
      <c r="M13" s="12" t="n">
        <f aca="false">MROUND(I13*120*'Rate Card'!$B$48,500)</f>
        <v>204000</v>
      </c>
      <c r="N13" s="14"/>
      <c r="O13" s="46" t="n">
        <v>1</v>
      </c>
      <c r="P13" s="46" t="n">
        <v>1</v>
      </c>
    </row>
    <row r="14" customFormat="false" ht="15" hidden="false" customHeight="true" outlineLevel="0" collapsed="false">
      <c r="A14" s="9" t="n">
        <v>9</v>
      </c>
      <c r="B14" s="43" t="s">
        <v>92</v>
      </c>
      <c r="C14" s="43" t="s">
        <v>308</v>
      </c>
      <c r="D14" s="44" t="s">
        <v>320</v>
      </c>
      <c r="E14" s="43" t="s">
        <v>305</v>
      </c>
      <c r="F14" s="45" t="s">
        <v>318</v>
      </c>
      <c r="G14" s="45" t="s">
        <v>321</v>
      </c>
      <c r="H14" s="12" t="n">
        <f aca="false">MROUND('Rate Card'!$I$5*O14*P14,10)</f>
        <v>4150</v>
      </c>
      <c r="I14" s="12" t="n">
        <f aca="false">MROUND('Rate Card'!$K$5*O14*P14,10)</f>
        <v>2000</v>
      </c>
      <c r="J14" s="12" t="n">
        <f aca="false">MROUND(H14*4*'Rate Card'!$B$47,100)</f>
        <v>15800</v>
      </c>
      <c r="K14" s="12" t="n">
        <f aca="false">MROUND(I14*4*'Rate Card'!$B$47,100)</f>
        <v>7600</v>
      </c>
      <c r="L14" s="12" t="n">
        <f aca="false">MROUND(H14*120*'Rate Card'!$B$48,500)</f>
        <v>423500</v>
      </c>
      <c r="M14" s="12" t="n">
        <f aca="false">MROUND(I14*120*'Rate Card'!$B$48,500)</f>
        <v>204000</v>
      </c>
      <c r="N14" s="14"/>
      <c r="O14" s="46" t="n">
        <v>1</v>
      </c>
      <c r="P14" s="46" t="n">
        <v>1</v>
      </c>
    </row>
    <row r="15" customFormat="false" ht="15" hidden="false" customHeight="true" outlineLevel="0" collapsed="false">
      <c r="A15" s="9" t="n">
        <v>10</v>
      </c>
      <c r="B15" s="43" t="s">
        <v>92</v>
      </c>
      <c r="C15" s="43" t="s">
        <v>303</v>
      </c>
      <c r="D15" s="44" t="s">
        <v>322</v>
      </c>
      <c r="E15" s="43" t="s">
        <v>323</v>
      </c>
      <c r="F15" s="45" t="s">
        <v>324</v>
      </c>
      <c r="G15" s="45" t="s">
        <v>325</v>
      </c>
      <c r="H15" s="12" t="n">
        <f aca="false">MROUND('Rate Card'!$I$5*O15*P15,10)</f>
        <v>3820</v>
      </c>
      <c r="I15" s="12" t="n">
        <f aca="false">MROUND('Rate Card'!$K$5*O15*P15,10)</f>
        <v>1840</v>
      </c>
      <c r="J15" s="12" t="n">
        <f aca="false">MROUND(H15*4*'Rate Card'!$B$47,100)</f>
        <v>14500</v>
      </c>
      <c r="K15" s="12" t="n">
        <f aca="false">MROUND(I15*4*'Rate Card'!$B$47,100)</f>
        <v>7000</v>
      </c>
      <c r="L15" s="12" t="n">
        <f aca="false">MROUND(H15*120*'Rate Card'!$B$48,500)</f>
        <v>389500</v>
      </c>
      <c r="M15" s="12" t="n">
        <f aca="false">MROUND(I15*120*'Rate Card'!$B$48,500)</f>
        <v>187500</v>
      </c>
      <c r="N15" s="14"/>
      <c r="O15" s="46" t="n">
        <v>0.92</v>
      </c>
      <c r="P15" s="46" t="n">
        <v>1</v>
      </c>
    </row>
    <row r="16" customFormat="false" ht="15" hidden="false" customHeight="true" outlineLevel="0" collapsed="false">
      <c r="A16" s="9" t="n">
        <v>11</v>
      </c>
      <c r="B16" s="43" t="s">
        <v>92</v>
      </c>
      <c r="C16" s="43" t="s">
        <v>308</v>
      </c>
      <c r="D16" s="44" t="s">
        <v>326</v>
      </c>
      <c r="E16" s="43" t="s">
        <v>327</v>
      </c>
      <c r="F16" s="45" t="s">
        <v>318</v>
      </c>
      <c r="G16" s="45" t="s">
        <v>328</v>
      </c>
      <c r="H16" s="12" t="n">
        <f aca="false">MROUND('Rate Card'!$I$5*O16*P16,10)</f>
        <v>3820</v>
      </c>
      <c r="I16" s="12" t="n">
        <f aca="false">MROUND('Rate Card'!$K$5*O16*P16,10)</f>
        <v>1840</v>
      </c>
      <c r="J16" s="12" t="n">
        <f aca="false">MROUND(H16*4*'Rate Card'!$B$47,100)</f>
        <v>14500</v>
      </c>
      <c r="K16" s="12" t="n">
        <f aca="false">MROUND(I16*4*'Rate Card'!$B$47,100)</f>
        <v>7000</v>
      </c>
      <c r="L16" s="12" t="n">
        <f aca="false">MROUND(H16*120*'Rate Card'!$B$48,500)</f>
        <v>389500</v>
      </c>
      <c r="M16" s="12" t="n">
        <f aca="false">MROUND(I16*120*'Rate Card'!$B$48,500)</f>
        <v>187500</v>
      </c>
      <c r="N16" s="14"/>
      <c r="O16" s="46" t="n">
        <v>0.92</v>
      </c>
      <c r="P16" s="46" t="n">
        <v>1</v>
      </c>
    </row>
    <row r="17" customFormat="false" ht="15" hidden="false" customHeight="true" outlineLevel="0" collapsed="false">
      <c r="A17" s="9" t="n">
        <v>12</v>
      </c>
      <c r="B17" s="43" t="s">
        <v>92</v>
      </c>
      <c r="C17" s="43" t="s">
        <v>308</v>
      </c>
      <c r="D17" s="44" t="s">
        <v>329</v>
      </c>
      <c r="E17" s="43" t="s">
        <v>327</v>
      </c>
      <c r="F17" s="45" t="s">
        <v>318</v>
      </c>
      <c r="G17" s="45" t="s">
        <v>330</v>
      </c>
      <c r="H17" s="12" t="n">
        <f aca="false">MROUND('Rate Card'!$I$5*O17*P17,10)</f>
        <v>3820</v>
      </c>
      <c r="I17" s="12" t="n">
        <f aca="false">MROUND('Rate Card'!$K$5*O17*P17,10)</f>
        <v>1840</v>
      </c>
      <c r="J17" s="12" t="n">
        <f aca="false">MROUND(H17*4*'Rate Card'!$B$47,100)</f>
        <v>14500</v>
      </c>
      <c r="K17" s="12" t="n">
        <f aca="false">MROUND(I17*4*'Rate Card'!$B$47,100)</f>
        <v>7000</v>
      </c>
      <c r="L17" s="12" t="n">
        <f aca="false">MROUND(H17*120*'Rate Card'!$B$48,500)</f>
        <v>389500</v>
      </c>
      <c r="M17" s="12" t="n">
        <f aca="false">MROUND(I17*120*'Rate Card'!$B$48,500)</f>
        <v>187500</v>
      </c>
      <c r="N17" s="14"/>
      <c r="O17" s="46" t="n">
        <v>0.92</v>
      </c>
      <c r="P17" s="46" t="n">
        <v>1</v>
      </c>
    </row>
    <row r="18" customFormat="false" ht="15" hidden="false" customHeight="true" outlineLevel="0" collapsed="false">
      <c r="A18" s="9" t="n">
        <v>13</v>
      </c>
      <c r="B18" s="43" t="s">
        <v>92</v>
      </c>
      <c r="C18" s="43" t="s">
        <v>308</v>
      </c>
      <c r="D18" s="44" t="s">
        <v>331</v>
      </c>
      <c r="E18" s="43" t="s">
        <v>305</v>
      </c>
      <c r="F18" s="45" t="s">
        <v>318</v>
      </c>
      <c r="G18" s="45" t="s">
        <v>332</v>
      </c>
      <c r="H18" s="12" t="n">
        <f aca="false">MROUND('Rate Card'!$I$5*O18*P18,10)</f>
        <v>3820</v>
      </c>
      <c r="I18" s="12" t="n">
        <f aca="false">MROUND('Rate Card'!$K$5*O18*P18,10)</f>
        <v>1840</v>
      </c>
      <c r="J18" s="12" t="n">
        <f aca="false">MROUND(H18*4*'Rate Card'!$B$47,100)</f>
        <v>14500</v>
      </c>
      <c r="K18" s="12" t="n">
        <f aca="false">MROUND(I18*4*'Rate Card'!$B$47,100)</f>
        <v>7000</v>
      </c>
      <c r="L18" s="12" t="n">
        <f aca="false">MROUND(H18*120*'Rate Card'!$B$48,500)</f>
        <v>389500</v>
      </c>
      <c r="M18" s="12" t="n">
        <f aca="false">MROUND(I18*120*'Rate Card'!$B$48,500)</f>
        <v>187500</v>
      </c>
      <c r="N18" s="14"/>
      <c r="O18" s="46" t="n">
        <v>0.92</v>
      </c>
      <c r="P18" s="46" t="n">
        <v>1</v>
      </c>
    </row>
    <row r="19" customFormat="false" ht="15" hidden="false" customHeight="true" outlineLevel="0" collapsed="false">
      <c r="A19" s="9" t="n">
        <v>14</v>
      </c>
      <c r="B19" s="43" t="s">
        <v>92</v>
      </c>
      <c r="C19" s="43" t="s">
        <v>303</v>
      </c>
      <c r="D19" s="44" t="s">
        <v>333</v>
      </c>
      <c r="E19" s="43" t="s">
        <v>305</v>
      </c>
      <c r="F19" s="45" t="s">
        <v>306</v>
      </c>
      <c r="G19" s="45" t="s">
        <v>334</v>
      </c>
      <c r="H19" s="12" t="n">
        <f aca="false">MROUND('Rate Card'!$I$5*O19*P19,10)</f>
        <v>3820</v>
      </c>
      <c r="I19" s="12" t="n">
        <f aca="false">MROUND('Rate Card'!$K$5*O19*P19,10)</f>
        <v>1840</v>
      </c>
      <c r="J19" s="12" t="n">
        <f aca="false">MROUND(H19*4*'Rate Card'!$B$47,100)</f>
        <v>14500</v>
      </c>
      <c r="K19" s="12" t="n">
        <f aca="false">MROUND(I19*4*'Rate Card'!$B$47,100)</f>
        <v>7000</v>
      </c>
      <c r="L19" s="12" t="n">
        <f aca="false">MROUND(H19*120*'Rate Card'!$B$48,500)</f>
        <v>389500</v>
      </c>
      <c r="M19" s="12" t="n">
        <f aca="false">MROUND(I19*120*'Rate Card'!$B$48,500)</f>
        <v>187500</v>
      </c>
      <c r="N19" s="14"/>
      <c r="O19" s="46" t="n">
        <v>0.92</v>
      </c>
      <c r="P19" s="46" t="n">
        <v>1</v>
      </c>
    </row>
    <row r="20" customFormat="false" ht="15" hidden="false" customHeight="true" outlineLevel="0" collapsed="false">
      <c r="A20" s="9" t="n">
        <v>15</v>
      </c>
      <c r="B20" s="43" t="s">
        <v>92</v>
      </c>
      <c r="C20" s="43" t="s">
        <v>303</v>
      </c>
      <c r="D20" s="44" t="s">
        <v>335</v>
      </c>
      <c r="E20" s="43" t="s">
        <v>305</v>
      </c>
      <c r="F20" s="45" t="s">
        <v>306</v>
      </c>
      <c r="G20" s="45" t="s">
        <v>336</v>
      </c>
      <c r="H20" s="12" t="n">
        <f aca="false">MROUND('Rate Card'!$I$5*O20*P20,10)</f>
        <v>3820</v>
      </c>
      <c r="I20" s="12" t="n">
        <f aca="false">MROUND('Rate Card'!$K$5*O20*P20,10)</f>
        <v>1840</v>
      </c>
      <c r="J20" s="12" t="n">
        <f aca="false">MROUND(H20*4*'Rate Card'!$B$47,100)</f>
        <v>14500</v>
      </c>
      <c r="K20" s="12" t="n">
        <f aca="false">MROUND(I20*4*'Rate Card'!$B$47,100)</f>
        <v>7000</v>
      </c>
      <c r="L20" s="12" t="n">
        <f aca="false">MROUND(H20*120*'Rate Card'!$B$48,500)</f>
        <v>389500</v>
      </c>
      <c r="M20" s="12" t="n">
        <f aca="false">MROUND(I20*120*'Rate Card'!$B$48,500)</f>
        <v>187500</v>
      </c>
      <c r="N20" s="14"/>
      <c r="O20" s="46" t="n">
        <v>0.92</v>
      </c>
      <c r="P20" s="46" t="n">
        <v>1</v>
      </c>
    </row>
    <row r="21" customFormat="false" ht="15" hidden="false" customHeight="true" outlineLevel="0" collapsed="false">
      <c r="A21" s="9" t="n">
        <v>16</v>
      </c>
      <c r="B21" s="43" t="s">
        <v>92</v>
      </c>
      <c r="C21" s="43" t="s">
        <v>308</v>
      </c>
      <c r="D21" s="44" t="s">
        <v>337</v>
      </c>
      <c r="E21" s="43" t="s">
        <v>327</v>
      </c>
      <c r="F21" s="45" t="s">
        <v>315</v>
      </c>
      <c r="G21" s="45" t="s">
        <v>338</v>
      </c>
      <c r="H21" s="12" t="n">
        <f aca="false">MROUND('Rate Card'!$I$5*O21*P21,10)</f>
        <v>3820</v>
      </c>
      <c r="I21" s="12" t="n">
        <f aca="false">MROUND('Rate Card'!$K$5*O21*P21,10)</f>
        <v>1840</v>
      </c>
      <c r="J21" s="12" t="n">
        <f aca="false">MROUND(H21*4*'Rate Card'!$B$47,100)</f>
        <v>14500</v>
      </c>
      <c r="K21" s="12" t="n">
        <f aca="false">MROUND(I21*4*'Rate Card'!$B$47,100)</f>
        <v>7000</v>
      </c>
      <c r="L21" s="12" t="n">
        <f aca="false">MROUND(H21*120*'Rate Card'!$B$48,500)</f>
        <v>389500</v>
      </c>
      <c r="M21" s="12" t="n">
        <f aca="false">MROUND(I21*120*'Rate Card'!$B$48,500)</f>
        <v>187500</v>
      </c>
      <c r="N21" s="14"/>
      <c r="O21" s="46" t="n">
        <v>0.92</v>
      </c>
      <c r="P21" s="46" t="n">
        <v>1</v>
      </c>
    </row>
    <row r="22" customFormat="false" ht="15" hidden="false" customHeight="true" outlineLevel="0" collapsed="false">
      <c r="A22" s="9" t="n">
        <v>17</v>
      </c>
      <c r="B22" s="43" t="s">
        <v>92</v>
      </c>
      <c r="C22" s="43" t="s">
        <v>303</v>
      </c>
      <c r="D22" s="44" t="s">
        <v>339</v>
      </c>
      <c r="E22" s="43" t="s">
        <v>327</v>
      </c>
      <c r="F22" s="45" t="s">
        <v>306</v>
      </c>
      <c r="G22" s="45" t="s">
        <v>340</v>
      </c>
      <c r="H22" s="12" t="n">
        <f aca="false">MROUND('Rate Card'!$I$5*O22*P22,10)</f>
        <v>3820</v>
      </c>
      <c r="I22" s="12" t="n">
        <f aca="false">MROUND('Rate Card'!$K$5*O22*P22,10)</f>
        <v>1840</v>
      </c>
      <c r="J22" s="12" t="n">
        <f aca="false">MROUND(H22*4*'Rate Card'!$B$47,100)</f>
        <v>14500</v>
      </c>
      <c r="K22" s="12" t="n">
        <f aca="false">MROUND(I22*4*'Rate Card'!$B$47,100)</f>
        <v>7000</v>
      </c>
      <c r="L22" s="12" t="n">
        <f aca="false">MROUND(H22*120*'Rate Card'!$B$48,500)</f>
        <v>389500</v>
      </c>
      <c r="M22" s="12" t="n">
        <f aca="false">MROUND(I22*120*'Rate Card'!$B$48,500)</f>
        <v>187500</v>
      </c>
      <c r="N22" s="14"/>
      <c r="O22" s="46" t="n">
        <v>0.92</v>
      </c>
      <c r="P22" s="46" t="n">
        <v>1</v>
      </c>
    </row>
    <row r="23" customFormat="false" ht="15" hidden="false" customHeight="true" outlineLevel="0" collapsed="false">
      <c r="A23" s="9" t="n">
        <v>18</v>
      </c>
      <c r="B23" s="43" t="s">
        <v>92</v>
      </c>
      <c r="C23" s="43" t="s">
        <v>308</v>
      </c>
      <c r="D23" s="44" t="s">
        <v>341</v>
      </c>
      <c r="E23" s="43" t="s">
        <v>305</v>
      </c>
      <c r="F23" s="45" t="s">
        <v>310</v>
      </c>
      <c r="G23" s="45" t="s">
        <v>342</v>
      </c>
      <c r="H23" s="12" t="n">
        <f aca="false">MROUND('Rate Card'!$I$5*O23*P23,10)</f>
        <v>3400</v>
      </c>
      <c r="I23" s="12" t="n">
        <f aca="false">MROUND('Rate Card'!$K$5*O23*P23,10)</f>
        <v>1640</v>
      </c>
      <c r="J23" s="12" t="n">
        <f aca="false">MROUND(H23*4*'Rate Card'!$B$47,100)</f>
        <v>12900</v>
      </c>
      <c r="K23" s="12" t="n">
        <f aca="false">MROUND(I23*4*'Rate Card'!$B$47,100)</f>
        <v>6200</v>
      </c>
      <c r="L23" s="12" t="n">
        <f aca="false">MROUND(H23*120*'Rate Card'!$B$48,500)</f>
        <v>347000</v>
      </c>
      <c r="M23" s="12" t="n">
        <f aca="false">MROUND(I23*120*'Rate Card'!$B$48,500)</f>
        <v>167500</v>
      </c>
      <c r="N23" s="14"/>
      <c r="O23" s="46" t="n">
        <v>0.82</v>
      </c>
      <c r="P23" s="46" t="n">
        <v>1</v>
      </c>
    </row>
    <row r="24" customFormat="false" ht="15" hidden="false" customHeight="true" outlineLevel="0" collapsed="false">
      <c r="A24" s="9" t="n">
        <v>19</v>
      </c>
      <c r="B24" s="43" t="s">
        <v>92</v>
      </c>
      <c r="C24" s="43" t="s">
        <v>303</v>
      </c>
      <c r="D24" s="44" t="s">
        <v>343</v>
      </c>
      <c r="E24" s="43" t="s">
        <v>305</v>
      </c>
      <c r="F24" s="45" t="s">
        <v>306</v>
      </c>
      <c r="G24" s="45" t="s">
        <v>344</v>
      </c>
      <c r="H24" s="12" t="n">
        <f aca="false">MROUND('Rate Card'!$I$5*O24*P24,10)</f>
        <v>3400</v>
      </c>
      <c r="I24" s="12" t="n">
        <f aca="false">MROUND('Rate Card'!$K$5*O24*P24,10)</f>
        <v>1640</v>
      </c>
      <c r="J24" s="12" t="n">
        <f aca="false">MROUND(H24*4*'Rate Card'!$B$47,100)</f>
        <v>12900</v>
      </c>
      <c r="K24" s="12" t="n">
        <f aca="false">MROUND(I24*4*'Rate Card'!$B$47,100)</f>
        <v>6200</v>
      </c>
      <c r="L24" s="12" t="n">
        <f aca="false">MROUND(H24*120*'Rate Card'!$B$48,500)</f>
        <v>347000</v>
      </c>
      <c r="M24" s="12" t="n">
        <f aca="false">MROUND(I24*120*'Rate Card'!$B$48,500)</f>
        <v>167500</v>
      </c>
      <c r="N24" s="14"/>
      <c r="O24" s="46" t="n">
        <v>0.82</v>
      </c>
      <c r="P24" s="46" t="n">
        <v>1</v>
      </c>
    </row>
    <row r="25" customFormat="false" ht="15" hidden="false" customHeight="true" outlineLevel="0" collapsed="false">
      <c r="A25" s="9" t="n">
        <v>20</v>
      </c>
      <c r="B25" s="43" t="s">
        <v>92</v>
      </c>
      <c r="C25" s="43" t="s">
        <v>303</v>
      </c>
      <c r="D25" s="44" t="s">
        <v>345</v>
      </c>
      <c r="E25" s="43" t="s">
        <v>305</v>
      </c>
      <c r="F25" s="45" t="s">
        <v>306</v>
      </c>
      <c r="G25" s="45" t="s">
        <v>346</v>
      </c>
      <c r="H25" s="12" t="n">
        <f aca="false">MROUND('Rate Card'!$I$5*O25*P25,10)</f>
        <v>3400</v>
      </c>
      <c r="I25" s="12" t="n">
        <f aca="false">MROUND('Rate Card'!$K$5*O25*P25,10)</f>
        <v>1640</v>
      </c>
      <c r="J25" s="12" t="n">
        <f aca="false">MROUND(H25*4*'Rate Card'!$B$47,100)</f>
        <v>12900</v>
      </c>
      <c r="K25" s="12" t="n">
        <f aca="false">MROUND(I25*4*'Rate Card'!$B$47,100)</f>
        <v>6200</v>
      </c>
      <c r="L25" s="12" t="n">
        <f aca="false">MROUND(H25*120*'Rate Card'!$B$48,500)</f>
        <v>347000</v>
      </c>
      <c r="M25" s="12" t="n">
        <f aca="false">MROUND(I25*120*'Rate Card'!$B$48,500)</f>
        <v>167500</v>
      </c>
      <c r="N25" s="14"/>
      <c r="O25" s="46" t="n">
        <v>0.82</v>
      </c>
      <c r="P25" s="46" t="n">
        <v>1</v>
      </c>
    </row>
    <row r="26" customFormat="false" ht="15" hidden="false" customHeight="true" outlineLevel="0" collapsed="false">
      <c r="A26" s="9" t="n">
        <v>21</v>
      </c>
      <c r="B26" s="43" t="s">
        <v>92</v>
      </c>
      <c r="C26" s="43" t="s">
        <v>308</v>
      </c>
      <c r="D26" s="44" t="s">
        <v>347</v>
      </c>
      <c r="E26" s="43" t="s">
        <v>305</v>
      </c>
      <c r="F26" s="45" t="s">
        <v>348</v>
      </c>
      <c r="G26" s="45" t="s">
        <v>349</v>
      </c>
      <c r="H26" s="12" t="n">
        <f aca="false">MROUND('Rate Card'!$I$5*O26*P26,10)</f>
        <v>2990</v>
      </c>
      <c r="I26" s="12" t="n">
        <f aca="false">MROUND('Rate Card'!$K$5*O26*P26,10)</f>
        <v>1440</v>
      </c>
      <c r="J26" s="12" t="n">
        <f aca="false">MROUND(H26*4*'Rate Card'!$B$47,100)</f>
        <v>11400</v>
      </c>
      <c r="K26" s="12" t="n">
        <f aca="false">MROUND(I26*4*'Rate Card'!$B$47,100)</f>
        <v>5500</v>
      </c>
      <c r="L26" s="12" t="n">
        <f aca="false">MROUND(H26*120*'Rate Card'!$B$48,500)</f>
        <v>305000</v>
      </c>
      <c r="M26" s="12" t="n">
        <f aca="false">MROUND(I26*120*'Rate Card'!$B$48,500)</f>
        <v>147000</v>
      </c>
      <c r="N26" s="14" t="s">
        <v>350</v>
      </c>
      <c r="O26" s="46" t="n">
        <v>0.72</v>
      </c>
      <c r="P26" s="46" t="n">
        <v>1</v>
      </c>
    </row>
    <row r="27" customFormat="false" ht="15" hidden="false" customHeight="true" outlineLevel="0" collapsed="false">
      <c r="A27" s="9" t="n">
        <v>22</v>
      </c>
      <c r="B27" s="43" t="s">
        <v>92</v>
      </c>
      <c r="C27" s="43" t="s">
        <v>308</v>
      </c>
      <c r="D27" s="44" t="s">
        <v>351</v>
      </c>
      <c r="E27" s="43" t="s">
        <v>352</v>
      </c>
      <c r="F27" s="45" t="s">
        <v>353</v>
      </c>
      <c r="G27" s="45" t="s">
        <v>354</v>
      </c>
      <c r="H27" s="12" t="n">
        <f aca="false">MROUND('Rate Card'!$I$5*O27*P27,10)</f>
        <v>2700</v>
      </c>
      <c r="I27" s="12" t="n">
        <f aca="false">MROUND('Rate Card'!$K$5*O27*P27,10)</f>
        <v>1300</v>
      </c>
      <c r="J27" s="12" t="n">
        <f aca="false">MROUND(H27*4*'Rate Card'!$B$47,100)</f>
        <v>10300</v>
      </c>
      <c r="K27" s="12" t="n">
        <f aca="false">MROUND(I27*4*'Rate Card'!$B$47,100)</f>
        <v>4900</v>
      </c>
      <c r="L27" s="12" t="n">
        <f aca="false">MROUND(H27*120*'Rate Card'!$B$48,500)</f>
        <v>275500</v>
      </c>
      <c r="M27" s="12" t="n">
        <f aca="false">MROUND(I27*120*'Rate Card'!$B$48,500)</f>
        <v>132500</v>
      </c>
      <c r="N27" s="14" t="s">
        <v>355</v>
      </c>
      <c r="O27" s="46" t="n">
        <v>0.65</v>
      </c>
      <c r="P27" s="46" t="n">
        <v>1</v>
      </c>
    </row>
    <row r="28" customFormat="false" ht="15" hidden="false" customHeight="true" outlineLevel="0" collapsed="false">
      <c r="A28" s="9" t="n">
        <v>23</v>
      </c>
      <c r="B28" s="43" t="s">
        <v>92</v>
      </c>
      <c r="C28" s="43" t="s">
        <v>308</v>
      </c>
      <c r="D28" s="44" t="s">
        <v>356</v>
      </c>
      <c r="E28" s="43" t="s">
        <v>357</v>
      </c>
      <c r="F28" s="45" t="s">
        <v>358</v>
      </c>
      <c r="G28" s="45" t="s">
        <v>359</v>
      </c>
      <c r="H28" s="12" t="n">
        <f aca="false">MROUND('Rate Card'!$I$5*O28*P28,10)</f>
        <v>2700</v>
      </c>
      <c r="I28" s="12" t="n">
        <f aca="false">MROUND('Rate Card'!$K$5*O28*P28,10)</f>
        <v>1300</v>
      </c>
      <c r="J28" s="12" t="n">
        <f aca="false">MROUND(H28*4*'Rate Card'!$B$47,100)</f>
        <v>10300</v>
      </c>
      <c r="K28" s="12" t="n">
        <f aca="false">MROUND(I28*4*'Rate Card'!$B$47,100)</f>
        <v>4900</v>
      </c>
      <c r="L28" s="12" t="n">
        <f aca="false">MROUND(H28*120*'Rate Card'!$B$48,500)</f>
        <v>275500</v>
      </c>
      <c r="M28" s="12" t="n">
        <f aca="false">MROUND(I28*120*'Rate Card'!$B$48,500)</f>
        <v>132500</v>
      </c>
      <c r="N28" s="14" t="s">
        <v>355</v>
      </c>
      <c r="O28" s="46" t="n">
        <v>0.65</v>
      </c>
      <c r="P28" s="46" t="n">
        <v>1</v>
      </c>
    </row>
    <row r="29" customFormat="false" ht="15" hidden="false" customHeight="true" outlineLevel="0" collapsed="false">
      <c r="A29" s="9" t="n">
        <v>24</v>
      </c>
      <c r="B29" s="43" t="s">
        <v>92</v>
      </c>
      <c r="C29" s="43" t="s">
        <v>308</v>
      </c>
      <c r="D29" s="44" t="s">
        <v>360</v>
      </c>
      <c r="E29" s="43" t="s">
        <v>361</v>
      </c>
      <c r="F29" s="45" t="s">
        <v>362</v>
      </c>
      <c r="G29" s="45" t="s">
        <v>363</v>
      </c>
      <c r="H29" s="12" t="n">
        <f aca="false">MROUND('Rate Card'!$I$5*O29*P29,10)</f>
        <v>2410</v>
      </c>
      <c r="I29" s="12" t="n">
        <f aca="false">MROUND('Rate Card'!$K$5*O29*P29,10)</f>
        <v>1160</v>
      </c>
      <c r="J29" s="12" t="n">
        <f aca="false">MROUND(H29*4*'Rate Card'!$B$47,100)</f>
        <v>9200</v>
      </c>
      <c r="K29" s="12" t="n">
        <f aca="false">MROUND(I29*4*'Rate Card'!$B$47,100)</f>
        <v>4400</v>
      </c>
      <c r="L29" s="12" t="n">
        <f aca="false">MROUND(H29*120*'Rate Card'!$B$48,500)</f>
        <v>246000</v>
      </c>
      <c r="M29" s="12" t="n">
        <f aca="false">MROUND(I29*120*'Rate Card'!$B$48,500)</f>
        <v>118500</v>
      </c>
      <c r="N29" s="14" t="s">
        <v>364</v>
      </c>
      <c r="O29" s="46" t="n">
        <v>0.58</v>
      </c>
      <c r="P29" s="46" t="n">
        <v>1</v>
      </c>
    </row>
    <row r="30" customFormat="false" ht="15" hidden="false" customHeight="true" outlineLevel="0" collapsed="false">
      <c r="A30" s="42" t="s">
        <v>365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customFormat="false" ht="15" hidden="false" customHeight="true" outlineLevel="0" collapsed="false">
      <c r="A31" s="9" t="n">
        <v>25</v>
      </c>
      <c r="B31" s="43" t="s">
        <v>95</v>
      </c>
      <c r="C31" s="43" t="s">
        <v>366</v>
      </c>
      <c r="D31" s="44" t="s">
        <v>367</v>
      </c>
      <c r="E31" s="43" t="s">
        <v>368</v>
      </c>
      <c r="F31" s="45" t="s">
        <v>306</v>
      </c>
      <c r="G31" s="45"/>
      <c r="H31" s="12" t="n">
        <f aca="false">MROUND('Rate Card'!$I$6*O31*P31,10)</f>
        <v>8450</v>
      </c>
      <c r="I31" s="12" t="n">
        <f aca="false">MROUND('Rate Card'!$K$6*O31*P31,10)</f>
        <v>3800</v>
      </c>
      <c r="J31" s="12" t="n">
        <f aca="false">MROUND(H31*4*'Rate Card'!$B$47,100)</f>
        <v>32100</v>
      </c>
      <c r="K31" s="12" t="n">
        <f aca="false">MROUND(I31*4*'Rate Card'!$B$47,100)</f>
        <v>14400</v>
      </c>
      <c r="L31" s="12" t="n">
        <f aca="false">MROUND(H31*120*'Rate Card'!$B$48,500)</f>
        <v>862000</v>
      </c>
      <c r="M31" s="12" t="n">
        <f aca="false">MROUND(I31*120*'Rate Card'!$B$48,500)</f>
        <v>387500</v>
      </c>
      <c r="N31" s="14"/>
      <c r="O31" s="46" t="n">
        <v>1</v>
      </c>
      <c r="P31" s="46" t="n">
        <v>1</v>
      </c>
    </row>
    <row r="32" customFormat="false" ht="15" hidden="false" customHeight="true" outlineLevel="0" collapsed="false">
      <c r="A32" s="9" t="n">
        <v>26</v>
      </c>
      <c r="B32" s="43" t="s">
        <v>95</v>
      </c>
      <c r="C32" s="43" t="s">
        <v>369</v>
      </c>
      <c r="D32" s="44" t="s">
        <v>370</v>
      </c>
      <c r="E32" s="43" t="s">
        <v>371</v>
      </c>
      <c r="F32" s="45" t="s">
        <v>315</v>
      </c>
      <c r="G32" s="45"/>
      <c r="H32" s="12" t="n">
        <f aca="false">MROUND('Rate Card'!$I$6*O32*P32,10)</f>
        <v>7770</v>
      </c>
      <c r="I32" s="12" t="n">
        <f aca="false">MROUND('Rate Card'!$K$6*O32*P32,10)</f>
        <v>3500</v>
      </c>
      <c r="J32" s="12" t="n">
        <f aca="false">MROUND(H32*4*'Rate Card'!$B$47,100)</f>
        <v>29500</v>
      </c>
      <c r="K32" s="12" t="n">
        <f aca="false">MROUND(I32*4*'Rate Card'!$B$47,100)</f>
        <v>13300</v>
      </c>
      <c r="L32" s="12" t="n">
        <f aca="false">MROUND(H32*120*'Rate Card'!$B$48,500)</f>
        <v>792500</v>
      </c>
      <c r="M32" s="12" t="n">
        <f aca="false">MROUND(I32*120*'Rate Card'!$B$48,500)</f>
        <v>357000</v>
      </c>
      <c r="N32" s="14"/>
      <c r="O32" s="46" t="n">
        <v>0.92</v>
      </c>
      <c r="P32" s="46" t="n">
        <v>1</v>
      </c>
    </row>
    <row r="33" customFormat="false" ht="15" hidden="false" customHeight="true" outlineLevel="0" collapsed="false">
      <c r="A33" s="9" t="n">
        <v>27</v>
      </c>
      <c r="B33" s="43" t="s">
        <v>95</v>
      </c>
      <c r="C33" s="43" t="s">
        <v>369</v>
      </c>
      <c r="D33" s="44" t="s">
        <v>372</v>
      </c>
      <c r="E33" s="43" t="s">
        <v>373</v>
      </c>
      <c r="F33" s="45" t="s">
        <v>374</v>
      </c>
      <c r="G33" s="45"/>
      <c r="H33" s="12" t="n">
        <f aca="false">MROUND('Rate Card'!$I$6*O33*P33,10)</f>
        <v>6930</v>
      </c>
      <c r="I33" s="12" t="n">
        <f aca="false">MROUND('Rate Card'!$K$6*O33*P33,10)</f>
        <v>3120</v>
      </c>
      <c r="J33" s="12" t="n">
        <f aca="false">MROUND(H33*4*'Rate Card'!$B$47,100)</f>
        <v>26300</v>
      </c>
      <c r="K33" s="12" t="n">
        <f aca="false">MROUND(I33*4*'Rate Card'!$B$47,100)</f>
        <v>11900</v>
      </c>
      <c r="L33" s="12" t="n">
        <f aca="false">MROUND(H33*120*'Rate Card'!$B$48,500)</f>
        <v>707000</v>
      </c>
      <c r="M33" s="12" t="n">
        <f aca="false">MROUND(I33*120*'Rate Card'!$B$48,500)</f>
        <v>318000</v>
      </c>
      <c r="N33" s="14"/>
      <c r="O33" s="46" t="n">
        <v>0.82</v>
      </c>
      <c r="P33" s="46" t="n">
        <v>1</v>
      </c>
    </row>
    <row r="34" customFormat="false" ht="15" hidden="false" customHeight="true" outlineLevel="0" collapsed="false">
      <c r="A34" s="9" t="n">
        <v>28</v>
      </c>
      <c r="B34" s="43" t="s">
        <v>95</v>
      </c>
      <c r="C34" s="43" t="s">
        <v>375</v>
      </c>
      <c r="D34" s="44" t="s">
        <v>376</v>
      </c>
      <c r="E34" s="43" t="s">
        <v>377</v>
      </c>
      <c r="F34" s="45" t="s">
        <v>374</v>
      </c>
      <c r="G34" s="45"/>
      <c r="H34" s="12" t="n">
        <f aca="false">MROUND('Rate Card'!$I$6*O34*P34,10)</f>
        <v>6930</v>
      </c>
      <c r="I34" s="12" t="n">
        <f aca="false">MROUND('Rate Card'!$K$6*O34*P34,10)</f>
        <v>3120</v>
      </c>
      <c r="J34" s="12" t="n">
        <f aca="false">MROUND(H34*4*'Rate Card'!$B$47,100)</f>
        <v>26300</v>
      </c>
      <c r="K34" s="12" t="n">
        <f aca="false">MROUND(I34*4*'Rate Card'!$B$47,100)</f>
        <v>11900</v>
      </c>
      <c r="L34" s="12" t="n">
        <f aca="false">MROUND(H34*120*'Rate Card'!$B$48,500)</f>
        <v>707000</v>
      </c>
      <c r="M34" s="12" t="n">
        <f aca="false">MROUND(I34*120*'Rate Card'!$B$48,500)</f>
        <v>318000</v>
      </c>
      <c r="N34" s="14"/>
      <c r="O34" s="46" t="n">
        <v>0.82</v>
      </c>
      <c r="P34" s="46" t="n">
        <v>1</v>
      </c>
    </row>
    <row r="35" customFormat="false" ht="15" hidden="false" customHeight="true" outlineLevel="0" collapsed="false">
      <c r="A35" s="9" t="n">
        <v>29</v>
      </c>
      <c r="B35" s="43" t="s">
        <v>95</v>
      </c>
      <c r="C35" s="43" t="s">
        <v>369</v>
      </c>
      <c r="D35" s="44" t="s">
        <v>378</v>
      </c>
      <c r="E35" s="43" t="s">
        <v>379</v>
      </c>
      <c r="F35" s="45" t="s">
        <v>380</v>
      </c>
      <c r="G35" s="45"/>
      <c r="H35" s="12" t="n">
        <f aca="false">MROUND('Rate Card'!$I$6*O35*P35,10)</f>
        <v>6930</v>
      </c>
      <c r="I35" s="12" t="n">
        <f aca="false">MROUND('Rate Card'!$K$6*O35*P35,10)</f>
        <v>3120</v>
      </c>
      <c r="J35" s="12" t="n">
        <f aca="false">MROUND(H35*4*'Rate Card'!$B$47,100)</f>
        <v>26300</v>
      </c>
      <c r="K35" s="12" t="n">
        <f aca="false">MROUND(I35*4*'Rate Card'!$B$47,100)</f>
        <v>11900</v>
      </c>
      <c r="L35" s="12" t="n">
        <f aca="false">MROUND(H35*120*'Rate Card'!$B$48,500)</f>
        <v>707000</v>
      </c>
      <c r="M35" s="12" t="n">
        <f aca="false">MROUND(I35*120*'Rate Card'!$B$48,500)</f>
        <v>318000</v>
      </c>
      <c r="N35" s="14"/>
      <c r="O35" s="46" t="n">
        <v>0.82</v>
      </c>
      <c r="P35" s="46" t="n">
        <v>1</v>
      </c>
    </row>
    <row r="36" customFormat="false" ht="15" hidden="false" customHeight="true" outlineLevel="0" collapsed="false">
      <c r="A36" s="9" t="n">
        <v>30</v>
      </c>
      <c r="B36" s="43" t="s">
        <v>95</v>
      </c>
      <c r="C36" s="43" t="s">
        <v>369</v>
      </c>
      <c r="D36" s="44" t="s">
        <v>381</v>
      </c>
      <c r="E36" s="43" t="s">
        <v>382</v>
      </c>
      <c r="F36" s="45" t="s">
        <v>380</v>
      </c>
      <c r="G36" s="45" t="s">
        <v>383</v>
      </c>
      <c r="H36" s="12" t="n">
        <f aca="false">MROUND('Rate Card'!$I$6*O36*P36,10)</f>
        <v>6930</v>
      </c>
      <c r="I36" s="12" t="n">
        <f aca="false">MROUND('Rate Card'!$K$6*O36*P36,10)</f>
        <v>3120</v>
      </c>
      <c r="J36" s="12" t="n">
        <f aca="false">MROUND(H36*4*'Rate Card'!$B$47,100)</f>
        <v>26300</v>
      </c>
      <c r="K36" s="12" t="n">
        <f aca="false">MROUND(I36*4*'Rate Card'!$B$47,100)</f>
        <v>11900</v>
      </c>
      <c r="L36" s="12" t="n">
        <f aca="false">MROUND(H36*120*'Rate Card'!$B$48,500)</f>
        <v>707000</v>
      </c>
      <c r="M36" s="12" t="n">
        <f aca="false">MROUND(I36*120*'Rate Card'!$B$48,500)</f>
        <v>318000</v>
      </c>
      <c r="N36" s="14"/>
      <c r="O36" s="46" t="n">
        <v>0.82</v>
      </c>
      <c r="P36" s="46" t="n">
        <v>1</v>
      </c>
    </row>
    <row r="37" customFormat="false" ht="15" hidden="false" customHeight="true" outlineLevel="0" collapsed="false">
      <c r="A37" s="9" t="n">
        <v>31</v>
      </c>
      <c r="B37" s="43" t="s">
        <v>95</v>
      </c>
      <c r="C37" s="43" t="s">
        <v>369</v>
      </c>
      <c r="D37" s="44" t="s">
        <v>384</v>
      </c>
      <c r="E37" s="43" t="s">
        <v>385</v>
      </c>
      <c r="F37" s="45" t="s">
        <v>310</v>
      </c>
      <c r="G37" s="45"/>
      <c r="H37" s="12" t="n">
        <f aca="false">MROUND('Rate Card'!$I$6*O37*P37,10)</f>
        <v>6930</v>
      </c>
      <c r="I37" s="12" t="n">
        <f aca="false">MROUND('Rate Card'!$K$6*O37*P37,10)</f>
        <v>3120</v>
      </c>
      <c r="J37" s="12" t="n">
        <f aca="false">MROUND(H37*4*'Rate Card'!$B$47,100)</f>
        <v>26300</v>
      </c>
      <c r="K37" s="12" t="n">
        <f aca="false">MROUND(I37*4*'Rate Card'!$B$47,100)</f>
        <v>11900</v>
      </c>
      <c r="L37" s="12" t="n">
        <f aca="false">MROUND(H37*120*'Rate Card'!$B$48,500)</f>
        <v>707000</v>
      </c>
      <c r="M37" s="12" t="n">
        <f aca="false">MROUND(I37*120*'Rate Card'!$B$48,500)</f>
        <v>318000</v>
      </c>
      <c r="N37" s="14"/>
      <c r="O37" s="46" t="n">
        <v>0.82</v>
      </c>
      <c r="P37" s="46" t="n">
        <v>1</v>
      </c>
    </row>
    <row r="38" customFormat="false" ht="15" hidden="false" customHeight="true" outlineLevel="0" collapsed="false">
      <c r="A38" s="9" t="n">
        <v>32</v>
      </c>
      <c r="B38" s="43" t="s">
        <v>95</v>
      </c>
      <c r="C38" s="43" t="s">
        <v>386</v>
      </c>
      <c r="D38" s="44" t="s">
        <v>387</v>
      </c>
      <c r="E38" s="43" t="s">
        <v>388</v>
      </c>
      <c r="F38" s="45" t="s">
        <v>389</v>
      </c>
      <c r="G38" s="45"/>
      <c r="H38" s="12" t="n">
        <f aca="false">MROUND('Rate Card'!$I$6*O38*P38,10)</f>
        <v>6930</v>
      </c>
      <c r="I38" s="12" t="n">
        <f aca="false">MROUND('Rate Card'!$K$6*O38*P38,10)</f>
        <v>3120</v>
      </c>
      <c r="J38" s="12" t="n">
        <f aca="false">MROUND(H38*4*'Rate Card'!$B$47,100)</f>
        <v>26300</v>
      </c>
      <c r="K38" s="12" t="n">
        <f aca="false">MROUND(I38*4*'Rate Card'!$B$47,100)</f>
        <v>11900</v>
      </c>
      <c r="L38" s="12" t="n">
        <f aca="false">MROUND(H38*120*'Rate Card'!$B$48,500)</f>
        <v>707000</v>
      </c>
      <c r="M38" s="12" t="n">
        <f aca="false">MROUND(I38*120*'Rate Card'!$B$48,500)</f>
        <v>318000</v>
      </c>
      <c r="N38" s="14"/>
      <c r="O38" s="46" t="n">
        <v>0.82</v>
      </c>
      <c r="P38" s="46" t="n">
        <v>1</v>
      </c>
    </row>
    <row r="39" customFormat="false" ht="15" hidden="false" customHeight="true" outlineLevel="0" collapsed="false">
      <c r="A39" s="9" t="n">
        <v>33</v>
      </c>
      <c r="B39" s="43" t="s">
        <v>95</v>
      </c>
      <c r="C39" s="43" t="s">
        <v>386</v>
      </c>
      <c r="D39" s="44" t="s">
        <v>390</v>
      </c>
      <c r="E39" s="43" t="s">
        <v>391</v>
      </c>
      <c r="F39" s="45" t="s">
        <v>392</v>
      </c>
      <c r="G39" s="45"/>
      <c r="H39" s="12" t="n">
        <f aca="false">MROUND('Rate Card'!$I$6*O39*P39,10)</f>
        <v>6080</v>
      </c>
      <c r="I39" s="12" t="n">
        <f aca="false">MROUND('Rate Card'!$K$6*O39*P39,10)</f>
        <v>2740</v>
      </c>
      <c r="J39" s="12" t="n">
        <f aca="false">MROUND(H39*4*'Rate Card'!$B$47,100)</f>
        <v>23100</v>
      </c>
      <c r="K39" s="12" t="n">
        <f aca="false">MROUND(I39*4*'Rate Card'!$B$47,100)</f>
        <v>10400</v>
      </c>
      <c r="L39" s="12" t="n">
        <f aca="false">MROUND(H39*120*'Rate Card'!$B$48,500)</f>
        <v>620000</v>
      </c>
      <c r="M39" s="12" t="n">
        <f aca="false">MROUND(I39*120*'Rate Card'!$B$48,500)</f>
        <v>279500</v>
      </c>
      <c r="N39" s="14" t="s">
        <v>350</v>
      </c>
      <c r="O39" s="46" t="n">
        <v>0.72</v>
      </c>
      <c r="P39" s="46" t="n">
        <v>1</v>
      </c>
    </row>
    <row r="40" customFormat="false" ht="15" hidden="false" customHeight="true" outlineLevel="0" collapsed="false">
      <c r="A40" s="42" t="s">
        <v>393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customFormat="false" ht="15" hidden="false" customHeight="true" outlineLevel="0" collapsed="false">
      <c r="A41" s="9" t="n">
        <v>34</v>
      </c>
      <c r="B41" s="43" t="s">
        <v>97</v>
      </c>
      <c r="C41" s="43" t="s">
        <v>394</v>
      </c>
      <c r="D41" s="44" t="s">
        <v>395</v>
      </c>
      <c r="E41" s="43" t="s">
        <v>396</v>
      </c>
      <c r="F41" s="45" t="s">
        <v>397</v>
      </c>
      <c r="G41" s="45" t="s">
        <v>398</v>
      </c>
      <c r="H41" s="12" t="n">
        <f aca="false">MROUND('Rate Card'!$I$7*O41*P41,10)</f>
        <v>4460</v>
      </c>
      <c r="I41" s="12" t="n">
        <f aca="false">MROUND('Rate Card'!$K$7*O41*P41,10)</f>
        <v>2250</v>
      </c>
      <c r="J41" s="12" t="n">
        <f aca="false">MROUND(H41*4*'Rate Card'!$B$47,100)</f>
        <v>16900</v>
      </c>
      <c r="K41" s="12" t="n">
        <f aca="false">MROUND(I41*4*'Rate Card'!$B$47,100)</f>
        <v>8600</v>
      </c>
      <c r="L41" s="12" t="n">
        <f aca="false">MROUND(H41*120*'Rate Card'!$B$48,500)</f>
        <v>455000</v>
      </c>
      <c r="M41" s="12" t="n">
        <f aca="false">MROUND(I41*120*'Rate Card'!$B$48,500)</f>
        <v>229500</v>
      </c>
      <c r="N41" s="14"/>
      <c r="O41" s="46" t="n">
        <v>0.92</v>
      </c>
      <c r="P41" s="46" t="n">
        <v>1</v>
      </c>
    </row>
    <row r="42" customFormat="false" ht="15" hidden="false" customHeight="true" outlineLevel="0" collapsed="false">
      <c r="A42" s="9" t="n">
        <v>35</v>
      </c>
      <c r="B42" s="43" t="s">
        <v>97</v>
      </c>
      <c r="C42" s="43" t="s">
        <v>394</v>
      </c>
      <c r="D42" s="44" t="s">
        <v>399</v>
      </c>
      <c r="E42" s="43" t="s">
        <v>400</v>
      </c>
      <c r="F42" s="45" t="s">
        <v>397</v>
      </c>
      <c r="G42" s="45" t="s">
        <v>401</v>
      </c>
      <c r="H42" s="12" t="n">
        <f aca="false">MROUND('Rate Card'!$I$7*O42*P42,10)</f>
        <v>4460</v>
      </c>
      <c r="I42" s="12" t="n">
        <f aca="false">MROUND('Rate Card'!$K$7*O42*P42,10)</f>
        <v>2250</v>
      </c>
      <c r="J42" s="12" t="n">
        <f aca="false">MROUND(H42*4*'Rate Card'!$B$47,100)</f>
        <v>16900</v>
      </c>
      <c r="K42" s="12" t="n">
        <f aca="false">MROUND(I42*4*'Rate Card'!$B$47,100)</f>
        <v>8600</v>
      </c>
      <c r="L42" s="12" t="n">
        <f aca="false">MROUND(H42*120*'Rate Card'!$B$48,500)</f>
        <v>455000</v>
      </c>
      <c r="M42" s="12" t="n">
        <f aca="false">MROUND(I42*120*'Rate Card'!$B$48,500)</f>
        <v>229500</v>
      </c>
      <c r="N42" s="14"/>
      <c r="O42" s="46" t="n">
        <v>0.92</v>
      </c>
      <c r="P42" s="46" t="n">
        <v>1</v>
      </c>
    </row>
    <row r="43" customFormat="false" ht="15" hidden="false" customHeight="true" outlineLevel="0" collapsed="false">
      <c r="A43" s="9" t="n">
        <v>36</v>
      </c>
      <c r="B43" s="43" t="s">
        <v>97</v>
      </c>
      <c r="C43" s="43" t="s">
        <v>394</v>
      </c>
      <c r="D43" s="44" t="s">
        <v>402</v>
      </c>
      <c r="E43" s="43" t="s">
        <v>396</v>
      </c>
      <c r="F43" s="45" t="s">
        <v>318</v>
      </c>
      <c r="G43" s="45" t="s">
        <v>403</v>
      </c>
      <c r="H43" s="12" t="n">
        <f aca="false">MROUND('Rate Card'!$I$7*O43*P43,10)</f>
        <v>4460</v>
      </c>
      <c r="I43" s="12" t="n">
        <f aca="false">MROUND('Rate Card'!$K$7*O43*P43,10)</f>
        <v>2250</v>
      </c>
      <c r="J43" s="12" t="n">
        <f aca="false">MROUND(H43*4*'Rate Card'!$B$47,100)</f>
        <v>16900</v>
      </c>
      <c r="K43" s="12" t="n">
        <f aca="false">MROUND(I43*4*'Rate Card'!$B$47,100)</f>
        <v>8600</v>
      </c>
      <c r="L43" s="12" t="n">
        <f aca="false">MROUND(H43*120*'Rate Card'!$B$48,500)</f>
        <v>455000</v>
      </c>
      <c r="M43" s="12" t="n">
        <f aca="false">MROUND(I43*120*'Rate Card'!$B$48,500)</f>
        <v>229500</v>
      </c>
      <c r="N43" s="14"/>
      <c r="O43" s="46" t="n">
        <v>0.92</v>
      </c>
      <c r="P43" s="46" t="n">
        <v>1</v>
      </c>
    </row>
    <row r="44" customFormat="false" ht="15" hidden="false" customHeight="true" outlineLevel="0" collapsed="false">
      <c r="A44" s="9" t="n">
        <v>37</v>
      </c>
      <c r="B44" s="43" t="s">
        <v>97</v>
      </c>
      <c r="C44" s="43" t="s">
        <v>404</v>
      </c>
      <c r="D44" s="44" t="s">
        <v>405</v>
      </c>
      <c r="E44" s="43" t="s">
        <v>406</v>
      </c>
      <c r="F44" s="45" t="s">
        <v>318</v>
      </c>
      <c r="G44" s="45" t="s">
        <v>407</v>
      </c>
      <c r="H44" s="12" t="n">
        <f aca="false">MROUND('Rate Card'!$I$7*O44*P44,10)</f>
        <v>4460</v>
      </c>
      <c r="I44" s="12" t="n">
        <f aca="false">MROUND('Rate Card'!$K$7*O44*P44,10)</f>
        <v>2250</v>
      </c>
      <c r="J44" s="12" t="n">
        <f aca="false">MROUND(H44*4*'Rate Card'!$B$47,100)</f>
        <v>16900</v>
      </c>
      <c r="K44" s="12" t="n">
        <f aca="false">MROUND(I44*4*'Rate Card'!$B$47,100)</f>
        <v>8600</v>
      </c>
      <c r="L44" s="12" t="n">
        <f aca="false">MROUND(H44*120*'Rate Card'!$B$48,500)</f>
        <v>455000</v>
      </c>
      <c r="M44" s="12" t="n">
        <f aca="false">MROUND(I44*120*'Rate Card'!$B$48,500)</f>
        <v>229500</v>
      </c>
      <c r="N44" s="14"/>
      <c r="O44" s="46" t="n">
        <v>0.92</v>
      </c>
      <c r="P44" s="46" t="n">
        <v>1</v>
      </c>
    </row>
    <row r="45" customFormat="false" ht="15" hidden="false" customHeight="true" outlineLevel="0" collapsed="false">
      <c r="A45" s="9" t="n">
        <v>38</v>
      </c>
      <c r="B45" s="43" t="s">
        <v>97</v>
      </c>
      <c r="C45" s="43" t="s">
        <v>404</v>
      </c>
      <c r="D45" s="44" t="s">
        <v>408</v>
      </c>
      <c r="E45" s="43" t="s">
        <v>406</v>
      </c>
      <c r="F45" s="45" t="s">
        <v>318</v>
      </c>
      <c r="G45" s="45" t="s">
        <v>409</v>
      </c>
      <c r="H45" s="12" t="n">
        <f aca="false">MROUND('Rate Card'!$I$7*O45*P45,10)</f>
        <v>4460</v>
      </c>
      <c r="I45" s="12" t="n">
        <f aca="false">MROUND('Rate Card'!$K$7*O45*P45,10)</f>
        <v>2250</v>
      </c>
      <c r="J45" s="12" t="n">
        <f aca="false">MROUND(H45*4*'Rate Card'!$B$47,100)</f>
        <v>16900</v>
      </c>
      <c r="K45" s="12" t="n">
        <f aca="false">MROUND(I45*4*'Rate Card'!$B$47,100)</f>
        <v>8600</v>
      </c>
      <c r="L45" s="12" t="n">
        <f aca="false">MROUND(H45*120*'Rate Card'!$B$48,500)</f>
        <v>455000</v>
      </c>
      <c r="M45" s="12" t="n">
        <f aca="false">MROUND(I45*120*'Rate Card'!$B$48,500)</f>
        <v>229500</v>
      </c>
      <c r="N45" s="14"/>
      <c r="O45" s="46" t="n">
        <v>0.92</v>
      </c>
      <c r="P45" s="46" t="n">
        <v>1</v>
      </c>
    </row>
    <row r="46" customFormat="false" ht="15" hidden="false" customHeight="true" outlineLevel="0" collapsed="false">
      <c r="A46" s="9" t="n">
        <v>39</v>
      </c>
      <c r="B46" s="43" t="s">
        <v>97</v>
      </c>
      <c r="C46" s="43" t="s">
        <v>394</v>
      </c>
      <c r="D46" s="44" t="s">
        <v>410</v>
      </c>
      <c r="E46" s="43" t="s">
        <v>400</v>
      </c>
      <c r="F46" s="45" t="s">
        <v>318</v>
      </c>
      <c r="G46" s="45" t="s">
        <v>411</v>
      </c>
      <c r="H46" s="12" t="n">
        <f aca="false">MROUND('Rate Card'!$I$7*O46*P46,10)</f>
        <v>4460</v>
      </c>
      <c r="I46" s="12" t="n">
        <f aca="false">MROUND('Rate Card'!$K$7*O46*P46,10)</f>
        <v>2250</v>
      </c>
      <c r="J46" s="12" t="n">
        <f aca="false">MROUND(H46*4*'Rate Card'!$B$47,100)</f>
        <v>16900</v>
      </c>
      <c r="K46" s="12" t="n">
        <f aca="false">MROUND(I46*4*'Rate Card'!$B$47,100)</f>
        <v>8600</v>
      </c>
      <c r="L46" s="12" t="n">
        <f aca="false">MROUND(H46*120*'Rate Card'!$B$48,500)</f>
        <v>455000</v>
      </c>
      <c r="M46" s="12" t="n">
        <f aca="false">MROUND(I46*120*'Rate Card'!$B$48,500)</f>
        <v>229500</v>
      </c>
      <c r="N46" s="14"/>
      <c r="O46" s="46" t="n">
        <v>0.92</v>
      </c>
      <c r="P46" s="46" t="n">
        <v>1</v>
      </c>
    </row>
    <row r="47" customFormat="false" ht="15" hidden="false" customHeight="true" outlineLevel="0" collapsed="false">
      <c r="A47" s="9" t="n">
        <v>40</v>
      </c>
      <c r="B47" s="43" t="s">
        <v>97</v>
      </c>
      <c r="C47" s="43" t="s">
        <v>394</v>
      </c>
      <c r="D47" s="44" t="s">
        <v>412</v>
      </c>
      <c r="E47" s="43" t="s">
        <v>400</v>
      </c>
      <c r="F47" s="45" t="s">
        <v>318</v>
      </c>
      <c r="G47" s="45" t="s">
        <v>413</v>
      </c>
      <c r="H47" s="12" t="n">
        <f aca="false">MROUND('Rate Card'!$I$7*O47*P47,10)</f>
        <v>4460</v>
      </c>
      <c r="I47" s="12" t="n">
        <f aca="false">MROUND('Rate Card'!$K$7*O47*P47,10)</f>
        <v>2250</v>
      </c>
      <c r="J47" s="12" t="n">
        <f aca="false">MROUND(H47*4*'Rate Card'!$B$47,100)</f>
        <v>16900</v>
      </c>
      <c r="K47" s="12" t="n">
        <f aca="false">MROUND(I47*4*'Rate Card'!$B$47,100)</f>
        <v>8600</v>
      </c>
      <c r="L47" s="12" t="n">
        <f aca="false">MROUND(H47*120*'Rate Card'!$B$48,500)</f>
        <v>455000</v>
      </c>
      <c r="M47" s="12" t="n">
        <f aca="false">MROUND(I47*120*'Rate Card'!$B$48,500)</f>
        <v>229500</v>
      </c>
      <c r="N47" s="14"/>
      <c r="O47" s="46" t="n">
        <v>0.92</v>
      </c>
      <c r="P47" s="46" t="n">
        <v>1</v>
      </c>
    </row>
    <row r="48" customFormat="false" ht="15" hidden="false" customHeight="true" outlineLevel="0" collapsed="false">
      <c r="A48" s="9" t="n">
        <v>41</v>
      </c>
      <c r="B48" s="43" t="s">
        <v>97</v>
      </c>
      <c r="C48" s="43" t="s">
        <v>394</v>
      </c>
      <c r="D48" s="44" t="s">
        <v>414</v>
      </c>
      <c r="E48" s="43" t="s">
        <v>400</v>
      </c>
      <c r="F48" s="45" t="s">
        <v>397</v>
      </c>
      <c r="G48" s="45" t="s">
        <v>415</v>
      </c>
      <c r="H48" s="12" t="n">
        <f aca="false">MROUND('Rate Card'!$I$7*O48*P48,10)</f>
        <v>4460</v>
      </c>
      <c r="I48" s="12" t="n">
        <f aca="false">MROUND('Rate Card'!$K$7*O48*P48,10)</f>
        <v>2250</v>
      </c>
      <c r="J48" s="12" t="n">
        <f aca="false">MROUND(H48*4*'Rate Card'!$B$47,100)</f>
        <v>16900</v>
      </c>
      <c r="K48" s="12" t="n">
        <f aca="false">MROUND(I48*4*'Rate Card'!$B$47,100)</f>
        <v>8600</v>
      </c>
      <c r="L48" s="12" t="n">
        <f aca="false">MROUND(H48*120*'Rate Card'!$B$48,500)</f>
        <v>455000</v>
      </c>
      <c r="M48" s="12" t="n">
        <f aca="false">MROUND(I48*120*'Rate Card'!$B$48,500)</f>
        <v>229500</v>
      </c>
      <c r="N48" s="14"/>
      <c r="O48" s="46" t="n">
        <v>0.92</v>
      </c>
      <c r="P48" s="46" t="n">
        <v>1</v>
      </c>
    </row>
    <row r="49" customFormat="false" ht="15" hidden="false" customHeight="true" outlineLevel="0" collapsed="false">
      <c r="A49" s="9" t="n">
        <v>42</v>
      </c>
      <c r="B49" s="43" t="s">
        <v>97</v>
      </c>
      <c r="C49" s="43" t="s">
        <v>416</v>
      </c>
      <c r="D49" s="44" t="s">
        <v>417</v>
      </c>
      <c r="E49" s="43" t="s">
        <v>418</v>
      </c>
      <c r="F49" s="45" t="s">
        <v>315</v>
      </c>
      <c r="G49" s="45" t="s">
        <v>419</v>
      </c>
      <c r="H49" s="12" t="n">
        <f aca="false">MROUND('Rate Card'!$I$7*O49*P49,10)</f>
        <v>4460</v>
      </c>
      <c r="I49" s="12" t="n">
        <f aca="false">MROUND('Rate Card'!$K$7*O49*P49,10)</f>
        <v>2250</v>
      </c>
      <c r="J49" s="12" t="n">
        <f aca="false">MROUND(H49*4*'Rate Card'!$B$47,100)</f>
        <v>16900</v>
      </c>
      <c r="K49" s="12" t="n">
        <f aca="false">MROUND(I49*4*'Rate Card'!$B$47,100)</f>
        <v>8600</v>
      </c>
      <c r="L49" s="12" t="n">
        <f aca="false">MROUND(H49*120*'Rate Card'!$B$48,500)</f>
        <v>455000</v>
      </c>
      <c r="M49" s="12" t="n">
        <f aca="false">MROUND(I49*120*'Rate Card'!$B$48,500)</f>
        <v>229500</v>
      </c>
      <c r="N49" s="14"/>
      <c r="O49" s="46" t="n">
        <v>0.92</v>
      </c>
      <c r="P49" s="46" t="n">
        <v>1</v>
      </c>
    </row>
    <row r="50" customFormat="false" ht="15" hidden="false" customHeight="true" outlineLevel="0" collapsed="false">
      <c r="A50" s="9" t="n">
        <v>43</v>
      </c>
      <c r="B50" s="43" t="s">
        <v>97</v>
      </c>
      <c r="C50" s="43" t="s">
        <v>420</v>
      </c>
      <c r="D50" s="44" t="s">
        <v>421</v>
      </c>
      <c r="E50" s="43" t="s">
        <v>422</v>
      </c>
      <c r="F50" s="45" t="s">
        <v>423</v>
      </c>
      <c r="G50" s="45" t="s">
        <v>424</v>
      </c>
      <c r="H50" s="12" t="n">
        <f aca="false">MROUND('Rate Card'!$I$7*O50*P50,10)</f>
        <v>3150</v>
      </c>
      <c r="I50" s="12" t="n">
        <f aca="false">MROUND('Rate Card'!$K$7*O50*P50,10)</f>
        <v>1590</v>
      </c>
      <c r="J50" s="12" t="n">
        <f aca="false">MROUND(H50*4*'Rate Card'!$B$47,100)</f>
        <v>12000</v>
      </c>
      <c r="K50" s="12" t="n">
        <f aca="false">MROUND(I50*4*'Rate Card'!$B$47,100)</f>
        <v>6000</v>
      </c>
      <c r="L50" s="12" t="n">
        <f aca="false">MROUND(H50*120*'Rate Card'!$B$48,500)</f>
        <v>321500</v>
      </c>
      <c r="M50" s="12" t="n">
        <f aca="false">MROUND(I50*120*'Rate Card'!$B$48,500)</f>
        <v>162000</v>
      </c>
      <c r="N50" s="14" t="s">
        <v>355</v>
      </c>
      <c r="O50" s="46" t="n">
        <v>0.65</v>
      </c>
      <c r="P50" s="46" t="n">
        <v>1</v>
      </c>
    </row>
    <row r="51" customFormat="false" ht="15" hidden="false" customHeight="true" outlineLevel="0" collapsed="false">
      <c r="A51" s="9" t="n">
        <v>44</v>
      </c>
      <c r="B51" s="43" t="s">
        <v>97</v>
      </c>
      <c r="C51" s="43" t="s">
        <v>425</v>
      </c>
      <c r="D51" s="44" t="s">
        <v>426</v>
      </c>
      <c r="E51" s="43" t="s">
        <v>427</v>
      </c>
      <c r="F51" s="45" t="s">
        <v>428</v>
      </c>
      <c r="G51" s="45" t="s">
        <v>429</v>
      </c>
      <c r="H51" s="12" t="n">
        <f aca="false">MROUND('Rate Card'!$I$7*O51*P51,10)</f>
        <v>3150</v>
      </c>
      <c r="I51" s="12" t="n">
        <f aca="false">MROUND('Rate Card'!$K$7*O51*P51,10)</f>
        <v>1590</v>
      </c>
      <c r="J51" s="12" t="n">
        <f aca="false">MROUND(H51*4*'Rate Card'!$B$47,100)</f>
        <v>12000</v>
      </c>
      <c r="K51" s="12" t="n">
        <f aca="false">MROUND(I51*4*'Rate Card'!$B$47,100)</f>
        <v>6000</v>
      </c>
      <c r="L51" s="12" t="n">
        <f aca="false">MROUND(H51*120*'Rate Card'!$B$48,500)</f>
        <v>321500</v>
      </c>
      <c r="M51" s="12" t="n">
        <f aca="false">MROUND(I51*120*'Rate Card'!$B$48,500)</f>
        <v>162000</v>
      </c>
      <c r="N51" s="14" t="s">
        <v>355</v>
      </c>
      <c r="O51" s="46" t="n">
        <v>0.65</v>
      </c>
      <c r="P51" s="46" t="n">
        <v>1</v>
      </c>
    </row>
    <row r="52" customFormat="false" ht="15" hidden="false" customHeight="true" outlineLevel="0" collapsed="false">
      <c r="A52" s="9" t="n">
        <v>45</v>
      </c>
      <c r="B52" s="43" t="s">
        <v>97</v>
      </c>
      <c r="C52" s="43" t="s">
        <v>425</v>
      </c>
      <c r="D52" s="44" t="s">
        <v>430</v>
      </c>
      <c r="E52" s="43" t="s">
        <v>431</v>
      </c>
      <c r="F52" s="45" t="s">
        <v>432</v>
      </c>
      <c r="G52" s="45" t="s">
        <v>433</v>
      </c>
      <c r="H52" s="12" t="n">
        <f aca="false">MROUND('Rate Card'!$I$7*O52*P52,10)</f>
        <v>2810</v>
      </c>
      <c r="I52" s="12" t="n">
        <f aca="false">MROUND('Rate Card'!$K$7*O52*P52,10)</f>
        <v>1420</v>
      </c>
      <c r="J52" s="12" t="n">
        <f aca="false">MROUND(H52*4*'Rate Card'!$B$47,100)</f>
        <v>10700</v>
      </c>
      <c r="K52" s="12" t="n">
        <f aca="false">MROUND(I52*4*'Rate Card'!$B$47,100)</f>
        <v>5400</v>
      </c>
      <c r="L52" s="12" t="n">
        <f aca="false">MROUND(H52*120*'Rate Card'!$B$48,500)</f>
        <v>286500</v>
      </c>
      <c r="M52" s="12" t="n">
        <f aca="false">MROUND(I52*120*'Rate Card'!$B$48,500)</f>
        <v>145000</v>
      </c>
      <c r="N52" s="14" t="s">
        <v>364</v>
      </c>
      <c r="O52" s="46" t="n">
        <v>0.58</v>
      </c>
      <c r="P52" s="46" t="n">
        <v>1</v>
      </c>
    </row>
    <row r="53" customFormat="false" ht="15" hidden="false" customHeight="true" outlineLevel="0" collapsed="false">
      <c r="A53" s="9" t="n">
        <v>46</v>
      </c>
      <c r="B53" s="43" t="s">
        <v>97</v>
      </c>
      <c r="C53" s="43" t="s">
        <v>425</v>
      </c>
      <c r="D53" s="44" t="s">
        <v>434</v>
      </c>
      <c r="E53" s="43" t="s">
        <v>431</v>
      </c>
      <c r="F53" s="45" t="s">
        <v>432</v>
      </c>
      <c r="G53" s="45" t="s">
        <v>435</v>
      </c>
      <c r="H53" s="12" t="n">
        <f aca="false">MROUND('Rate Card'!$I$7*O53*P53,10)</f>
        <v>2810</v>
      </c>
      <c r="I53" s="12" t="n">
        <f aca="false">MROUND('Rate Card'!$K$7*O53*P53,10)</f>
        <v>1420</v>
      </c>
      <c r="J53" s="12" t="n">
        <f aca="false">MROUND(H53*4*'Rate Card'!$B$47,100)</f>
        <v>10700</v>
      </c>
      <c r="K53" s="12" t="n">
        <f aca="false">MROUND(I53*4*'Rate Card'!$B$47,100)</f>
        <v>5400</v>
      </c>
      <c r="L53" s="12" t="n">
        <f aca="false">MROUND(H53*120*'Rate Card'!$B$48,500)</f>
        <v>286500</v>
      </c>
      <c r="M53" s="12" t="n">
        <f aca="false">MROUND(I53*120*'Rate Card'!$B$48,500)</f>
        <v>145000</v>
      </c>
      <c r="N53" s="14" t="s">
        <v>364</v>
      </c>
      <c r="O53" s="46" t="n">
        <v>0.58</v>
      </c>
      <c r="P53" s="46" t="n">
        <v>1</v>
      </c>
    </row>
    <row r="54" customFormat="false" ht="15" hidden="false" customHeight="true" outlineLevel="0" collapsed="false">
      <c r="A54" s="9" t="n">
        <v>47</v>
      </c>
      <c r="B54" s="43" t="s">
        <v>97</v>
      </c>
      <c r="C54" s="43" t="s">
        <v>420</v>
      </c>
      <c r="D54" s="44" t="s">
        <v>436</v>
      </c>
      <c r="E54" s="43" t="s">
        <v>437</v>
      </c>
      <c r="F54" s="45" t="s">
        <v>432</v>
      </c>
      <c r="G54" s="45" t="s">
        <v>438</v>
      </c>
      <c r="H54" s="12" t="n">
        <f aca="false">MROUND('Rate Card'!$I$7*O54*P54,10)</f>
        <v>2810</v>
      </c>
      <c r="I54" s="12" t="n">
        <f aca="false">MROUND('Rate Card'!$K$7*O54*P54,10)</f>
        <v>1420</v>
      </c>
      <c r="J54" s="12" t="n">
        <f aca="false">MROUND(H54*4*'Rate Card'!$B$47,100)</f>
        <v>10700</v>
      </c>
      <c r="K54" s="12" t="n">
        <f aca="false">MROUND(I54*4*'Rate Card'!$B$47,100)</f>
        <v>5400</v>
      </c>
      <c r="L54" s="12" t="n">
        <f aca="false">MROUND(H54*120*'Rate Card'!$B$48,500)</f>
        <v>286500</v>
      </c>
      <c r="M54" s="12" t="n">
        <f aca="false">MROUND(I54*120*'Rate Card'!$B$48,500)</f>
        <v>145000</v>
      </c>
      <c r="N54" s="14" t="s">
        <v>364</v>
      </c>
      <c r="O54" s="46" t="n">
        <v>0.58</v>
      </c>
      <c r="P54" s="46" t="n">
        <v>1</v>
      </c>
    </row>
    <row r="55" customFormat="false" ht="15" hidden="false" customHeight="true" outlineLevel="0" collapsed="false">
      <c r="A55" s="9" t="n">
        <v>48</v>
      </c>
      <c r="B55" s="43" t="s">
        <v>97</v>
      </c>
      <c r="C55" s="43" t="s">
        <v>420</v>
      </c>
      <c r="D55" s="44" t="s">
        <v>439</v>
      </c>
      <c r="E55" s="43" t="s">
        <v>440</v>
      </c>
      <c r="F55" s="45" t="s">
        <v>432</v>
      </c>
      <c r="G55" s="45" t="s">
        <v>441</v>
      </c>
      <c r="H55" s="12" t="n">
        <f aca="false">MROUND('Rate Card'!$I$7*O55*P55,10)</f>
        <v>2810</v>
      </c>
      <c r="I55" s="12" t="n">
        <f aca="false">MROUND('Rate Card'!$K$7*O55*P55,10)</f>
        <v>1420</v>
      </c>
      <c r="J55" s="12" t="n">
        <f aca="false">MROUND(H55*4*'Rate Card'!$B$47,100)</f>
        <v>10700</v>
      </c>
      <c r="K55" s="12" t="n">
        <f aca="false">MROUND(I55*4*'Rate Card'!$B$47,100)</f>
        <v>5400</v>
      </c>
      <c r="L55" s="12" t="n">
        <f aca="false">MROUND(H55*120*'Rate Card'!$B$48,500)</f>
        <v>286500</v>
      </c>
      <c r="M55" s="12" t="n">
        <f aca="false">MROUND(I55*120*'Rate Card'!$B$48,500)</f>
        <v>145000</v>
      </c>
      <c r="N55" s="14" t="s">
        <v>364</v>
      </c>
      <c r="O55" s="46" t="n">
        <v>0.58</v>
      </c>
      <c r="P55" s="46" t="n">
        <v>1</v>
      </c>
    </row>
    <row r="56" customFormat="false" ht="15" hidden="false" customHeight="true" outlineLevel="0" collapsed="false">
      <c r="A56" s="9" t="n">
        <v>49</v>
      </c>
      <c r="B56" s="43" t="s">
        <v>97</v>
      </c>
      <c r="C56" s="43" t="s">
        <v>420</v>
      </c>
      <c r="D56" s="44" t="s">
        <v>442</v>
      </c>
      <c r="E56" s="43" t="s">
        <v>443</v>
      </c>
      <c r="F56" s="45" t="s">
        <v>444</v>
      </c>
      <c r="G56" s="45" t="s">
        <v>445</v>
      </c>
      <c r="H56" s="12" t="n">
        <f aca="false">MROUND('Rate Card'!$I$7*O56*P56,10)</f>
        <v>2810</v>
      </c>
      <c r="I56" s="12" t="n">
        <f aca="false">MROUND('Rate Card'!$K$7*O56*P56,10)</f>
        <v>1420</v>
      </c>
      <c r="J56" s="12" t="n">
        <f aca="false">MROUND(H56*4*'Rate Card'!$B$47,100)</f>
        <v>10700</v>
      </c>
      <c r="K56" s="12" t="n">
        <f aca="false">MROUND(I56*4*'Rate Card'!$B$47,100)</f>
        <v>5400</v>
      </c>
      <c r="L56" s="12" t="n">
        <f aca="false">MROUND(H56*120*'Rate Card'!$B$48,500)</f>
        <v>286500</v>
      </c>
      <c r="M56" s="12" t="n">
        <f aca="false">MROUND(I56*120*'Rate Card'!$B$48,500)</f>
        <v>145000</v>
      </c>
      <c r="N56" s="14" t="s">
        <v>364</v>
      </c>
      <c r="O56" s="46" t="n">
        <v>0.58</v>
      </c>
      <c r="P56" s="46" t="n">
        <v>1</v>
      </c>
    </row>
    <row r="57" customFormat="false" ht="15" hidden="false" customHeight="true" outlineLevel="0" collapsed="false">
      <c r="A57" s="42" t="s">
        <v>446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</row>
    <row r="58" customFormat="false" ht="15" hidden="false" customHeight="true" outlineLevel="0" collapsed="false">
      <c r="A58" s="9" t="n">
        <v>50</v>
      </c>
      <c r="B58" s="43" t="s">
        <v>99</v>
      </c>
      <c r="C58" s="43" t="s">
        <v>447</v>
      </c>
      <c r="D58" s="44" t="s">
        <v>448</v>
      </c>
      <c r="E58" s="43" t="s">
        <v>449</v>
      </c>
      <c r="F58" s="45" t="s">
        <v>450</v>
      </c>
      <c r="G58" s="45" t="s">
        <v>451</v>
      </c>
      <c r="H58" s="12" t="n">
        <f aca="false">MROUND('Rate Card'!$I$8*O58*P58,10)</f>
        <v>4880</v>
      </c>
      <c r="I58" s="12" t="n">
        <f aca="false">MROUND('Rate Card'!$K$8*O58*P58,10)</f>
        <v>2440</v>
      </c>
      <c r="J58" s="12" t="n">
        <f aca="false">MROUND(H58*4*'Rate Card'!$B$47,100)</f>
        <v>18500</v>
      </c>
      <c r="K58" s="12" t="n">
        <f aca="false">MROUND(I58*4*'Rate Card'!$B$47,100)</f>
        <v>9300</v>
      </c>
      <c r="L58" s="12" t="n">
        <f aca="false">MROUND(H58*120*'Rate Card'!$B$48,500)</f>
        <v>498000</v>
      </c>
      <c r="M58" s="12" t="n">
        <f aca="false">MROUND(I58*120*'Rate Card'!$B$48,500)</f>
        <v>249000</v>
      </c>
      <c r="N58" s="14"/>
      <c r="O58" s="46" t="n">
        <v>0.92</v>
      </c>
      <c r="P58" s="46" t="n">
        <v>1</v>
      </c>
    </row>
    <row r="59" customFormat="false" ht="15" hidden="false" customHeight="true" outlineLevel="0" collapsed="false">
      <c r="A59" s="9" t="n">
        <v>51</v>
      </c>
      <c r="B59" s="43" t="s">
        <v>99</v>
      </c>
      <c r="C59" s="43" t="s">
        <v>447</v>
      </c>
      <c r="D59" s="44" t="s">
        <v>452</v>
      </c>
      <c r="E59" s="43" t="s">
        <v>453</v>
      </c>
      <c r="F59" s="45" t="s">
        <v>397</v>
      </c>
      <c r="G59" s="45" t="s">
        <v>451</v>
      </c>
      <c r="H59" s="12" t="n">
        <f aca="false">MROUND('Rate Card'!$I$8*O59*P59,10)</f>
        <v>4880</v>
      </c>
      <c r="I59" s="12" t="n">
        <f aca="false">MROUND('Rate Card'!$K$8*O59*P59,10)</f>
        <v>2440</v>
      </c>
      <c r="J59" s="12" t="n">
        <f aca="false">MROUND(H59*4*'Rate Card'!$B$47,100)</f>
        <v>18500</v>
      </c>
      <c r="K59" s="12" t="n">
        <f aca="false">MROUND(I59*4*'Rate Card'!$B$47,100)</f>
        <v>9300</v>
      </c>
      <c r="L59" s="12" t="n">
        <f aca="false">MROUND(H59*120*'Rate Card'!$B$48,500)</f>
        <v>498000</v>
      </c>
      <c r="M59" s="12" t="n">
        <f aca="false">MROUND(I59*120*'Rate Card'!$B$48,500)</f>
        <v>249000</v>
      </c>
      <c r="N59" s="14"/>
      <c r="O59" s="46" t="n">
        <v>0.92</v>
      </c>
      <c r="P59" s="46" t="n">
        <v>1</v>
      </c>
    </row>
    <row r="60" customFormat="false" ht="15" hidden="false" customHeight="true" outlineLevel="0" collapsed="false">
      <c r="A60" s="9" t="n">
        <v>52</v>
      </c>
      <c r="B60" s="43" t="s">
        <v>99</v>
      </c>
      <c r="C60" s="43" t="s">
        <v>447</v>
      </c>
      <c r="D60" s="44" t="s">
        <v>454</v>
      </c>
      <c r="E60" s="43" t="s">
        <v>455</v>
      </c>
      <c r="F60" s="45" t="s">
        <v>397</v>
      </c>
      <c r="G60" s="45" t="s">
        <v>451</v>
      </c>
      <c r="H60" s="12" t="n">
        <f aca="false">MROUND('Rate Card'!$I$8*O60*P60,10)</f>
        <v>4880</v>
      </c>
      <c r="I60" s="12" t="n">
        <f aca="false">MROUND('Rate Card'!$K$8*O60*P60,10)</f>
        <v>2440</v>
      </c>
      <c r="J60" s="12" t="n">
        <f aca="false">MROUND(H60*4*'Rate Card'!$B$47,100)</f>
        <v>18500</v>
      </c>
      <c r="K60" s="12" t="n">
        <f aca="false">MROUND(I60*4*'Rate Card'!$B$47,100)</f>
        <v>9300</v>
      </c>
      <c r="L60" s="12" t="n">
        <f aca="false">MROUND(H60*120*'Rate Card'!$B$48,500)</f>
        <v>498000</v>
      </c>
      <c r="M60" s="12" t="n">
        <f aca="false">MROUND(I60*120*'Rate Card'!$B$48,500)</f>
        <v>249000</v>
      </c>
      <c r="N60" s="14"/>
      <c r="O60" s="46" t="n">
        <v>0.92</v>
      </c>
      <c r="P60" s="46" t="n">
        <v>1</v>
      </c>
    </row>
    <row r="61" customFormat="false" ht="15" hidden="false" customHeight="true" outlineLevel="0" collapsed="false">
      <c r="A61" s="42" t="s">
        <v>456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customFormat="false" ht="15" hidden="false" customHeight="true" outlineLevel="0" collapsed="false">
      <c r="A62" s="9" t="n">
        <v>53</v>
      </c>
      <c r="B62" s="43" t="s">
        <v>101</v>
      </c>
      <c r="C62" s="43" t="s">
        <v>457</v>
      </c>
      <c r="D62" s="44" t="s">
        <v>458</v>
      </c>
      <c r="E62" s="43" t="s">
        <v>459</v>
      </c>
      <c r="F62" s="45" t="s">
        <v>297</v>
      </c>
      <c r="G62" s="45"/>
      <c r="H62" s="12" t="n">
        <f aca="false">MROUND('Rate Card'!$I$9*O62*P62,10)</f>
        <v>4600</v>
      </c>
      <c r="I62" s="12" t="n">
        <f aca="false">MROUND('Rate Card'!$K$9*O62*P62,10)</f>
        <v>2300</v>
      </c>
      <c r="J62" s="12" t="n">
        <f aca="false">MROUND(H62*4*'Rate Card'!$B$47,100)</f>
        <v>17500</v>
      </c>
      <c r="K62" s="12" t="n">
        <f aca="false">MROUND(I62*4*'Rate Card'!$B$47,100)</f>
        <v>8700</v>
      </c>
      <c r="L62" s="12" t="n">
        <f aca="false">MROUND(H62*120*'Rate Card'!$B$48,500)</f>
        <v>469000</v>
      </c>
      <c r="M62" s="12" t="n">
        <f aca="false">MROUND(I62*120*'Rate Card'!$B$48,500)</f>
        <v>234500</v>
      </c>
      <c r="N62" s="14"/>
      <c r="O62" s="46" t="n">
        <v>1</v>
      </c>
      <c r="P62" s="46" t="n">
        <v>1</v>
      </c>
    </row>
    <row r="63" customFormat="false" ht="15" hidden="false" customHeight="true" outlineLevel="0" collapsed="false">
      <c r="A63" s="9" t="n">
        <v>54</v>
      </c>
      <c r="B63" s="43" t="s">
        <v>101</v>
      </c>
      <c r="C63" s="43" t="s">
        <v>457</v>
      </c>
      <c r="D63" s="44" t="s">
        <v>460</v>
      </c>
      <c r="E63" s="43" t="s">
        <v>461</v>
      </c>
      <c r="F63" s="45" t="s">
        <v>297</v>
      </c>
      <c r="G63" s="45"/>
      <c r="H63" s="12" t="n">
        <f aca="false">MROUND('Rate Card'!$I$9*O63*P63,10)</f>
        <v>4600</v>
      </c>
      <c r="I63" s="12" t="n">
        <f aca="false">MROUND('Rate Card'!$K$9*O63*P63,10)</f>
        <v>2300</v>
      </c>
      <c r="J63" s="12" t="n">
        <f aca="false">MROUND(H63*4*'Rate Card'!$B$47,100)</f>
        <v>17500</v>
      </c>
      <c r="K63" s="12" t="n">
        <f aca="false">MROUND(I63*4*'Rate Card'!$B$47,100)</f>
        <v>8700</v>
      </c>
      <c r="L63" s="12" t="n">
        <f aca="false">MROUND(H63*120*'Rate Card'!$B$48,500)</f>
        <v>469000</v>
      </c>
      <c r="M63" s="12" t="n">
        <f aca="false">MROUND(I63*120*'Rate Card'!$B$48,500)</f>
        <v>234500</v>
      </c>
      <c r="N63" s="14"/>
      <c r="O63" s="46" t="n">
        <v>1</v>
      </c>
      <c r="P63" s="46" t="n">
        <v>1</v>
      </c>
    </row>
    <row r="64" customFormat="false" ht="15" hidden="false" customHeight="true" outlineLevel="0" collapsed="false">
      <c r="A64" s="9" t="n">
        <v>55</v>
      </c>
      <c r="B64" s="43" t="s">
        <v>101</v>
      </c>
      <c r="C64" s="43" t="s">
        <v>457</v>
      </c>
      <c r="D64" s="44" t="s">
        <v>462</v>
      </c>
      <c r="E64" s="43" t="s">
        <v>461</v>
      </c>
      <c r="F64" s="45" t="s">
        <v>297</v>
      </c>
      <c r="G64" s="45"/>
      <c r="H64" s="12" t="n">
        <f aca="false">MROUND('Rate Card'!$I$9*O64*P64,10)</f>
        <v>4600</v>
      </c>
      <c r="I64" s="12" t="n">
        <f aca="false">MROUND('Rate Card'!$K$9*O64*P64,10)</f>
        <v>2300</v>
      </c>
      <c r="J64" s="12" t="n">
        <f aca="false">MROUND(H64*4*'Rate Card'!$B$47,100)</f>
        <v>17500</v>
      </c>
      <c r="K64" s="12" t="n">
        <f aca="false">MROUND(I64*4*'Rate Card'!$B$47,100)</f>
        <v>8700</v>
      </c>
      <c r="L64" s="12" t="n">
        <f aca="false">MROUND(H64*120*'Rate Card'!$B$48,500)</f>
        <v>469000</v>
      </c>
      <c r="M64" s="12" t="n">
        <f aca="false">MROUND(I64*120*'Rate Card'!$B$48,500)</f>
        <v>234500</v>
      </c>
      <c r="N64" s="14"/>
      <c r="O64" s="46" t="n">
        <v>1</v>
      </c>
      <c r="P64" s="46" t="n">
        <v>1</v>
      </c>
    </row>
    <row r="65" customFormat="false" ht="15" hidden="false" customHeight="true" outlineLevel="0" collapsed="false">
      <c r="A65" s="9" t="n">
        <v>56</v>
      </c>
      <c r="B65" s="43" t="s">
        <v>101</v>
      </c>
      <c r="C65" s="43" t="s">
        <v>463</v>
      </c>
      <c r="D65" s="44" t="s">
        <v>464</v>
      </c>
      <c r="E65" s="43" t="s">
        <v>465</v>
      </c>
      <c r="F65" s="45" t="s">
        <v>397</v>
      </c>
      <c r="G65" s="45"/>
      <c r="H65" s="12" t="n">
        <f aca="false">MROUND('Rate Card'!$I$9*O65*P65,10)</f>
        <v>4230</v>
      </c>
      <c r="I65" s="12" t="n">
        <f aca="false">MROUND('Rate Card'!$K$9*O65*P65,10)</f>
        <v>2120</v>
      </c>
      <c r="J65" s="12" t="n">
        <f aca="false">MROUND(H65*4*'Rate Card'!$B$47,100)</f>
        <v>16100</v>
      </c>
      <c r="K65" s="12" t="n">
        <f aca="false">MROUND(I65*4*'Rate Card'!$B$47,100)</f>
        <v>8100</v>
      </c>
      <c r="L65" s="12" t="n">
        <f aca="false">MROUND(H65*120*'Rate Card'!$B$48,500)</f>
        <v>431500</v>
      </c>
      <c r="M65" s="12" t="n">
        <f aca="false">MROUND(I65*120*'Rate Card'!$B$48,500)</f>
        <v>216000</v>
      </c>
      <c r="N65" s="14"/>
      <c r="O65" s="46" t="n">
        <v>0.92</v>
      </c>
      <c r="P65" s="46" t="n">
        <v>1</v>
      </c>
    </row>
    <row r="66" customFormat="false" ht="15" hidden="false" customHeight="true" outlineLevel="0" collapsed="false">
      <c r="A66" s="9" t="n">
        <v>57</v>
      </c>
      <c r="B66" s="43" t="s">
        <v>101</v>
      </c>
      <c r="C66" s="43" t="s">
        <v>466</v>
      </c>
      <c r="D66" s="44" t="s">
        <v>467</v>
      </c>
      <c r="E66" s="43" t="s">
        <v>465</v>
      </c>
      <c r="F66" s="45" t="s">
        <v>397</v>
      </c>
      <c r="G66" s="45"/>
      <c r="H66" s="12" t="n">
        <f aca="false">MROUND('Rate Card'!$I$9*O66*P66,10)</f>
        <v>4230</v>
      </c>
      <c r="I66" s="12" t="n">
        <f aca="false">MROUND('Rate Card'!$K$9*O66*P66,10)</f>
        <v>2120</v>
      </c>
      <c r="J66" s="12" t="n">
        <f aca="false">MROUND(H66*4*'Rate Card'!$B$47,100)</f>
        <v>16100</v>
      </c>
      <c r="K66" s="12" t="n">
        <f aca="false">MROUND(I66*4*'Rate Card'!$B$47,100)</f>
        <v>8100</v>
      </c>
      <c r="L66" s="12" t="n">
        <f aca="false">MROUND(H66*120*'Rate Card'!$B$48,500)</f>
        <v>431500</v>
      </c>
      <c r="M66" s="12" t="n">
        <f aca="false">MROUND(I66*120*'Rate Card'!$B$48,500)</f>
        <v>216000</v>
      </c>
      <c r="N66" s="14"/>
      <c r="O66" s="46" t="n">
        <v>0.92</v>
      </c>
      <c r="P66" s="46" t="n">
        <v>1</v>
      </c>
    </row>
    <row r="67" customFormat="false" ht="15" hidden="false" customHeight="true" outlineLevel="0" collapsed="false">
      <c r="A67" s="9" t="n">
        <v>58</v>
      </c>
      <c r="B67" s="43" t="s">
        <v>101</v>
      </c>
      <c r="C67" s="43" t="s">
        <v>468</v>
      </c>
      <c r="D67" s="44" t="s">
        <v>469</v>
      </c>
      <c r="E67" s="43" t="s">
        <v>470</v>
      </c>
      <c r="F67" s="45" t="s">
        <v>318</v>
      </c>
      <c r="G67" s="45"/>
      <c r="H67" s="12" t="n">
        <f aca="false">MROUND('Rate Card'!$I$9*O67*P67,10)</f>
        <v>4230</v>
      </c>
      <c r="I67" s="12" t="n">
        <f aca="false">MROUND('Rate Card'!$K$9*O67*P67,10)</f>
        <v>2120</v>
      </c>
      <c r="J67" s="12" t="n">
        <f aca="false">MROUND(H67*4*'Rate Card'!$B$47,100)</f>
        <v>16100</v>
      </c>
      <c r="K67" s="12" t="n">
        <f aca="false">MROUND(I67*4*'Rate Card'!$B$47,100)</f>
        <v>8100</v>
      </c>
      <c r="L67" s="12" t="n">
        <f aca="false">MROUND(H67*120*'Rate Card'!$B$48,500)</f>
        <v>431500</v>
      </c>
      <c r="M67" s="12" t="n">
        <f aca="false">MROUND(I67*120*'Rate Card'!$B$48,500)</f>
        <v>216000</v>
      </c>
      <c r="N67" s="14"/>
      <c r="O67" s="46" t="n">
        <v>0.92</v>
      </c>
      <c r="P67" s="46" t="n">
        <v>1</v>
      </c>
    </row>
    <row r="68" customFormat="false" ht="15" hidden="false" customHeight="true" outlineLevel="0" collapsed="false">
      <c r="A68" s="9" t="n">
        <v>59</v>
      </c>
      <c r="B68" s="43" t="s">
        <v>101</v>
      </c>
      <c r="C68" s="43" t="s">
        <v>463</v>
      </c>
      <c r="D68" s="44" t="s">
        <v>471</v>
      </c>
      <c r="E68" s="43" t="s">
        <v>472</v>
      </c>
      <c r="F68" s="45" t="s">
        <v>310</v>
      </c>
      <c r="G68" s="45"/>
      <c r="H68" s="12" t="n">
        <f aca="false">MROUND('Rate Card'!$I$9*O68*P68,10)</f>
        <v>3770</v>
      </c>
      <c r="I68" s="12" t="n">
        <f aca="false">MROUND('Rate Card'!$K$9*O68*P68,10)</f>
        <v>1890</v>
      </c>
      <c r="J68" s="12" t="n">
        <f aca="false">MROUND(H68*4*'Rate Card'!$B$47,100)</f>
        <v>14300</v>
      </c>
      <c r="K68" s="12" t="n">
        <f aca="false">MROUND(I68*4*'Rate Card'!$B$47,100)</f>
        <v>7200</v>
      </c>
      <c r="L68" s="12" t="n">
        <f aca="false">MROUND(H68*120*'Rate Card'!$B$48,500)</f>
        <v>384500</v>
      </c>
      <c r="M68" s="12" t="n">
        <f aca="false">MROUND(I68*120*'Rate Card'!$B$48,500)</f>
        <v>193000</v>
      </c>
      <c r="N68" s="14"/>
      <c r="O68" s="46" t="n">
        <v>0.82</v>
      </c>
      <c r="P68" s="46" t="n">
        <v>1</v>
      </c>
    </row>
    <row r="69" customFormat="false" ht="15" hidden="false" customHeight="true" outlineLevel="0" collapsed="false">
      <c r="A69" s="9" t="n">
        <v>60</v>
      </c>
      <c r="B69" s="43" t="s">
        <v>101</v>
      </c>
      <c r="C69" s="43" t="s">
        <v>473</v>
      </c>
      <c r="D69" s="44" t="s">
        <v>474</v>
      </c>
      <c r="E69" s="43" t="s">
        <v>475</v>
      </c>
      <c r="F69" s="45" t="s">
        <v>374</v>
      </c>
      <c r="G69" s="45"/>
      <c r="H69" s="12" t="n">
        <f aca="false">MROUND('Rate Card'!$I$9*O69*P69,10)</f>
        <v>3770</v>
      </c>
      <c r="I69" s="12" t="n">
        <f aca="false">MROUND('Rate Card'!$K$9*O69*P69,10)</f>
        <v>1890</v>
      </c>
      <c r="J69" s="12" t="n">
        <f aca="false">MROUND(H69*4*'Rate Card'!$B$47,100)</f>
        <v>14300</v>
      </c>
      <c r="K69" s="12" t="n">
        <f aca="false">MROUND(I69*4*'Rate Card'!$B$47,100)</f>
        <v>7200</v>
      </c>
      <c r="L69" s="12" t="n">
        <f aca="false">MROUND(H69*120*'Rate Card'!$B$48,500)</f>
        <v>384500</v>
      </c>
      <c r="M69" s="12" t="n">
        <f aca="false">MROUND(I69*120*'Rate Card'!$B$48,500)</f>
        <v>193000</v>
      </c>
      <c r="N69" s="14"/>
      <c r="O69" s="46" t="n">
        <v>0.82</v>
      </c>
      <c r="P69" s="46" t="n">
        <v>1</v>
      </c>
    </row>
    <row r="70" customFormat="false" ht="15" hidden="false" customHeight="true" outlineLevel="0" collapsed="false">
      <c r="A70" s="9" t="n">
        <v>61</v>
      </c>
      <c r="B70" s="43" t="s">
        <v>101</v>
      </c>
      <c r="C70" s="43" t="s">
        <v>476</v>
      </c>
      <c r="D70" s="44" t="s">
        <v>477</v>
      </c>
      <c r="E70" s="43" t="s">
        <v>478</v>
      </c>
      <c r="F70" s="45" t="s">
        <v>392</v>
      </c>
      <c r="G70" s="45"/>
      <c r="H70" s="12" t="n">
        <f aca="false">MROUND('Rate Card'!$I$9*O70*P70,10)</f>
        <v>3770</v>
      </c>
      <c r="I70" s="12" t="n">
        <f aca="false">MROUND('Rate Card'!$K$9*O70*P70,10)</f>
        <v>1890</v>
      </c>
      <c r="J70" s="12" t="n">
        <f aca="false">MROUND(H70*4*'Rate Card'!$B$47,100)</f>
        <v>14300</v>
      </c>
      <c r="K70" s="12" t="n">
        <f aca="false">MROUND(I70*4*'Rate Card'!$B$47,100)</f>
        <v>7200</v>
      </c>
      <c r="L70" s="12" t="n">
        <f aca="false">MROUND(H70*120*'Rate Card'!$B$48,500)</f>
        <v>384500</v>
      </c>
      <c r="M70" s="12" t="n">
        <f aca="false">MROUND(I70*120*'Rate Card'!$B$48,500)</f>
        <v>193000</v>
      </c>
      <c r="N70" s="14"/>
      <c r="O70" s="46" t="n">
        <v>0.82</v>
      </c>
      <c r="P70" s="46" t="n">
        <v>1</v>
      </c>
    </row>
    <row r="71" customFormat="false" ht="15" hidden="false" customHeight="true" outlineLevel="0" collapsed="false">
      <c r="A71" s="9" t="n">
        <v>62</v>
      </c>
      <c r="B71" s="43" t="s">
        <v>101</v>
      </c>
      <c r="C71" s="43" t="s">
        <v>476</v>
      </c>
      <c r="D71" s="44" t="s">
        <v>479</v>
      </c>
      <c r="E71" s="43" t="s">
        <v>472</v>
      </c>
      <c r="F71" s="45" t="s">
        <v>310</v>
      </c>
      <c r="G71" s="45"/>
      <c r="H71" s="12" t="n">
        <f aca="false">MROUND('Rate Card'!$I$9*O71*P71,10)</f>
        <v>3770</v>
      </c>
      <c r="I71" s="12" t="n">
        <f aca="false">MROUND('Rate Card'!$K$9*O71*P71,10)</f>
        <v>1890</v>
      </c>
      <c r="J71" s="12" t="n">
        <f aca="false">MROUND(H71*4*'Rate Card'!$B$47,100)</f>
        <v>14300</v>
      </c>
      <c r="K71" s="12" t="n">
        <f aca="false">MROUND(I71*4*'Rate Card'!$B$47,100)</f>
        <v>7200</v>
      </c>
      <c r="L71" s="12" t="n">
        <f aca="false">MROUND(H71*120*'Rate Card'!$B$48,500)</f>
        <v>384500</v>
      </c>
      <c r="M71" s="12" t="n">
        <f aca="false">MROUND(I71*120*'Rate Card'!$B$48,500)</f>
        <v>193000</v>
      </c>
      <c r="N71" s="14"/>
      <c r="O71" s="46" t="n">
        <v>0.82</v>
      </c>
      <c r="P71" s="46" t="n">
        <v>1</v>
      </c>
    </row>
    <row r="72" customFormat="false" ht="15" hidden="false" customHeight="true" outlineLevel="0" collapsed="false">
      <c r="A72" s="9" t="n">
        <v>63</v>
      </c>
      <c r="B72" s="43" t="s">
        <v>101</v>
      </c>
      <c r="C72" s="43" t="s">
        <v>476</v>
      </c>
      <c r="D72" s="44" t="s">
        <v>480</v>
      </c>
      <c r="E72" s="43" t="s">
        <v>472</v>
      </c>
      <c r="F72" s="45" t="s">
        <v>380</v>
      </c>
      <c r="G72" s="45"/>
      <c r="H72" s="12" t="n">
        <f aca="false">MROUND('Rate Card'!$I$9*O72*P72,10)</f>
        <v>3770</v>
      </c>
      <c r="I72" s="12" t="n">
        <f aca="false">MROUND('Rate Card'!$K$9*O72*P72,10)</f>
        <v>1890</v>
      </c>
      <c r="J72" s="12" t="n">
        <f aca="false">MROUND(H72*4*'Rate Card'!$B$47,100)</f>
        <v>14300</v>
      </c>
      <c r="K72" s="12" t="n">
        <f aca="false">MROUND(I72*4*'Rate Card'!$B$47,100)</f>
        <v>7200</v>
      </c>
      <c r="L72" s="12" t="n">
        <f aca="false">MROUND(H72*120*'Rate Card'!$B$48,500)</f>
        <v>384500</v>
      </c>
      <c r="M72" s="12" t="n">
        <f aca="false">MROUND(I72*120*'Rate Card'!$B$48,500)</f>
        <v>193000</v>
      </c>
      <c r="N72" s="14"/>
      <c r="O72" s="46" t="n">
        <v>0.82</v>
      </c>
      <c r="P72" s="46" t="n">
        <v>1</v>
      </c>
    </row>
    <row r="73" customFormat="false" ht="15" hidden="false" customHeight="true" outlineLevel="0" collapsed="false">
      <c r="A73" s="9" t="n">
        <v>64</v>
      </c>
      <c r="B73" s="43" t="s">
        <v>101</v>
      </c>
      <c r="C73" s="43" t="s">
        <v>481</v>
      </c>
      <c r="D73" s="44" t="s">
        <v>482</v>
      </c>
      <c r="E73" s="43" t="s">
        <v>483</v>
      </c>
      <c r="F73" s="45" t="s">
        <v>389</v>
      </c>
      <c r="G73" s="45"/>
      <c r="H73" s="12" t="n">
        <f aca="false">MROUND('Rate Card'!$I$9*O73*P73,10)</f>
        <v>3770</v>
      </c>
      <c r="I73" s="12" t="n">
        <f aca="false">MROUND('Rate Card'!$K$9*O73*P73,10)</f>
        <v>1890</v>
      </c>
      <c r="J73" s="12" t="n">
        <f aca="false">MROUND(H73*4*'Rate Card'!$B$47,100)</f>
        <v>14300</v>
      </c>
      <c r="K73" s="12" t="n">
        <f aca="false">MROUND(I73*4*'Rate Card'!$B$47,100)</f>
        <v>7200</v>
      </c>
      <c r="L73" s="12" t="n">
        <f aca="false">MROUND(H73*120*'Rate Card'!$B$48,500)</f>
        <v>384500</v>
      </c>
      <c r="M73" s="12" t="n">
        <f aca="false">MROUND(I73*120*'Rate Card'!$B$48,500)</f>
        <v>193000</v>
      </c>
      <c r="N73" s="14"/>
      <c r="O73" s="46" t="n">
        <v>0.82</v>
      </c>
      <c r="P73" s="46" t="n">
        <v>1</v>
      </c>
    </row>
    <row r="74" customFormat="false" ht="15" hidden="false" customHeight="true" outlineLevel="0" collapsed="false">
      <c r="A74" s="9" t="n">
        <v>65</v>
      </c>
      <c r="B74" s="43" t="s">
        <v>101</v>
      </c>
      <c r="C74" s="43" t="s">
        <v>463</v>
      </c>
      <c r="D74" s="44" t="s">
        <v>484</v>
      </c>
      <c r="E74" s="43" t="s">
        <v>472</v>
      </c>
      <c r="F74" s="45" t="s">
        <v>374</v>
      </c>
      <c r="G74" s="45"/>
      <c r="H74" s="12" t="n">
        <f aca="false">MROUND('Rate Card'!$I$9*O74*P74,10)</f>
        <v>3310</v>
      </c>
      <c r="I74" s="12" t="n">
        <f aca="false">MROUND('Rate Card'!$K$9*O74*P74,10)</f>
        <v>1660</v>
      </c>
      <c r="J74" s="12" t="n">
        <f aca="false">MROUND(H74*4*'Rate Card'!$B$47,100)</f>
        <v>12600</v>
      </c>
      <c r="K74" s="12" t="n">
        <f aca="false">MROUND(I74*4*'Rate Card'!$B$47,100)</f>
        <v>6300</v>
      </c>
      <c r="L74" s="12" t="n">
        <f aca="false">MROUND(H74*120*'Rate Card'!$B$48,500)</f>
        <v>337500</v>
      </c>
      <c r="M74" s="12" t="n">
        <f aca="false">MROUND(I74*120*'Rate Card'!$B$48,500)</f>
        <v>169500</v>
      </c>
      <c r="N74" s="14" t="s">
        <v>350</v>
      </c>
      <c r="O74" s="46" t="n">
        <v>0.72</v>
      </c>
      <c r="P74" s="46" t="n">
        <v>1</v>
      </c>
    </row>
    <row r="75" customFormat="false" ht="15" hidden="false" customHeight="true" outlineLevel="0" collapsed="false">
      <c r="A75" s="9" t="n">
        <v>66</v>
      </c>
      <c r="B75" s="43" t="s">
        <v>101</v>
      </c>
      <c r="C75" s="43" t="s">
        <v>463</v>
      </c>
      <c r="D75" s="44" t="s">
        <v>485</v>
      </c>
      <c r="E75" s="43" t="s">
        <v>472</v>
      </c>
      <c r="F75" s="45" t="s">
        <v>472</v>
      </c>
      <c r="G75" s="45"/>
      <c r="H75" s="12" t="n">
        <f aca="false">MROUND('Rate Card'!$I$9*O75*P75,10)</f>
        <v>2670</v>
      </c>
      <c r="I75" s="12" t="n">
        <f aca="false">MROUND('Rate Card'!$K$9*O75*P75,10)</f>
        <v>1330</v>
      </c>
      <c r="J75" s="12" t="n">
        <f aca="false">MROUND(H75*4*'Rate Card'!$B$47,100)</f>
        <v>10100</v>
      </c>
      <c r="K75" s="12" t="n">
        <f aca="false">MROUND(I75*4*'Rate Card'!$B$47,100)</f>
        <v>5100</v>
      </c>
      <c r="L75" s="12" t="n">
        <f aca="false">MROUND(H75*120*'Rate Card'!$B$48,500)</f>
        <v>272500</v>
      </c>
      <c r="M75" s="12" t="n">
        <f aca="false">MROUND(I75*120*'Rate Card'!$B$48,500)</f>
        <v>135500</v>
      </c>
      <c r="N75" s="14" t="s">
        <v>486</v>
      </c>
      <c r="O75" s="46" t="n">
        <v>0.58</v>
      </c>
      <c r="P75" s="46" t="n">
        <v>1</v>
      </c>
    </row>
    <row r="76" customFormat="false" ht="15" hidden="false" customHeight="true" outlineLevel="0" collapsed="false">
      <c r="A76" s="9" t="n">
        <v>67</v>
      </c>
      <c r="B76" s="43" t="s">
        <v>101</v>
      </c>
      <c r="C76" s="43" t="s">
        <v>457</v>
      </c>
      <c r="D76" s="44" t="s">
        <v>487</v>
      </c>
      <c r="E76" s="43" t="s">
        <v>488</v>
      </c>
      <c r="F76" s="45" t="s">
        <v>472</v>
      </c>
      <c r="G76" s="45"/>
      <c r="H76" s="12" t="n">
        <f aca="false">MROUND('Rate Card'!$I$9*O76*P76,10)</f>
        <v>2670</v>
      </c>
      <c r="I76" s="12" t="n">
        <f aca="false">MROUND('Rate Card'!$K$9*O76*P76,10)</f>
        <v>1330</v>
      </c>
      <c r="J76" s="12" t="n">
        <f aca="false">MROUND(H76*4*'Rate Card'!$B$47,100)</f>
        <v>10100</v>
      </c>
      <c r="K76" s="12" t="n">
        <f aca="false">MROUND(I76*4*'Rate Card'!$B$47,100)</f>
        <v>5100</v>
      </c>
      <c r="L76" s="12" t="n">
        <f aca="false">MROUND(H76*120*'Rate Card'!$B$48,500)</f>
        <v>272500</v>
      </c>
      <c r="M76" s="12" t="n">
        <f aca="false">MROUND(I76*120*'Rate Card'!$B$48,500)</f>
        <v>135500</v>
      </c>
      <c r="N76" s="14" t="s">
        <v>486</v>
      </c>
      <c r="O76" s="46" t="n">
        <v>0.58</v>
      </c>
      <c r="P76" s="46" t="n">
        <v>1</v>
      </c>
    </row>
    <row r="77" customFormat="false" ht="15" hidden="false" customHeight="true" outlineLevel="0" collapsed="false">
      <c r="A77" s="9" t="n">
        <v>68</v>
      </c>
      <c r="B77" s="43" t="s">
        <v>101</v>
      </c>
      <c r="C77" s="43" t="s">
        <v>457</v>
      </c>
      <c r="D77" s="44" t="s">
        <v>489</v>
      </c>
      <c r="E77" s="43" t="s">
        <v>461</v>
      </c>
      <c r="F77" s="45" t="s">
        <v>472</v>
      </c>
      <c r="G77" s="45"/>
      <c r="H77" s="12" t="n">
        <f aca="false">MROUND('Rate Card'!$I$9*O77*P77,10)</f>
        <v>2670</v>
      </c>
      <c r="I77" s="12" t="n">
        <f aca="false">MROUND('Rate Card'!$K$9*O77*P77,10)</f>
        <v>1330</v>
      </c>
      <c r="J77" s="12" t="n">
        <f aca="false">MROUND(H77*4*'Rate Card'!$B$47,100)</f>
        <v>10100</v>
      </c>
      <c r="K77" s="12" t="n">
        <f aca="false">MROUND(I77*4*'Rate Card'!$B$47,100)</f>
        <v>5100</v>
      </c>
      <c r="L77" s="12" t="n">
        <f aca="false">MROUND(H77*120*'Rate Card'!$B$48,500)</f>
        <v>272500</v>
      </c>
      <c r="M77" s="12" t="n">
        <f aca="false">MROUND(I77*120*'Rate Card'!$B$48,500)</f>
        <v>135500</v>
      </c>
      <c r="N77" s="14" t="s">
        <v>486</v>
      </c>
      <c r="O77" s="46" t="n">
        <v>0.58</v>
      </c>
      <c r="P77" s="46" t="n">
        <v>1</v>
      </c>
    </row>
    <row r="78" customFormat="false" ht="15" hidden="false" customHeight="true" outlineLevel="0" collapsed="false">
      <c r="A78" s="9" t="n">
        <v>69</v>
      </c>
      <c r="B78" s="43" t="s">
        <v>101</v>
      </c>
      <c r="C78" s="43" t="s">
        <v>468</v>
      </c>
      <c r="D78" s="44" t="s">
        <v>490</v>
      </c>
      <c r="E78" s="43" t="s">
        <v>470</v>
      </c>
      <c r="F78" s="45" t="s">
        <v>472</v>
      </c>
      <c r="G78" s="45"/>
      <c r="H78" s="12" t="n">
        <f aca="false">MROUND('Rate Card'!$I$9*O78*P78,10)</f>
        <v>2670</v>
      </c>
      <c r="I78" s="12" t="n">
        <f aca="false">MROUND('Rate Card'!$K$9*O78*P78,10)</f>
        <v>1330</v>
      </c>
      <c r="J78" s="12" t="n">
        <f aca="false">MROUND(H78*4*'Rate Card'!$B$47,100)</f>
        <v>10100</v>
      </c>
      <c r="K78" s="12" t="n">
        <f aca="false">MROUND(I78*4*'Rate Card'!$B$47,100)</f>
        <v>5100</v>
      </c>
      <c r="L78" s="12" t="n">
        <f aca="false">MROUND(H78*120*'Rate Card'!$B$48,500)</f>
        <v>272500</v>
      </c>
      <c r="M78" s="12" t="n">
        <f aca="false">MROUND(I78*120*'Rate Card'!$B$48,500)</f>
        <v>135500</v>
      </c>
      <c r="N78" s="14" t="s">
        <v>486</v>
      </c>
      <c r="O78" s="46" t="n">
        <v>0.58</v>
      </c>
      <c r="P78" s="46" t="n">
        <v>1</v>
      </c>
    </row>
    <row r="79" customFormat="false" ht="15" hidden="false" customHeight="true" outlineLevel="0" collapsed="false">
      <c r="A79" s="9" t="n">
        <v>70</v>
      </c>
      <c r="B79" s="43" t="s">
        <v>101</v>
      </c>
      <c r="C79" s="43" t="s">
        <v>466</v>
      </c>
      <c r="D79" s="44" t="s">
        <v>491</v>
      </c>
      <c r="E79" s="43" t="s">
        <v>472</v>
      </c>
      <c r="F79" s="45" t="s">
        <v>472</v>
      </c>
      <c r="G79" s="45"/>
      <c r="H79" s="12" t="n">
        <f aca="false">MROUND('Rate Card'!$I$9*O79*P79,10)</f>
        <v>2670</v>
      </c>
      <c r="I79" s="12" t="n">
        <f aca="false">MROUND('Rate Card'!$K$9*O79*P79,10)</f>
        <v>1330</v>
      </c>
      <c r="J79" s="12" t="n">
        <f aca="false">MROUND(H79*4*'Rate Card'!$B$47,100)</f>
        <v>10100</v>
      </c>
      <c r="K79" s="12" t="n">
        <f aca="false">MROUND(I79*4*'Rate Card'!$B$47,100)</f>
        <v>5100</v>
      </c>
      <c r="L79" s="12" t="n">
        <f aca="false">MROUND(H79*120*'Rate Card'!$B$48,500)</f>
        <v>272500</v>
      </c>
      <c r="M79" s="12" t="n">
        <f aca="false">MROUND(I79*120*'Rate Card'!$B$48,500)</f>
        <v>135500</v>
      </c>
      <c r="N79" s="14" t="s">
        <v>486</v>
      </c>
      <c r="O79" s="46" t="n">
        <v>0.58</v>
      </c>
      <c r="P79" s="46" t="n">
        <v>1</v>
      </c>
    </row>
    <row r="80" customFormat="false" ht="15" hidden="false" customHeight="true" outlineLevel="0" collapsed="false">
      <c r="A80" s="9" t="n">
        <v>71</v>
      </c>
      <c r="B80" s="43" t="s">
        <v>101</v>
      </c>
      <c r="C80" s="43" t="s">
        <v>473</v>
      </c>
      <c r="D80" s="44" t="s">
        <v>492</v>
      </c>
      <c r="E80" s="43" t="s">
        <v>493</v>
      </c>
      <c r="F80" s="45" t="s">
        <v>472</v>
      </c>
      <c r="G80" s="45"/>
      <c r="H80" s="12" t="n">
        <f aca="false">MROUND('Rate Card'!$I$9*O80*P80,10)</f>
        <v>2670</v>
      </c>
      <c r="I80" s="12" t="n">
        <f aca="false">MROUND('Rate Card'!$K$9*O80*P80,10)</f>
        <v>1330</v>
      </c>
      <c r="J80" s="12" t="n">
        <f aca="false">MROUND(H80*4*'Rate Card'!$B$47,100)</f>
        <v>10100</v>
      </c>
      <c r="K80" s="12" t="n">
        <f aca="false">MROUND(I80*4*'Rate Card'!$B$47,100)</f>
        <v>5100</v>
      </c>
      <c r="L80" s="12" t="n">
        <f aca="false">MROUND(H80*120*'Rate Card'!$B$48,500)</f>
        <v>272500</v>
      </c>
      <c r="M80" s="12" t="n">
        <f aca="false">MROUND(I80*120*'Rate Card'!$B$48,500)</f>
        <v>135500</v>
      </c>
      <c r="N80" s="14" t="s">
        <v>486</v>
      </c>
      <c r="O80" s="46" t="n">
        <v>0.58</v>
      </c>
      <c r="P80" s="46" t="n">
        <v>1</v>
      </c>
    </row>
    <row r="81" customFormat="false" ht="15" hidden="false" customHeight="true" outlineLevel="0" collapsed="false">
      <c r="A81" s="42" t="s">
        <v>494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</row>
    <row r="82" customFormat="false" ht="15" hidden="false" customHeight="true" outlineLevel="0" collapsed="false">
      <c r="A82" s="9" t="n">
        <v>72</v>
      </c>
      <c r="B82" s="43" t="s">
        <v>103</v>
      </c>
      <c r="C82" s="43" t="s">
        <v>476</v>
      </c>
      <c r="D82" s="44" t="s">
        <v>495</v>
      </c>
      <c r="E82" s="43" t="s">
        <v>472</v>
      </c>
      <c r="F82" s="45" t="s">
        <v>389</v>
      </c>
      <c r="G82" s="45"/>
      <c r="H82" s="12" t="n">
        <f aca="false">MROUND('Rate Card'!$I$10*O82*P82,10)</f>
        <v>3590</v>
      </c>
      <c r="I82" s="12" t="n">
        <f aca="false">MROUND('Rate Card'!$K$10*O82*P82,10)</f>
        <v>1790</v>
      </c>
      <c r="J82" s="12" t="n">
        <f aca="false">MROUND(H82*4*'Rate Card'!$B$47,100)</f>
        <v>13600</v>
      </c>
      <c r="K82" s="12" t="n">
        <f aca="false">MROUND(I82*4*'Rate Card'!$B$47,100)</f>
        <v>6800</v>
      </c>
      <c r="L82" s="12" t="n">
        <f aca="false">MROUND(H82*120*'Rate Card'!$B$48,500)</f>
        <v>366000</v>
      </c>
      <c r="M82" s="12" t="n">
        <f aca="false">MROUND(I82*120*'Rate Card'!$B$48,500)</f>
        <v>182500</v>
      </c>
      <c r="N82" s="14"/>
      <c r="O82" s="46" t="n">
        <v>0.92</v>
      </c>
      <c r="P82" s="46" t="n">
        <v>1</v>
      </c>
    </row>
    <row r="83" customFormat="false" ht="15" hidden="false" customHeight="true" outlineLevel="0" collapsed="false">
      <c r="A83" s="9" t="n">
        <v>73</v>
      </c>
      <c r="B83" s="43" t="s">
        <v>103</v>
      </c>
      <c r="C83" s="43" t="s">
        <v>369</v>
      </c>
      <c r="D83" s="44" t="s">
        <v>496</v>
      </c>
      <c r="E83" s="43" t="s">
        <v>497</v>
      </c>
      <c r="F83" s="45" t="s">
        <v>310</v>
      </c>
      <c r="G83" s="45"/>
      <c r="H83" s="12" t="n">
        <f aca="false">MROUND('Rate Card'!$I$10*O83*P83,10)</f>
        <v>3590</v>
      </c>
      <c r="I83" s="12" t="n">
        <f aca="false">MROUND('Rate Card'!$K$10*O83*P83,10)</f>
        <v>1790</v>
      </c>
      <c r="J83" s="12" t="n">
        <f aca="false">MROUND(H83*4*'Rate Card'!$B$47,100)</f>
        <v>13600</v>
      </c>
      <c r="K83" s="12" t="n">
        <f aca="false">MROUND(I83*4*'Rate Card'!$B$47,100)</f>
        <v>6800</v>
      </c>
      <c r="L83" s="12" t="n">
        <f aca="false">MROUND(H83*120*'Rate Card'!$B$48,500)</f>
        <v>366000</v>
      </c>
      <c r="M83" s="12" t="n">
        <f aca="false">MROUND(I83*120*'Rate Card'!$B$48,500)</f>
        <v>182500</v>
      </c>
      <c r="N83" s="14"/>
      <c r="O83" s="46" t="n">
        <v>0.92</v>
      </c>
      <c r="P83" s="46" t="n">
        <v>1</v>
      </c>
    </row>
    <row r="84" customFormat="false" ht="15" hidden="false" customHeight="true" outlineLevel="0" collapsed="false">
      <c r="A84" s="9" t="n">
        <v>74</v>
      </c>
      <c r="B84" s="43" t="s">
        <v>103</v>
      </c>
      <c r="C84" s="43" t="s">
        <v>476</v>
      </c>
      <c r="D84" s="44" t="s">
        <v>498</v>
      </c>
      <c r="E84" s="43" t="s">
        <v>472</v>
      </c>
      <c r="F84" s="45" t="s">
        <v>380</v>
      </c>
      <c r="G84" s="45"/>
      <c r="H84" s="12" t="n">
        <f aca="false">MROUND('Rate Card'!$I$10*O84*P84,10)</f>
        <v>3590</v>
      </c>
      <c r="I84" s="12" t="n">
        <f aca="false">MROUND('Rate Card'!$K$10*O84*P84,10)</f>
        <v>1790</v>
      </c>
      <c r="J84" s="12" t="n">
        <f aca="false">MROUND(H84*4*'Rate Card'!$B$47,100)</f>
        <v>13600</v>
      </c>
      <c r="K84" s="12" t="n">
        <f aca="false">MROUND(I84*4*'Rate Card'!$B$47,100)</f>
        <v>6800</v>
      </c>
      <c r="L84" s="12" t="n">
        <f aca="false">MROUND(H84*120*'Rate Card'!$B$48,500)</f>
        <v>366000</v>
      </c>
      <c r="M84" s="12" t="n">
        <f aca="false">MROUND(I84*120*'Rate Card'!$B$48,500)</f>
        <v>182500</v>
      </c>
      <c r="N84" s="14"/>
      <c r="O84" s="46" t="n">
        <v>0.92</v>
      </c>
      <c r="P84" s="46" t="n">
        <v>1</v>
      </c>
    </row>
    <row r="85" customFormat="false" ht="15" hidden="false" customHeight="true" outlineLevel="0" collapsed="false">
      <c r="A85" s="9" t="n">
        <v>75</v>
      </c>
      <c r="B85" s="43" t="s">
        <v>103</v>
      </c>
      <c r="C85" s="43" t="s">
        <v>499</v>
      </c>
      <c r="D85" s="44" t="s">
        <v>500</v>
      </c>
      <c r="E85" s="43" t="s">
        <v>501</v>
      </c>
      <c r="F85" s="45" t="s">
        <v>318</v>
      </c>
      <c r="G85" s="45"/>
      <c r="H85" s="12" t="n">
        <f aca="false">MROUND('Rate Card'!$I$10*O85*P85,10)</f>
        <v>3590</v>
      </c>
      <c r="I85" s="12" t="n">
        <f aca="false">MROUND('Rate Card'!$K$10*O85*P85,10)</f>
        <v>1790</v>
      </c>
      <c r="J85" s="12" t="n">
        <f aca="false">MROUND(H85*4*'Rate Card'!$B$47,100)</f>
        <v>13600</v>
      </c>
      <c r="K85" s="12" t="n">
        <f aca="false">MROUND(I85*4*'Rate Card'!$B$47,100)</f>
        <v>6800</v>
      </c>
      <c r="L85" s="12" t="n">
        <f aca="false">MROUND(H85*120*'Rate Card'!$B$48,500)</f>
        <v>366000</v>
      </c>
      <c r="M85" s="12" t="n">
        <f aca="false">MROUND(I85*120*'Rate Card'!$B$48,500)</f>
        <v>182500</v>
      </c>
      <c r="N85" s="14"/>
      <c r="O85" s="46" t="n">
        <v>0.92</v>
      </c>
      <c r="P85" s="46" t="n">
        <v>1</v>
      </c>
    </row>
    <row r="86" customFormat="false" ht="15" hidden="false" customHeight="true" outlineLevel="0" collapsed="false">
      <c r="A86" s="9" t="n">
        <v>76</v>
      </c>
      <c r="B86" s="43" t="s">
        <v>103</v>
      </c>
      <c r="C86" s="43" t="s">
        <v>499</v>
      </c>
      <c r="D86" s="44" t="s">
        <v>502</v>
      </c>
      <c r="E86" s="43" t="s">
        <v>503</v>
      </c>
      <c r="F86" s="45" t="s">
        <v>318</v>
      </c>
      <c r="G86" s="45"/>
      <c r="H86" s="12" t="n">
        <f aca="false">MROUND('Rate Card'!$I$10*O86*P86,10)</f>
        <v>3590</v>
      </c>
      <c r="I86" s="12" t="n">
        <f aca="false">MROUND('Rate Card'!$K$10*O86*P86,10)</f>
        <v>1790</v>
      </c>
      <c r="J86" s="12" t="n">
        <f aca="false">MROUND(H86*4*'Rate Card'!$B$47,100)</f>
        <v>13600</v>
      </c>
      <c r="K86" s="12" t="n">
        <f aca="false">MROUND(I86*4*'Rate Card'!$B$47,100)</f>
        <v>6800</v>
      </c>
      <c r="L86" s="12" t="n">
        <f aca="false">MROUND(H86*120*'Rate Card'!$B$48,500)</f>
        <v>366000</v>
      </c>
      <c r="M86" s="12" t="n">
        <f aca="false">MROUND(I86*120*'Rate Card'!$B$48,500)</f>
        <v>182500</v>
      </c>
      <c r="N86" s="14"/>
      <c r="O86" s="46" t="n">
        <v>0.92</v>
      </c>
      <c r="P86" s="46" t="n">
        <v>1</v>
      </c>
    </row>
    <row r="87" customFormat="false" ht="15" hidden="false" customHeight="true" outlineLevel="0" collapsed="false">
      <c r="A87" s="9" t="n">
        <v>77</v>
      </c>
      <c r="B87" s="43" t="s">
        <v>103</v>
      </c>
      <c r="C87" s="43" t="s">
        <v>499</v>
      </c>
      <c r="D87" s="44" t="s">
        <v>504</v>
      </c>
      <c r="E87" s="43" t="s">
        <v>505</v>
      </c>
      <c r="F87" s="45" t="s">
        <v>318</v>
      </c>
      <c r="G87" s="45"/>
      <c r="H87" s="12" t="n">
        <f aca="false">MROUND('Rate Card'!$I$10*O87*P87,10)</f>
        <v>3590</v>
      </c>
      <c r="I87" s="12" t="n">
        <f aca="false">MROUND('Rate Card'!$K$10*O87*P87,10)</f>
        <v>1790</v>
      </c>
      <c r="J87" s="12" t="n">
        <f aca="false">MROUND(H87*4*'Rate Card'!$B$47,100)</f>
        <v>13600</v>
      </c>
      <c r="K87" s="12" t="n">
        <f aca="false">MROUND(I87*4*'Rate Card'!$B$47,100)</f>
        <v>6800</v>
      </c>
      <c r="L87" s="12" t="n">
        <f aca="false">MROUND(H87*120*'Rate Card'!$B$48,500)</f>
        <v>366000</v>
      </c>
      <c r="M87" s="12" t="n">
        <f aca="false">MROUND(I87*120*'Rate Card'!$B$48,500)</f>
        <v>182500</v>
      </c>
      <c r="N87" s="14"/>
      <c r="O87" s="46" t="n">
        <v>0.92</v>
      </c>
      <c r="P87" s="46" t="n">
        <v>1</v>
      </c>
    </row>
    <row r="88" customFormat="false" ht="15" hidden="false" customHeight="true" outlineLevel="0" collapsed="false">
      <c r="A88" s="9" t="n">
        <v>78</v>
      </c>
      <c r="B88" s="43" t="s">
        <v>103</v>
      </c>
      <c r="C88" s="43" t="s">
        <v>506</v>
      </c>
      <c r="D88" s="44" t="s">
        <v>507</v>
      </c>
      <c r="E88" s="43" t="s">
        <v>508</v>
      </c>
      <c r="F88" s="45" t="s">
        <v>318</v>
      </c>
      <c r="G88" s="45"/>
      <c r="H88" s="12" t="n">
        <f aca="false">MROUND('Rate Card'!$I$10*O88*P88,10)</f>
        <v>3590</v>
      </c>
      <c r="I88" s="12" t="n">
        <f aca="false">MROUND('Rate Card'!$K$10*O88*P88,10)</f>
        <v>1790</v>
      </c>
      <c r="J88" s="12" t="n">
        <f aca="false">MROUND(H88*4*'Rate Card'!$B$47,100)</f>
        <v>13600</v>
      </c>
      <c r="K88" s="12" t="n">
        <f aca="false">MROUND(I88*4*'Rate Card'!$B$47,100)</f>
        <v>6800</v>
      </c>
      <c r="L88" s="12" t="n">
        <f aca="false">MROUND(H88*120*'Rate Card'!$B$48,500)</f>
        <v>366000</v>
      </c>
      <c r="M88" s="12" t="n">
        <f aca="false">MROUND(I88*120*'Rate Card'!$B$48,500)</f>
        <v>182500</v>
      </c>
      <c r="N88" s="14"/>
      <c r="O88" s="46" t="n">
        <v>0.92</v>
      </c>
      <c r="P88" s="46" t="n">
        <v>1</v>
      </c>
    </row>
    <row r="89" customFormat="false" ht="15" hidden="false" customHeight="true" outlineLevel="0" collapsed="false">
      <c r="A89" s="9" t="n">
        <v>79</v>
      </c>
      <c r="B89" s="43" t="s">
        <v>103</v>
      </c>
      <c r="C89" s="43" t="s">
        <v>506</v>
      </c>
      <c r="D89" s="44" t="s">
        <v>509</v>
      </c>
      <c r="E89" s="43" t="s">
        <v>505</v>
      </c>
      <c r="F89" s="45" t="s">
        <v>318</v>
      </c>
      <c r="G89" s="45"/>
      <c r="H89" s="12" t="n">
        <f aca="false">MROUND('Rate Card'!$I$10*O89*P89,10)</f>
        <v>3590</v>
      </c>
      <c r="I89" s="12" t="n">
        <f aca="false">MROUND('Rate Card'!$K$10*O89*P89,10)</f>
        <v>1790</v>
      </c>
      <c r="J89" s="12" t="n">
        <f aca="false">MROUND(H89*4*'Rate Card'!$B$47,100)</f>
        <v>13600</v>
      </c>
      <c r="K89" s="12" t="n">
        <f aca="false">MROUND(I89*4*'Rate Card'!$B$47,100)</f>
        <v>6800</v>
      </c>
      <c r="L89" s="12" t="n">
        <f aca="false">MROUND(H89*120*'Rate Card'!$B$48,500)</f>
        <v>366000</v>
      </c>
      <c r="M89" s="12" t="n">
        <f aca="false">MROUND(I89*120*'Rate Card'!$B$48,500)</f>
        <v>182500</v>
      </c>
      <c r="N89" s="14"/>
      <c r="O89" s="46" t="n">
        <v>0.92</v>
      </c>
      <c r="P89" s="46" t="n">
        <v>1</v>
      </c>
    </row>
    <row r="90" customFormat="false" ht="15" hidden="false" customHeight="true" outlineLevel="0" collapsed="false">
      <c r="A90" s="9" t="n">
        <v>80</v>
      </c>
      <c r="B90" s="43" t="s">
        <v>103</v>
      </c>
      <c r="C90" s="43" t="s">
        <v>506</v>
      </c>
      <c r="D90" s="44" t="s">
        <v>510</v>
      </c>
      <c r="E90" s="43" t="s">
        <v>505</v>
      </c>
      <c r="F90" s="45" t="s">
        <v>318</v>
      </c>
      <c r="G90" s="45"/>
      <c r="H90" s="12" t="n">
        <f aca="false">MROUND('Rate Card'!$I$10*O90*P90,10)</f>
        <v>3590</v>
      </c>
      <c r="I90" s="12" t="n">
        <f aca="false">MROUND('Rate Card'!$K$10*O90*P90,10)</f>
        <v>1790</v>
      </c>
      <c r="J90" s="12" t="n">
        <f aca="false">MROUND(H90*4*'Rate Card'!$B$47,100)</f>
        <v>13600</v>
      </c>
      <c r="K90" s="12" t="n">
        <f aca="false">MROUND(I90*4*'Rate Card'!$B$47,100)</f>
        <v>6800</v>
      </c>
      <c r="L90" s="12" t="n">
        <f aca="false">MROUND(H90*120*'Rate Card'!$B$48,500)</f>
        <v>366000</v>
      </c>
      <c r="M90" s="12" t="n">
        <f aca="false">MROUND(I90*120*'Rate Card'!$B$48,500)</f>
        <v>182500</v>
      </c>
      <c r="N90" s="14"/>
      <c r="O90" s="46" t="n">
        <v>0.92</v>
      </c>
      <c r="P90" s="46" t="n">
        <v>1</v>
      </c>
    </row>
    <row r="91" customFormat="false" ht="15" hidden="false" customHeight="true" outlineLevel="0" collapsed="false">
      <c r="A91" s="9" t="n">
        <v>81</v>
      </c>
      <c r="B91" s="43" t="s">
        <v>103</v>
      </c>
      <c r="C91" s="43" t="s">
        <v>476</v>
      </c>
      <c r="D91" s="44" t="s">
        <v>511</v>
      </c>
      <c r="E91" s="43" t="s">
        <v>472</v>
      </c>
      <c r="F91" s="45" t="s">
        <v>389</v>
      </c>
      <c r="G91" s="45"/>
      <c r="H91" s="12" t="n">
        <f aca="false">MROUND('Rate Card'!$I$10*O91*P91,10)</f>
        <v>3590</v>
      </c>
      <c r="I91" s="12" t="n">
        <f aca="false">MROUND('Rate Card'!$K$10*O91*P91,10)</f>
        <v>1790</v>
      </c>
      <c r="J91" s="12" t="n">
        <f aca="false">MROUND(H91*4*'Rate Card'!$B$47,100)</f>
        <v>13600</v>
      </c>
      <c r="K91" s="12" t="n">
        <f aca="false">MROUND(I91*4*'Rate Card'!$B$47,100)</f>
        <v>6800</v>
      </c>
      <c r="L91" s="12" t="n">
        <f aca="false">MROUND(H91*120*'Rate Card'!$B$48,500)</f>
        <v>366000</v>
      </c>
      <c r="M91" s="12" t="n">
        <f aca="false">MROUND(I91*120*'Rate Card'!$B$48,500)</f>
        <v>182500</v>
      </c>
      <c r="N91" s="14"/>
      <c r="O91" s="46" t="n">
        <v>0.92</v>
      </c>
      <c r="P91" s="46" t="n">
        <v>1</v>
      </c>
    </row>
    <row r="92" customFormat="false" ht="15" hidden="false" customHeight="true" outlineLevel="0" collapsed="false">
      <c r="A92" s="9" t="n">
        <v>82</v>
      </c>
      <c r="B92" s="43" t="s">
        <v>103</v>
      </c>
      <c r="C92" s="43" t="s">
        <v>499</v>
      </c>
      <c r="D92" s="44" t="s">
        <v>512</v>
      </c>
      <c r="E92" s="43" t="s">
        <v>505</v>
      </c>
      <c r="F92" s="45" t="s">
        <v>315</v>
      </c>
      <c r="G92" s="45"/>
      <c r="H92" s="12" t="n">
        <f aca="false">MROUND('Rate Card'!$I$10*O92*P92,10)</f>
        <v>3590</v>
      </c>
      <c r="I92" s="12" t="n">
        <f aca="false">MROUND('Rate Card'!$K$10*O92*P92,10)</f>
        <v>1790</v>
      </c>
      <c r="J92" s="12" t="n">
        <f aca="false">MROUND(H92*4*'Rate Card'!$B$47,100)</f>
        <v>13600</v>
      </c>
      <c r="K92" s="12" t="n">
        <f aca="false">MROUND(I92*4*'Rate Card'!$B$47,100)</f>
        <v>6800</v>
      </c>
      <c r="L92" s="12" t="n">
        <f aca="false">MROUND(H92*120*'Rate Card'!$B$48,500)</f>
        <v>366000</v>
      </c>
      <c r="M92" s="12" t="n">
        <f aca="false">MROUND(I92*120*'Rate Card'!$B$48,500)</f>
        <v>182500</v>
      </c>
      <c r="N92" s="14"/>
      <c r="O92" s="46" t="n">
        <v>0.92</v>
      </c>
      <c r="P92" s="46" t="n">
        <v>1</v>
      </c>
    </row>
    <row r="93" customFormat="false" ht="15" hidden="false" customHeight="true" outlineLevel="0" collapsed="false">
      <c r="A93" s="9" t="n">
        <v>83</v>
      </c>
      <c r="B93" s="43" t="s">
        <v>103</v>
      </c>
      <c r="C93" s="43" t="s">
        <v>506</v>
      </c>
      <c r="D93" s="44" t="s">
        <v>513</v>
      </c>
      <c r="E93" s="43" t="s">
        <v>508</v>
      </c>
      <c r="F93" s="45" t="s">
        <v>315</v>
      </c>
      <c r="G93" s="45"/>
      <c r="H93" s="12" t="n">
        <f aca="false">MROUND('Rate Card'!$I$10*O93*P93,10)</f>
        <v>3590</v>
      </c>
      <c r="I93" s="12" t="n">
        <f aca="false">MROUND('Rate Card'!$K$10*O93*P93,10)</f>
        <v>1790</v>
      </c>
      <c r="J93" s="12" t="n">
        <f aca="false">MROUND(H93*4*'Rate Card'!$B$47,100)</f>
        <v>13600</v>
      </c>
      <c r="K93" s="12" t="n">
        <f aca="false">MROUND(I93*4*'Rate Card'!$B$47,100)</f>
        <v>6800</v>
      </c>
      <c r="L93" s="12" t="n">
        <f aca="false">MROUND(H93*120*'Rate Card'!$B$48,500)</f>
        <v>366000</v>
      </c>
      <c r="M93" s="12" t="n">
        <f aca="false">MROUND(I93*120*'Rate Card'!$B$48,500)</f>
        <v>182500</v>
      </c>
      <c r="N93" s="14"/>
      <c r="O93" s="46" t="n">
        <v>0.92</v>
      </c>
      <c r="P93" s="46" t="n">
        <v>1</v>
      </c>
    </row>
    <row r="94" customFormat="false" ht="15" hidden="false" customHeight="true" outlineLevel="0" collapsed="false">
      <c r="A94" s="9" t="n">
        <v>84</v>
      </c>
      <c r="B94" s="43" t="s">
        <v>103</v>
      </c>
      <c r="C94" s="43" t="s">
        <v>499</v>
      </c>
      <c r="D94" s="44" t="s">
        <v>514</v>
      </c>
      <c r="E94" s="43" t="s">
        <v>505</v>
      </c>
      <c r="F94" s="45" t="s">
        <v>374</v>
      </c>
      <c r="G94" s="45"/>
      <c r="H94" s="12" t="n">
        <f aca="false">MROUND('Rate Card'!$I$10*O94*P94,10)</f>
        <v>3200</v>
      </c>
      <c r="I94" s="12" t="n">
        <f aca="false">MROUND('Rate Card'!$K$10*O94*P94,10)</f>
        <v>1600</v>
      </c>
      <c r="J94" s="12" t="n">
        <f aca="false">MROUND(H94*4*'Rate Card'!$B$47,100)</f>
        <v>12200</v>
      </c>
      <c r="K94" s="12" t="n">
        <f aca="false">MROUND(I94*4*'Rate Card'!$B$47,100)</f>
        <v>6100</v>
      </c>
      <c r="L94" s="12" t="n">
        <f aca="false">MROUND(H94*120*'Rate Card'!$B$48,500)</f>
        <v>326500</v>
      </c>
      <c r="M94" s="12" t="n">
        <f aca="false">MROUND(I94*120*'Rate Card'!$B$48,500)</f>
        <v>163000</v>
      </c>
      <c r="N94" s="14"/>
      <c r="O94" s="46" t="n">
        <v>0.82</v>
      </c>
      <c r="P94" s="46" t="n">
        <v>1</v>
      </c>
    </row>
    <row r="95" customFormat="false" ht="15" hidden="false" customHeight="true" outlineLevel="0" collapsed="false">
      <c r="A95" s="9" t="n">
        <v>85</v>
      </c>
      <c r="B95" s="43" t="s">
        <v>103</v>
      </c>
      <c r="C95" s="43" t="s">
        <v>506</v>
      </c>
      <c r="D95" s="44" t="s">
        <v>515</v>
      </c>
      <c r="E95" s="43" t="s">
        <v>508</v>
      </c>
      <c r="F95" s="45" t="s">
        <v>374</v>
      </c>
      <c r="G95" s="45"/>
      <c r="H95" s="12" t="n">
        <f aca="false">MROUND('Rate Card'!$I$10*O95*P95,10)</f>
        <v>3200</v>
      </c>
      <c r="I95" s="12" t="n">
        <f aca="false">MROUND('Rate Card'!$K$10*O95*P95,10)</f>
        <v>1600</v>
      </c>
      <c r="J95" s="12" t="n">
        <f aca="false">MROUND(H95*4*'Rate Card'!$B$47,100)</f>
        <v>12200</v>
      </c>
      <c r="K95" s="12" t="n">
        <f aca="false">MROUND(I95*4*'Rate Card'!$B$47,100)</f>
        <v>6100</v>
      </c>
      <c r="L95" s="12" t="n">
        <f aca="false">MROUND(H95*120*'Rate Card'!$B$48,500)</f>
        <v>326500</v>
      </c>
      <c r="M95" s="12" t="n">
        <f aca="false">MROUND(I95*120*'Rate Card'!$B$48,500)</f>
        <v>163000</v>
      </c>
      <c r="N95" s="14"/>
      <c r="O95" s="46" t="n">
        <v>0.82</v>
      </c>
      <c r="P95" s="46" t="n">
        <v>1</v>
      </c>
    </row>
    <row r="96" customFormat="false" ht="15" hidden="false" customHeight="true" outlineLevel="0" collapsed="false">
      <c r="A96" s="9" t="n">
        <v>86</v>
      </c>
      <c r="B96" s="43" t="s">
        <v>103</v>
      </c>
      <c r="C96" s="43" t="s">
        <v>476</v>
      </c>
      <c r="D96" s="44" t="s">
        <v>516</v>
      </c>
      <c r="E96" s="43" t="s">
        <v>472</v>
      </c>
      <c r="F96" s="45" t="s">
        <v>310</v>
      </c>
      <c r="G96" s="45"/>
      <c r="H96" s="12" t="n">
        <f aca="false">MROUND('Rate Card'!$I$10*O96*P96,10)</f>
        <v>3200</v>
      </c>
      <c r="I96" s="12" t="n">
        <f aca="false">MROUND('Rate Card'!$K$10*O96*P96,10)</f>
        <v>1600</v>
      </c>
      <c r="J96" s="12" t="n">
        <f aca="false">MROUND(H96*4*'Rate Card'!$B$47,100)</f>
        <v>12200</v>
      </c>
      <c r="K96" s="12" t="n">
        <f aca="false">MROUND(I96*4*'Rate Card'!$B$47,100)</f>
        <v>6100</v>
      </c>
      <c r="L96" s="12" t="n">
        <f aca="false">MROUND(H96*120*'Rate Card'!$B$48,500)</f>
        <v>326500</v>
      </c>
      <c r="M96" s="12" t="n">
        <f aca="false">MROUND(I96*120*'Rate Card'!$B$48,500)</f>
        <v>163000</v>
      </c>
      <c r="N96" s="14"/>
      <c r="O96" s="46" t="n">
        <v>0.82</v>
      </c>
      <c r="P96" s="46" t="n">
        <v>1</v>
      </c>
    </row>
    <row r="97" customFormat="false" ht="15" hidden="false" customHeight="true" outlineLevel="0" collapsed="false">
      <c r="A97" s="9" t="n">
        <v>87</v>
      </c>
      <c r="B97" s="43" t="s">
        <v>103</v>
      </c>
      <c r="C97" s="43" t="s">
        <v>499</v>
      </c>
      <c r="D97" s="44" t="s">
        <v>517</v>
      </c>
      <c r="E97" s="43" t="s">
        <v>472</v>
      </c>
      <c r="F97" s="45" t="s">
        <v>315</v>
      </c>
      <c r="G97" s="45"/>
      <c r="H97" s="12" t="n">
        <f aca="false">MROUND('Rate Card'!$I$10*O97*P97,10)</f>
        <v>3200</v>
      </c>
      <c r="I97" s="12" t="n">
        <f aca="false">MROUND('Rate Card'!$K$10*O97*P97,10)</f>
        <v>1600</v>
      </c>
      <c r="J97" s="12" t="n">
        <f aca="false">MROUND(H97*4*'Rate Card'!$B$47,100)</f>
        <v>12200</v>
      </c>
      <c r="K97" s="12" t="n">
        <f aca="false">MROUND(I97*4*'Rate Card'!$B$47,100)</f>
        <v>6100</v>
      </c>
      <c r="L97" s="12" t="n">
        <f aca="false">MROUND(H97*120*'Rate Card'!$B$48,500)</f>
        <v>326500</v>
      </c>
      <c r="M97" s="12" t="n">
        <f aca="false">MROUND(I97*120*'Rate Card'!$B$48,500)</f>
        <v>163000</v>
      </c>
      <c r="N97" s="14"/>
      <c r="O97" s="46" t="n">
        <v>0.82</v>
      </c>
      <c r="P97" s="46" t="n">
        <v>1</v>
      </c>
    </row>
    <row r="98" customFormat="false" ht="15" hidden="false" customHeight="true" outlineLevel="0" collapsed="false">
      <c r="A98" s="9" t="n">
        <v>88</v>
      </c>
      <c r="B98" s="43" t="s">
        <v>103</v>
      </c>
      <c r="C98" s="43" t="s">
        <v>499</v>
      </c>
      <c r="D98" s="44" t="s">
        <v>518</v>
      </c>
      <c r="E98" s="43" t="s">
        <v>519</v>
      </c>
      <c r="F98" s="45" t="s">
        <v>380</v>
      </c>
      <c r="G98" s="45"/>
      <c r="H98" s="12" t="n">
        <f aca="false">MROUND('Rate Card'!$I$10*O98*P98,10)</f>
        <v>3200</v>
      </c>
      <c r="I98" s="12" t="n">
        <f aca="false">MROUND('Rate Card'!$K$10*O98*P98,10)</f>
        <v>1600</v>
      </c>
      <c r="J98" s="12" t="n">
        <f aca="false">MROUND(H98*4*'Rate Card'!$B$47,100)</f>
        <v>12200</v>
      </c>
      <c r="K98" s="12" t="n">
        <f aca="false">MROUND(I98*4*'Rate Card'!$B$47,100)</f>
        <v>6100</v>
      </c>
      <c r="L98" s="12" t="n">
        <f aca="false">MROUND(H98*120*'Rate Card'!$B$48,500)</f>
        <v>326500</v>
      </c>
      <c r="M98" s="12" t="n">
        <f aca="false">MROUND(I98*120*'Rate Card'!$B$48,500)</f>
        <v>163000</v>
      </c>
      <c r="N98" s="14"/>
      <c r="O98" s="46" t="n">
        <v>0.82</v>
      </c>
      <c r="P98" s="46" t="n">
        <v>1</v>
      </c>
    </row>
    <row r="99" customFormat="false" ht="15" hidden="false" customHeight="true" outlineLevel="0" collapsed="false">
      <c r="A99" s="9" t="n">
        <v>89</v>
      </c>
      <c r="B99" s="43" t="s">
        <v>103</v>
      </c>
      <c r="C99" s="43" t="s">
        <v>499</v>
      </c>
      <c r="D99" s="44" t="s">
        <v>520</v>
      </c>
      <c r="E99" s="43" t="s">
        <v>519</v>
      </c>
      <c r="F99" s="45" t="s">
        <v>380</v>
      </c>
      <c r="G99" s="45"/>
      <c r="H99" s="12" t="n">
        <f aca="false">MROUND('Rate Card'!$I$10*O99*P99,10)</f>
        <v>3200</v>
      </c>
      <c r="I99" s="12" t="n">
        <f aca="false">MROUND('Rate Card'!$K$10*O99*P99,10)</f>
        <v>1600</v>
      </c>
      <c r="J99" s="12" t="n">
        <f aca="false">MROUND(H99*4*'Rate Card'!$B$47,100)</f>
        <v>12200</v>
      </c>
      <c r="K99" s="12" t="n">
        <f aca="false">MROUND(I99*4*'Rate Card'!$B$47,100)</f>
        <v>6100</v>
      </c>
      <c r="L99" s="12" t="n">
        <f aca="false">MROUND(H99*120*'Rate Card'!$B$48,500)</f>
        <v>326500</v>
      </c>
      <c r="M99" s="12" t="n">
        <f aca="false">MROUND(I99*120*'Rate Card'!$B$48,500)</f>
        <v>163000</v>
      </c>
      <c r="N99" s="14"/>
      <c r="O99" s="46" t="n">
        <v>0.82</v>
      </c>
      <c r="P99" s="46" t="n">
        <v>1</v>
      </c>
    </row>
    <row r="100" customFormat="false" ht="15" hidden="false" customHeight="true" outlineLevel="0" collapsed="false">
      <c r="A100" s="9" t="n">
        <v>90</v>
      </c>
      <c r="B100" s="43" t="s">
        <v>103</v>
      </c>
      <c r="C100" s="43" t="s">
        <v>499</v>
      </c>
      <c r="D100" s="44" t="s">
        <v>521</v>
      </c>
      <c r="E100" s="43" t="s">
        <v>505</v>
      </c>
      <c r="F100" s="45" t="s">
        <v>380</v>
      </c>
      <c r="G100" s="45"/>
      <c r="H100" s="12" t="n">
        <f aca="false">MROUND('Rate Card'!$I$10*O100*P100,10)</f>
        <v>3200</v>
      </c>
      <c r="I100" s="12" t="n">
        <f aca="false">MROUND('Rate Card'!$K$10*O100*P100,10)</f>
        <v>1600</v>
      </c>
      <c r="J100" s="12" t="n">
        <f aca="false">MROUND(H100*4*'Rate Card'!$B$47,100)</f>
        <v>12200</v>
      </c>
      <c r="K100" s="12" t="n">
        <f aca="false">MROUND(I100*4*'Rate Card'!$B$47,100)</f>
        <v>6100</v>
      </c>
      <c r="L100" s="12" t="n">
        <f aca="false">MROUND(H100*120*'Rate Card'!$B$48,500)</f>
        <v>326500</v>
      </c>
      <c r="M100" s="12" t="n">
        <f aca="false">MROUND(I100*120*'Rate Card'!$B$48,500)</f>
        <v>163000</v>
      </c>
      <c r="N100" s="14"/>
      <c r="O100" s="46" t="n">
        <v>0.82</v>
      </c>
      <c r="P100" s="46" t="n">
        <v>1</v>
      </c>
    </row>
    <row r="101" customFormat="false" ht="15" hidden="false" customHeight="true" outlineLevel="0" collapsed="false">
      <c r="A101" s="9" t="n">
        <v>91</v>
      </c>
      <c r="B101" s="43" t="s">
        <v>103</v>
      </c>
      <c r="C101" s="43" t="s">
        <v>499</v>
      </c>
      <c r="D101" s="44" t="s">
        <v>522</v>
      </c>
      <c r="E101" s="43" t="s">
        <v>505</v>
      </c>
      <c r="F101" s="45" t="s">
        <v>380</v>
      </c>
      <c r="G101" s="45"/>
      <c r="H101" s="12" t="n">
        <f aca="false">MROUND('Rate Card'!$I$10*O101*P101,10)</f>
        <v>3200</v>
      </c>
      <c r="I101" s="12" t="n">
        <f aca="false">MROUND('Rate Card'!$K$10*O101*P101,10)</f>
        <v>1600</v>
      </c>
      <c r="J101" s="12" t="n">
        <f aca="false">MROUND(H101*4*'Rate Card'!$B$47,100)</f>
        <v>12200</v>
      </c>
      <c r="K101" s="12" t="n">
        <f aca="false">MROUND(I101*4*'Rate Card'!$B$47,100)</f>
        <v>6100</v>
      </c>
      <c r="L101" s="12" t="n">
        <f aca="false">MROUND(H101*120*'Rate Card'!$B$48,500)</f>
        <v>326500</v>
      </c>
      <c r="M101" s="12" t="n">
        <f aca="false">MROUND(I101*120*'Rate Card'!$B$48,500)</f>
        <v>163000</v>
      </c>
      <c r="N101" s="14"/>
      <c r="O101" s="46" t="n">
        <v>0.82</v>
      </c>
      <c r="P101" s="46" t="n">
        <v>1</v>
      </c>
    </row>
    <row r="102" customFormat="false" ht="15" hidden="false" customHeight="true" outlineLevel="0" collapsed="false">
      <c r="A102" s="9" t="n">
        <v>92</v>
      </c>
      <c r="B102" s="43" t="s">
        <v>103</v>
      </c>
      <c r="C102" s="43" t="s">
        <v>386</v>
      </c>
      <c r="D102" s="44" t="s">
        <v>523</v>
      </c>
      <c r="E102" s="43" t="s">
        <v>524</v>
      </c>
      <c r="F102" s="45" t="s">
        <v>380</v>
      </c>
      <c r="G102" s="45"/>
      <c r="H102" s="12" t="n">
        <f aca="false">MROUND('Rate Card'!$I$10*O102*P102,10)</f>
        <v>3200</v>
      </c>
      <c r="I102" s="12" t="n">
        <f aca="false">MROUND('Rate Card'!$K$10*O102*P102,10)</f>
        <v>1600</v>
      </c>
      <c r="J102" s="12" t="n">
        <f aca="false">MROUND(H102*4*'Rate Card'!$B$47,100)</f>
        <v>12200</v>
      </c>
      <c r="K102" s="12" t="n">
        <f aca="false">MROUND(I102*4*'Rate Card'!$B$47,100)</f>
        <v>6100</v>
      </c>
      <c r="L102" s="12" t="n">
        <f aca="false">MROUND(H102*120*'Rate Card'!$B$48,500)</f>
        <v>326500</v>
      </c>
      <c r="M102" s="12" t="n">
        <f aca="false">MROUND(I102*120*'Rate Card'!$B$48,500)</f>
        <v>163000</v>
      </c>
      <c r="N102" s="14"/>
      <c r="O102" s="46" t="n">
        <v>0.82</v>
      </c>
      <c r="P102" s="46" t="n">
        <v>1</v>
      </c>
    </row>
    <row r="103" customFormat="false" ht="15" hidden="false" customHeight="true" outlineLevel="0" collapsed="false">
      <c r="A103" s="9" t="n">
        <v>93</v>
      </c>
      <c r="B103" s="43" t="s">
        <v>103</v>
      </c>
      <c r="C103" s="43" t="s">
        <v>457</v>
      </c>
      <c r="D103" s="44" t="s">
        <v>525</v>
      </c>
      <c r="E103" s="43" t="s">
        <v>526</v>
      </c>
      <c r="F103" s="45" t="s">
        <v>380</v>
      </c>
      <c r="G103" s="45"/>
      <c r="H103" s="12" t="n">
        <f aca="false">MROUND('Rate Card'!$I$10*O103*P103,10)</f>
        <v>3200</v>
      </c>
      <c r="I103" s="12" t="n">
        <f aca="false">MROUND('Rate Card'!$K$10*O103*P103,10)</f>
        <v>1600</v>
      </c>
      <c r="J103" s="12" t="n">
        <f aca="false">MROUND(H103*4*'Rate Card'!$B$47,100)</f>
        <v>12200</v>
      </c>
      <c r="K103" s="12" t="n">
        <f aca="false">MROUND(I103*4*'Rate Card'!$B$47,100)</f>
        <v>6100</v>
      </c>
      <c r="L103" s="12" t="n">
        <f aca="false">MROUND(H103*120*'Rate Card'!$B$48,500)</f>
        <v>326500</v>
      </c>
      <c r="M103" s="12" t="n">
        <f aca="false">MROUND(I103*120*'Rate Card'!$B$48,500)</f>
        <v>163000</v>
      </c>
      <c r="N103" s="14"/>
      <c r="O103" s="46" t="n">
        <v>0.82</v>
      </c>
      <c r="P103" s="46" t="n">
        <v>1</v>
      </c>
    </row>
    <row r="104" customFormat="false" ht="15" hidden="false" customHeight="true" outlineLevel="0" collapsed="false">
      <c r="A104" s="9" t="n">
        <v>94</v>
      </c>
      <c r="B104" s="43" t="s">
        <v>103</v>
      </c>
      <c r="C104" s="43" t="s">
        <v>457</v>
      </c>
      <c r="D104" s="44" t="s">
        <v>527</v>
      </c>
      <c r="E104" s="43" t="s">
        <v>528</v>
      </c>
      <c r="F104" s="45" t="s">
        <v>380</v>
      </c>
      <c r="G104" s="45"/>
      <c r="H104" s="12" t="n">
        <f aca="false">MROUND('Rate Card'!$I$10*O104*P104,10)</f>
        <v>3200</v>
      </c>
      <c r="I104" s="12" t="n">
        <f aca="false">MROUND('Rate Card'!$K$10*O104*P104,10)</f>
        <v>1600</v>
      </c>
      <c r="J104" s="12" t="n">
        <f aca="false">MROUND(H104*4*'Rate Card'!$B$47,100)</f>
        <v>12200</v>
      </c>
      <c r="K104" s="12" t="n">
        <f aca="false">MROUND(I104*4*'Rate Card'!$B$47,100)</f>
        <v>6100</v>
      </c>
      <c r="L104" s="12" t="n">
        <f aca="false">MROUND(H104*120*'Rate Card'!$B$48,500)</f>
        <v>326500</v>
      </c>
      <c r="M104" s="12" t="n">
        <f aca="false">MROUND(I104*120*'Rate Card'!$B$48,500)</f>
        <v>163000</v>
      </c>
      <c r="N104" s="14"/>
      <c r="O104" s="46" t="n">
        <v>0.82</v>
      </c>
      <c r="P104" s="46" t="n">
        <v>1</v>
      </c>
    </row>
    <row r="105" customFormat="false" ht="15" hidden="false" customHeight="true" outlineLevel="0" collapsed="false">
      <c r="A105" s="9" t="n">
        <v>95</v>
      </c>
      <c r="B105" s="43" t="s">
        <v>103</v>
      </c>
      <c r="C105" s="43" t="s">
        <v>473</v>
      </c>
      <c r="D105" s="44" t="s">
        <v>529</v>
      </c>
      <c r="E105" s="43" t="s">
        <v>530</v>
      </c>
      <c r="F105" s="45" t="s">
        <v>380</v>
      </c>
      <c r="G105" s="45"/>
      <c r="H105" s="12" t="n">
        <f aca="false">MROUND('Rate Card'!$I$10*O105*P105,10)</f>
        <v>3200</v>
      </c>
      <c r="I105" s="12" t="n">
        <f aca="false">MROUND('Rate Card'!$K$10*O105*P105,10)</f>
        <v>1600</v>
      </c>
      <c r="J105" s="12" t="n">
        <f aca="false">MROUND(H105*4*'Rate Card'!$B$47,100)</f>
        <v>12200</v>
      </c>
      <c r="K105" s="12" t="n">
        <f aca="false">MROUND(I105*4*'Rate Card'!$B$47,100)</f>
        <v>6100</v>
      </c>
      <c r="L105" s="12" t="n">
        <f aca="false">MROUND(H105*120*'Rate Card'!$B$48,500)</f>
        <v>326500</v>
      </c>
      <c r="M105" s="12" t="n">
        <f aca="false">MROUND(I105*120*'Rate Card'!$B$48,500)</f>
        <v>163000</v>
      </c>
      <c r="N105" s="14"/>
      <c r="O105" s="46" t="n">
        <v>0.82</v>
      </c>
      <c r="P105" s="46" t="n">
        <v>1</v>
      </c>
    </row>
    <row r="106" customFormat="false" ht="15" hidden="false" customHeight="true" outlineLevel="0" collapsed="false">
      <c r="A106" s="9" t="n">
        <v>96</v>
      </c>
      <c r="B106" s="43" t="s">
        <v>103</v>
      </c>
      <c r="C106" s="43" t="s">
        <v>531</v>
      </c>
      <c r="D106" s="44" t="s">
        <v>532</v>
      </c>
      <c r="E106" s="43" t="s">
        <v>472</v>
      </c>
      <c r="F106" s="45" t="s">
        <v>310</v>
      </c>
      <c r="G106" s="45"/>
      <c r="H106" s="12" t="n">
        <f aca="false">MROUND('Rate Card'!$I$10*O106*P106,10)</f>
        <v>3200</v>
      </c>
      <c r="I106" s="12" t="n">
        <f aca="false">MROUND('Rate Card'!$K$10*O106*P106,10)</f>
        <v>1600</v>
      </c>
      <c r="J106" s="12" t="n">
        <f aca="false">MROUND(H106*4*'Rate Card'!$B$47,100)</f>
        <v>12200</v>
      </c>
      <c r="K106" s="12" t="n">
        <f aca="false">MROUND(I106*4*'Rate Card'!$B$47,100)</f>
        <v>6100</v>
      </c>
      <c r="L106" s="12" t="n">
        <f aca="false">MROUND(H106*120*'Rate Card'!$B$48,500)</f>
        <v>326500</v>
      </c>
      <c r="M106" s="12" t="n">
        <f aca="false">MROUND(I106*120*'Rate Card'!$B$48,500)</f>
        <v>163000</v>
      </c>
      <c r="N106" s="14"/>
      <c r="O106" s="46" t="n">
        <v>0.82</v>
      </c>
      <c r="P106" s="46" t="n">
        <v>1</v>
      </c>
    </row>
    <row r="107" customFormat="false" ht="15" hidden="false" customHeight="true" outlineLevel="0" collapsed="false">
      <c r="A107" s="9" t="n">
        <v>97</v>
      </c>
      <c r="B107" s="43" t="s">
        <v>103</v>
      </c>
      <c r="C107" s="43" t="s">
        <v>499</v>
      </c>
      <c r="D107" s="44" t="s">
        <v>533</v>
      </c>
      <c r="E107" s="43" t="s">
        <v>472</v>
      </c>
      <c r="F107" s="45" t="s">
        <v>380</v>
      </c>
      <c r="G107" s="45"/>
      <c r="H107" s="12" t="n">
        <f aca="false">MROUND('Rate Card'!$I$10*O107*P107,10)</f>
        <v>3200</v>
      </c>
      <c r="I107" s="12" t="n">
        <f aca="false">MROUND('Rate Card'!$K$10*O107*P107,10)</f>
        <v>1600</v>
      </c>
      <c r="J107" s="12" t="n">
        <f aca="false">MROUND(H107*4*'Rate Card'!$B$47,100)</f>
        <v>12200</v>
      </c>
      <c r="K107" s="12" t="n">
        <f aca="false">MROUND(I107*4*'Rate Card'!$B$47,100)</f>
        <v>6100</v>
      </c>
      <c r="L107" s="12" t="n">
        <f aca="false">MROUND(H107*120*'Rate Card'!$B$48,500)</f>
        <v>326500</v>
      </c>
      <c r="M107" s="12" t="n">
        <f aca="false">MROUND(I107*120*'Rate Card'!$B$48,500)</f>
        <v>163000</v>
      </c>
      <c r="N107" s="14"/>
      <c r="O107" s="46" t="n">
        <v>0.82</v>
      </c>
      <c r="P107" s="46" t="n">
        <v>1</v>
      </c>
    </row>
    <row r="108" customFormat="false" ht="15" hidden="false" customHeight="true" outlineLevel="0" collapsed="false">
      <c r="A108" s="9" t="n">
        <v>98</v>
      </c>
      <c r="B108" s="43" t="s">
        <v>103</v>
      </c>
      <c r="C108" s="43" t="s">
        <v>468</v>
      </c>
      <c r="D108" s="44" t="s">
        <v>534</v>
      </c>
      <c r="E108" s="43" t="s">
        <v>472</v>
      </c>
      <c r="F108" s="45" t="s">
        <v>310</v>
      </c>
      <c r="G108" s="45"/>
      <c r="H108" s="12" t="n">
        <f aca="false">MROUND('Rate Card'!$I$10*O108*P108,10)</f>
        <v>3200</v>
      </c>
      <c r="I108" s="12" t="n">
        <f aca="false">MROUND('Rate Card'!$K$10*O108*P108,10)</f>
        <v>1600</v>
      </c>
      <c r="J108" s="12" t="n">
        <f aca="false">MROUND(H108*4*'Rate Card'!$B$47,100)</f>
        <v>12200</v>
      </c>
      <c r="K108" s="12" t="n">
        <f aca="false">MROUND(I108*4*'Rate Card'!$B$47,100)</f>
        <v>6100</v>
      </c>
      <c r="L108" s="12" t="n">
        <f aca="false">MROUND(H108*120*'Rate Card'!$B$48,500)</f>
        <v>326500</v>
      </c>
      <c r="M108" s="12" t="n">
        <f aca="false">MROUND(I108*120*'Rate Card'!$B$48,500)</f>
        <v>163000</v>
      </c>
      <c r="N108" s="14"/>
      <c r="O108" s="46" t="n">
        <v>0.82</v>
      </c>
      <c r="P108" s="46" t="n">
        <v>1</v>
      </c>
    </row>
    <row r="109" customFormat="false" ht="15" hidden="false" customHeight="true" outlineLevel="0" collapsed="false">
      <c r="A109" s="9" t="n">
        <v>99</v>
      </c>
      <c r="B109" s="43" t="s">
        <v>103</v>
      </c>
      <c r="C109" s="43" t="s">
        <v>369</v>
      </c>
      <c r="D109" s="44" t="s">
        <v>535</v>
      </c>
      <c r="E109" s="43" t="s">
        <v>472</v>
      </c>
      <c r="F109" s="45" t="s">
        <v>310</v>
      </c>
      <c r="G109" s="45"/>
      <c r="H109" s="12" t="n">
        <f aca="false">MROUND('Rate Card'!$I$10*O109*P109,10)</f>
        <v>3200</v>
      </c>
      <c r="I109" s="12" t="n">
        <f aca="false">MROUND('Rate Card'!$K$10*O109*P109,10)</f>
        <v>1600</v>
      </c>
      <c r="J109" s="12" t="n">
        <f aca="false">MROUND(H109*4*'Rate Card'!$B$47,100)</f>
        <v>12200</v>
      </c>
      <c r="K109" s="12" t="n">
        <f aca="false">MROUND(I109*4*'Rate Card'!$B$47,100)</f>
        <v>6100</v>
      </c>
      <c r="L109" s="12" t="n">
        <f aca="false">MROUND(H109*120*'Rate Card'!$B$48,500)</f>
        <v>326500</v>
      </c>
      <c r="M109" s="12" t="n">
        <f aca="false">MROUND(I109*120*'Rate Card'!$B$48,500)</f>
        <v>163000</v>
      </c>
      <c r="N109" s="14"/>
      <c r="O109" s="46" t="n">
        <v>0.82</v>
      </c>
      <c r="P109" s="46" t="n">
        <v>1</v>
      </c>
    </row>
    <row r="110" customFormat="false" ht="15" hidden="false" customHeight="true" outlineLevel="0" collapsed="false">
      <c r="A110" s="9" t="n">
        <v>100</v>
      </c>
      <c r="B110" s="43" t="s">
        <v>103</v>
      </c>
      <c r="C110" s="43" t="s">
        <v>476</v>
      </c>
      <c r="D110" s="44" t="s">
        <v>536</v>
      </c>
      <c r="E110" s="43" t="s">
        <v>472</v>
      </c>
      <c r="F110" s="45" t="s">
        <v>389</v>
      </c>
      <c r="G110" s="45"/>
      <c r="H110" s="12" t="n">
        <f aca="false">MROUND('Rate Card'!$I$10*O110*P110,10)</f>
        <v>3200</v>
      </c>
      <c r="I110" s="12" t="n">
        <f aca="false">MROUND('Rate Card'!$K$10*O110*P110,10)</f>
        <v>1600</v>
      </c>
      <c r="J110" s="12" t="n">
        <f aca="false">MROUND(H110*4*'Rate Card'!$B$47,100)</f>
        <v>12200</v>
      </c>
      <c r="K110" s="12" t="n">
        <f aca="false">MROUND(I110*4*'Rate Card'!$B$47,100)</f>
        <v>6100</v>
      </c>
      <c r="L110" s="12" t="n">
        <f aca="false">MROUND(H110*120*'Rate Card'!$B$48,500)</f>
        <v>326500</v>
      </c>
      <c r="M110" s="12" t="n">
        <f aca="false">MROUND(I110*120*'Rate Card'!$B$48,500)</f>
        <v>163000</v>
      </c>
      <c r="N110" s="14"/>
      <c r="O110" s="46" t="n">
        <v>0.82</v>
      </c>
      <c r="P110" s="46" t="n">
        <v>1</v>
      </c>
    </row>
    <row r="111" customFormat="false" ht="15" hidden="false" customHeight="true" outlineLevel="0" collapsed="false">
      <c r="A111" s="9" t="n">
        <v>101</v>
      </c>
      <c r="B111" s="43" t="s">
        <v>103</v>
      </c>
      <c r="C111" s="43" t="s">
        <v>476</v>
      </c>
      <c r="D111" s="44" t="s">
        <v>537</v>
      </c>
      <c r="E111" s="43" t="s">
        <v>472</v>
      </c>
      <c r="F111" s="45" t="s">
        <v>389</v>
      </c>
      <c r="G111" s="45"/>
      <c r="H111" s="12" t="n">
        <f aca="false">MROUND('Rate Card'!$I$10*O111*P111,10)</f>
        <v>3200</v>
      </c>
      <c r="I111" s="12" t="n">
        <f aca="false">MROUND('Rate Card'!$K$10*O111*P111,10)</f>
        <v>1600</v>
      </c>
      <c r="J111" s="12" t="n">
        <f aca="false">MROUND(H111*4*'Rate Card'!$B$47,100)</f>
        <v>12200</v>
      </c>
      <c r="K111" s="12" t="n">
        <f aca="false">MROUND(I111*4*'Rate Card'!$B$47,100)</f>
        <v>6100</v>
      </c>
      <c r="L111" s="12" t="n">
        <f aca="false">MROUND(H111*120*'Rate Card'!$B$48,500)</f>
        <v>326500</v>
      </c>
      <c r="M111" s="12" t="n">
        <f aca="false">MROUND(I111*120*'Rate Card'!$B$48,500)</f>
        <v>163000</v>
      </c>
      <c r="N111" s="14"/>
      <c r="O111" s="46" t="n">
        <v>0.82</v>
      </c>
      <c r="P111" s="46" t="n">
        <v>1</v>
      </c>
    </row>
    <row r="112" customFormat="false" ht="15" hidden="false" customHeight="true" outlineLevel="0" collapsed="false">
      <c r="A112" s="9" t="n">
        <v>102</v>
      </c>
      <c r="B112" s="43" t="s">
        <v>103</v>
      </c>
      <c r="C112" s="43" t="s">
        <v>476</v>
      </c>
      <c r="D112" s="44" t="s">
        <v>538</v>
      </c>
      <c r="E112" s="43" t="s">
        <v>472</v>
      </c>
      <c r="F112" s="45" t="s">
        <v>472</v>
      </c>
      <c r="G112" s="45"/>
      <c r="H112" s="12" t="n">
        <f aca="false">MROUND('Rate Card'!$I$10*O112*P112,10)</f>
        <v>2260</v>
      </c>
      <c r="I112" s="12" t="n">
        <f aca="false">MROUND('Rate Card'!$K$10*O112*P112,10)</f>
        <v>1130</v>
      </c>
      <c r="J112" s="12" t="n">
        <f aca="false">MROUND(H112*4*'Rate Card'!$B$47,100)</f>
        <v>8600</v>
      </c>
      <c r="K112" s="12" t="n">
        <f aca="false">MROUND(I112*4*'Rate Card'!$B$47,100)</f>
        <v>4300</v>
      </c>
      <c r="L112" s="12" t="n">
        <f aca="false">MROUND(H112*120*'Rate Card'!$B$48,500)</f>
        <v>230500</v>
      </c>
      <c r="M112" s="12" t="n">
        <f aca="false">MROUND(I112*120*'Rate Card'!$B$48,500)</f>
        <v>115500</v>
      </c>
      <c r="N112" s="14" t="s">
        <v>486</v>
      </c>
      <c r="O112" s="46" t="n">
        <v>0.58</v>
      </c>
      <c r="P112" s="46" t="n">
        <v>1</v>
      </c>
    </row>
    <row r="113" customFormat="false" ht="15" hidden="false" customHeight="true" outlineLevel="0" collapsed="false">
      <c r="A113" s="9" t="n">
        <v>103</v>
      </c>
      <c r="B113" s="43" t="s">
        <v>103</v>
      </c>
      <c r="C113" s="43" t="s">
        <v>476</v>
      </c>
      <c r="D113" s="44" t="s">
        <v>539</v>
      </c>
      <c r="E113" s="43" t="s">
        <v>472</v>
      </c>
      <c r="F113" s="45" t="s">
        <v>472</v>
      </c>
      <c r="G113" s="45"/>
      <c r="H113" s="12" t="n">
        <f aca="false">MROUND('Rate Card'!$I$10*O113*P113,10)</f>
        <v>2260</v>
      </c>
      <c r="I113" s="12" t="n">
        <f aca="false">MROUND('Rate Card'!$K$10*O113*P113,10)</f>
        <v>1130</v>
      </c>
      <c r="J113" s="12" t="n">
        <f aca="false">MROUND(H113*4*'Rate Card'!$B$47,100)</f>
        <v>8600</v>
      </c>
      <c r="K113" s="12" t="n">
        <f aca="false">MROUND(I113*4*'Rate Card'!$B$47,100)</f>
        <v>4300</v>
      </c>
      <c r="L113" s="12" t="n">
        <f aca="false">MROUND(H113*120*'Rate Card'!$B$48,500)</f>
        <v>230500</v>
      </c>
      <c r="M113" s="12" t="n">
        <f aca="false">MROUND(I113*120*'Rate Card'!$B$48,500)</f>
        <v>115500</v>
      </c>
      <c r="N113" s="14" t="s">
        <v>486</v>
      </c>
      <c r="O113" s="46" t="n">
        <v>0.58</v>
      </c>
      <c r="P113" s="46" t="n">
        <v>1</v>
      </c>
    </row>
    <row r="114" customFormat="false" ht="15" hidden="false" customHeight="true" outlineLevel="0" collapsed="false">
      <c r="A114" s="9" t="n">
        <v>104</v>
      </c>
      <c r="B114" s="43" t="s">
        <v>103</v>
      </c>
      <c r="C114" s="43" t="s">
        <v>476</v>
      </c>
      <c r="D114" s="44" t="s">
        <v>540</v>
      </c>
      <c r="E114" s="43" t="s">
        <v>472</v>
      </c>
      <c r="F114" s="45" t="s">
        <v>472</v>
      </c>
      <c r="G114" s="45"/>
      <c r="H114" s="12" t="n">
        <f aca="false">MROUND('Rate Card'!$I$10*O114*P114,10)</f>
        <v>2260</v>
      </c>
      <c r="I114" s="12" t="n">
        <f aca="false">MROUND('Rate Card'!$K$10*O114*P114,10)</f>
        <v>1130</v>
      </c>
      <c r="J114" s="12" t="n">
        <f aca="false">MROUND(H114*4*'Rate Card'!$B$47,100)</f>
        <v>8600</v>
      </c>
      <c r="K114" s="12" t="n">
        <f aca="false">MROUND(I114*4*'Rate Card'!$B$47,100)</f>
        <v>4300</v>
      </c>
      <c r="L114" s="12" t="n">
        <f aca="false">MROUND(H114*120*'Rate Card'!$B$48,500)</f>
        <v>230500</v>
      </c>
      <c r="M114" s="12" t="n">
        <f aca="false">MROUND(I114*120*'Rate Card'!$B$48,500)</f>
        <v>115500</v>
      </c>
      <c r="N114" s="14" t="s">
        <v>486</v>
      </c>
      <c r="O114" s="46" t="n">
        <v>0.58</v>
      </c>
      <c r="P114" s="46" t="n">
        <v>1</v>
      </c>
    </row>
    <row r="115" customFormat="false" ht="15" hidden="false" customHeight="true" outlineLevel="0" collapsed="false">
      <c r="A115" s="9" t="n">
        <v>105</v>
      </c>
      <c r="B115" s="43" t="s">
        <v>103</v>
      </c>
      <c r="C115" s="43" t="s">
        <v>499</v>
      </c>
      <c r="D115" s="44" t="s">
        <v>541</v>
      </c>
      <c r="E115" s="43" t="s">
        <v>472</v>
      </c>
      <c r="F115" s="45" t="s">
        <v>472</v>
      </c>
      <c r="G115" s="45"/>
      <c r="H115" s="12" t="n">
        <f aca="false">MROUND('Rate Card'!$I$10*O115*P115,10)</f>
        <v>2260</v>
      </c>
      <c r="I115" s="12" t="n">
        <f aca="false">MROUND('Rate Card'!$K$10*O115*P115,10)</f>
        <v>1130</v>
      </c>
      <c r="J115" s="12" t="n">
        <f aca="false">MROUND(H115*4*'Rate Card'!$B$47,100)</f>
        <v>8600</v>
      </c>
      <c r="K115" s="12" t="n">
        <f aca="false">MROUND(I115*4*'Rate Card'!$B$47,100)</f>
        <v>4300</v>
      </c>
      <c r="L115" s="12" t="n">
        <f aca="false">MROUND(H115*120*'Rate Card'!$B$48,500)</f>
        <v>230500</v>
      </c>
      <c r="M115" s="12" t="n">
        <f aca="false">MROUND(I115*120*'Rate Card'!$B$48,500)</f>
        <v>115500</v>
      </c>
      <c r="N115" s="14" t="s">
        <v>486</v>
      </c>
      <c r="O115" s="46" t="n">
        <v>0.58</v>
      </c>
      <c r="P115" s="46" t="n">
        <v>1</v>
      </c>
    </row>
    <row r="116" customFormat="false" ht="15" hidden="false" customHeight="true" outlineLevel="0" collapsed="false">
      <c r="A116" s="9" t="n">
        <v>106</v>
      </c>
      <c r="B116" s="43" t="s">
        <v>103</v>
      </c>
      <c r="C116" s="43" t="s">
        <v>476</v>
      </c>
      <c r="D116" s="44" t="s">
        <v>542</v>
      </c>
      <c r="E116" s="43" t="s">
        <v>472</v>
      </c>
      <c r="F116" s="45" t="s">
        <v>472</v>
      </c>
      <c r="G116" s="45"/>
      <c r="H116" s="12" t="n">
        <f aca="false">MROUND('Rate Card'!$I$10*O116*P116,10)</f>
        <v>2260</v>
      </c>
      <c r="I116" s="12" t="n">
        <f aca="false">MROUND('Rate Card'!$K$10*O116*P116,10)</f>
        <v>1130</v>
      </c>
      <c r="J116" s="12" t="n">
        <f aca="false">MROUND(H116*4*'Rate Card'!$B$47,100)</f>
        <v>8600</v>
      </c>
      <c r="K116" s="12" t="n">
        <f aca="false">MROUND(I116*4*'Rate Card'!$B$47,100)</f>
        <v>4300</v>
      </c>
      <c r="L116" s="12" t="n">
        <f aca="false">MROUND(H116*120*'Rate Card'!$B$48,500)</f>
        <v>230500</v>
      </c>
      <c r="M116" s="12" t="n">
        <f aca="false">MROUND(I116*120*'Rate Card'!$B$48,500)</f>
        <v>115500</v>
      </c>
      <c r="N116" s="14" t="s">
        <v>486</v>
      </c>
      <c r="O116" s="46" t="n">
        <v>0.58</v>
      </c>
      <c r="P116" s="46" t="n">
        <v>1</v>
      </c>
    </row>
    <row r="117" customFormat="false" ht="15" hidden="false" customHeight="true" outlineLevel="0" collapsed="false">
      <c r="A117" s="9" t="n">
        <v>107</v>
      </c>
      <c r="B117" s="43" t="s">
        <v>103</v>
      </c>
      <c r="C117" s="43" t="s">
        <v>506</v>
      </c>
      <c r="D117" s="44" t="s">
        <v>543</v>
      </c>
      <c r="E117" s="43" t="s">
        <v>472</v>
      </c>
      <c r="F117" s="45" t="s">
        <v>472</v>
      </c>
      <c r="G117" s="45"/>
      <c r="H117" s="12" t="n">
        <f aca="false">MROUND('Rate Card'!$I$10*O117*P117,10)</f>
        <v>2260</v>
      </c>
      <c r="I117" s="12" t="n">
        <f aca="false">MROUND('Rate Card'!$K$10*O117*P117,10)</f>
        <v>1130</v>
      </c>
      <c r="J117" s="12" t="n">
        <f aca="false">MROUND(H117*4*'Rate Card'!$B$47,100)</f>
        <v>8600</v>
      </c>
      <c r="K117" s="12" t="n">
        <f aca="false">MROUND(I117*4*'Rate Card'!$B$47,100)</f>
        <v>4300</v>
      </c>
      <c r="L117" s="12" t="n">
        <f aca="false">MROUND(H117*120*'Rate Card'!$B$48,500)</f>
        <v>230500</v>
      </c>
      <c r="M117" s="12" t="n">
        <f aca="false">MROUND(I117*120*'Rate Card'!$B$48,500)</f>
        <v>115500</v>
      </c>
      <c r="N117" s="14" t="s">
        <v>486</v>
      </c>
      <c r="O117" s="46" t="n">
        <v>0.58</v>
      </c>
      <c r="P117" s="46" t="n">
        <v>1</v>
      </c>
    </row>
    <row r="118" customFormat="false" ht="15" hidden="false" customHeight="true" outlineLevel="0" collapsed="false">
      <c r="A118" s="9" t="n">
        <v>108</v>
      </c>
      <c r="B118" s="43" t="s">
        <v>103</v>
      </c>
      <c r="C118" s="43" t="s">
        <v>476</v>
      </c>
      <c r="D118" s="44" t="s">
        <v>544</v>
      </c>
      <c r="E118" s="43" t="s">
        <v>472</v>
      </c>
      <c r="F118" s="45" t="s">
        <v>472</v>
      </c>
      <c r="G118" s="45"/>
      <c r="H118" s="12" t="n">
        <f aca="false">MROUND('Rate Card'!$I$10*O118*P118,10)</f>
        <v>2260</v>
      </c>
      <c r="I118" s="12" t="n">
        <f aca="false">MROUND('Rate Card'!$K$10*O118*P118,10)</f>
        <v>1130</v>
      </c>
      <c r="J118" s="12" t="n">
        <f aca="false">MROUND(H118*4*'Rate Card'!$B$47,100)</f>
        <v>8600</v>
      </c>
      <c r="K118" s="12" t="n">
        <f aca="false">MROUND(I118*4*'Rate Card'!$B$47,100)</f>
        <v>4300</v>
      </c>
      <c r="L118" s="12" t="n">
        <f aca="false">MROUND(H118*120*'Rate Card'!$B$48,500)</f>
        <v>230500</v>
      </c>
      <c r="M118" s="12" t="n">
        <f aca="false">MROUND(I118*120*'Rate Card'!$B$48,500)</f>
        <v>115500</v>
      </c>
      <c r="N118" s="14" t="s">
        <v>486</v>
      </c>
      <c r="O118" s="46" t="n">
        <v>0.58</v>
      </c>
      <c r="P118" s="46" t="n">
        <v>1</v>
      </c>
    </row>
    <row r="119" customFormat="false" ht="15" hidden="false" customHeight="true" outlineLevel="0" collapsed="false">
      <c r="A119" s="9" t="n">
        <v>109</v>
      </c>
      <c r="B119" s="43" t="s">
        <v>103</v>
      </c>
      <c r="C119" s="43" t="s">
        <v>476</v>
      </c>
      <c r="D119" s="44" t="s">
        <v>545</v>
      </c>
      <c r="E119" s="43" t="s">
        <v>472</v>
      </c>
      <c r="F119" s="45" t="s">
        <v>472</v>
      </c>
      <c r="G119" s="45"/>
      <c r="H119" s="12" t="n">
        <f aca="false">MROUND('Rate Card'!$I$10*O119*P119,10)</f>
        <v>2260</v>
      </c>
      <c r="I119" s="12" t="n">
        <f aca="false">MROUND('Rate Card'!$K$10*O119*P119,10)</f>
        <v>1130</v>
      </c>
      <c r="J119" s="12" t="n">
        <f aca="false">MROUND(H119*4*'Rate Card'!$B$47,100)</f>
        <v>8600</v>
      </c>
      <c r="K119" s="12" t="n">
        <f aca="false">MROUND(I119*4*'Rate Card'!$B$47,100)</f>
        <v>4300</v>
      </c>
      <c r="L119" s="12" t="n">
        <f aca="false">MROUND(H119*120*'Rate Card'!$B$48,500)</f>
        <v>230500</v>
      </c>
      <c r="M119" s="12" t="n">
        <f aca="false">MROUND(I119*120*'Rate Card'!$B$48,500)</f>
        <v>115500</v>
      </c>
      <c r="N119" s="14" t="s">
        <v>486</v>
      </c>
      <c r="O119" s="46" t="n">
        <v>0.58</v>
      </c>
      <c r="P119" s="46" t="n">
        <v>1</v>
      </c>
    </row>
    <row r="120" customFormat="false" ht="15" hidden="false" customHeight="true" outlineLevel="0" collapsed="false">
      <c r="A120" s="9" t="n">
        <v>110</v>
      </c>
      <c r="B120" s="43" t="s">
        <v>103</v>
      </c>
      <c r="C120" s="43" t="s">
        <v>476</v>
      </c>
      <c r="D120" s="44" t="s">
        <v>546</v>
      </c>
      <c r="E120" s="43" t="s">
        <v>472</v>
      </c>
      <c r="F120" s="45" t="s">
        <v>472</v>
      </c>
      <c r="G120" s="45"/>
      <c r="H120" s="12" t="n">
        <f aca="false">MROUND('Rate Card'!$I$10*O120*P120,10)</f>
        <v>2260</v>
      </c>
      <c r="I120" s="12" t="n">
        <f aca="false">MROUND('Rate Card'!$K$10*O120*P120,10)</f>
        <v>1130</v>
      </c>
      <c r="J120" s="12" t="n">
        <f aca="false">MROUND(H120*4*'Rate Card'!$B$47,100)</f>
        <v>8600</v>
      </c>
      <c r="K120" s="12" t="n">
        <f aca="false">MROUND(I120*4*'Rate Card'!$B$47,100)</f>
        <v>4300</v>
      </c>
      <c r="L120" s="12" t="n">
        <f aca="false">MROUND(H120*120*'Rate Card'!$B$48,500)</f>
        <v>230500</v>
      </c>
      <c r="M120" s="12" t="n">
        <f aca="false">MROUND(I120*120*'Rate Card'!$B$48,500)</f>
        <v>115500</v>
      </c>
      <c r="N120" s="14" t="s">
        <v>486</v>
      </c>
      <c r="O120" s="46" t="n">
        <v>0.58</v>
      </c>
      <c r="P120" s="46" t="n">
        <v>1</v>
      </c>
    </row>
    <row r="121" customFormat="false" ht="15" hidden="false" customHeight="true" outlineLevel="0" collapsed="false">
      <c r="A121" s="9" t="n">
        <v>111</v>
      </c>
      <c r="B121" s="43" t="s">
        <v>103</v>
      </c>
      <c r="C121" s="43" t="s">
        <v>473</v>
      </c>
      <c r="D121" s="44" t="s">
        <v>547</v>
      </c>
      <c r="E121" s="43" t="s">
        <v>472</v>
      </c>
      <c r="F121" s="45" t="s">
        <v>472</v>
      </c>
      <c r="G121" s="45"/>
      <c r="H121" s="12" t="n">
        <f aca="false">MROUND('Rate Card'!$I$10*O121*P121,10)</f>
        <v>2260</v>
      </c>
      <c r="I121" s="12" t="n">
        <f aca="false">MROUND('Rate Card'!$K$10*O121*P121,10)</f>
        <v>1130</v>
      </c>
      <c r="J121" s="12" t="n">
        <f aca="false">MROUND(H121*4*'Rate Card'!$B$47,100)</f>
        <v>8600</v>
      </c>
      <c r="K121" s="12" t="n">
        <f aca="false">MROUND(I121*4*'Rate Card'!$B$47,100)</f>
        <v>4300</v>
      </c>
      <c r="L121" s="12" t="n">
        <f aca="false">MROUND(H121*120*'Rate Card'!$B$48,500)</f>
        <v>230500</v>
      </c>
      <c r="M121" s="12" t="n">
        <f aca="false">MROUND(I121*120*'Rate Card'!$B$48,500)</f>
        <v>115500</v>
      </c>
      <c r="N121" s="14" t="s">
        <v>486</v>
      </c>
      <c r="O121" s="46" t="n">
        <v>0.58</v>
      </c>
      <c r="P121" s="46" t="n">
        <v>1</v>
      </c>
    </row>
    <row r="122" customFormat="false" ht="15" hidden="false" customHeight="true" outlineLevel="0" collapsed="false">
      <c r="A122" s="9" t="n">
        <v>112</v>
      </c>
      <c r="B122" s="43" t="s">
        <v>103</v>
      </c>
      <c r="C122" s="43" t="s">
        <v>476</v>
      </c>
      <c r="D122" s="44" t="s">
        <v>548</v>
      </c>
      <c r="E122" s="43" t="s">
        <v>472</v>
      </c>
      <c r="F122" s="45" t="s">
        <v>472</v>
      </c>
      <c r="G122" s="45"/>
      <c r="H122" s="12" t="n">
        <f aca="false">MROUND('Rate Card'!$I$10*O122*P122,10)</f>
        <v>2260</v>
      </c>
      <c r="I122" s="12" t="n">
        <f aca="false">MROUND('Rate Card'!$K$10*O122*P122,10)</f>
        <v>1130</v>
      </c>
      <c r="J122" s="12" t="n">
        <f aca="false">MROUND(H122*4*'Rate Card'!$B$47,100)</f>
        <v>8600</v>
      </c>
      <c r="K122" s="12" t="n">
        <f aca="false">MROUND(I122*4*'Rate Card'!$B$47,100)</f>
        <v>4300</v>
      </c>
      <c r="L122" s="12" t="n">
        <f aca="false">MROUND(H122*120*'Rate Card'!$B$48,500)</f>
        <v>230500</v>
      </c>
      <c r="M122" s="12" t="n">
        <f aca="false">MROUND(I122*120*'Rate Card'!$B$48,500)</f>
        <v>115500</v>
      </c>
      <c r="N122" s="14" t="s">
        <v>486</v>
      </c>
      <c r="O122" s="46" t="n">
        <v>0.58</v>
      </c>
      <c r="P122" s="46" t="n">
        <v>1</v>
      </c>
    </row>
    <row r="123" customFormat="false" ht="15" hidden="false" customHeight="true" outlineLevel="0" collapsed="false">
      <c r="A123" s="9" t="n">
        <v>113</v>
      </c>
      <c r="B123" s="43" t="s">
        <v>103</v>
      </c>
      <c r="C123" s="43" t="s">
        <v>476</v>
      </c>
      <c r="D123" s="44" t="s">
        <v>549</v>
      </c>
      <c r="E123" s="43" t="s">
        <v>472</v>
      </c>
      <c r="F123" s="45" t="s">
        <v>472</v>
      </c>
      <c r="G123" s="45"/>
      <c r="H123" s="12" t="n">
        <f aca="false">MROUND('Rate Card'!$I$10*O123*P123,10)</f>
        <v>2260</v>
      </c>
      <c r="I123" s="12" t="n">
        <f aca="false">MROUND('Rate Card'!$K$10*O123*P123,10)</f>
        <v>1130</v>
      </c>
      <c r="J123" s="12" t="n">
        <f aca="false">MROUND(H123*4*'Rate Card'!$B$47,100)</f>
        <v>8600</v>
      </c>
      <c r="K123" s="12" t="n">
        <f aca="false">MROUND(I123*4*'Rate Card'!$B$47,100)</f>
        <v>4300</v>
      </c>
      <c r="L123" s="12" t="n">
        <f aca="false">MROUND(H123*120*'Rate Card'!$B$48,500)</f>
        <v>230500</v>
      </c>
      <c r="M123" s="12" t="n">
        <f aca="false">MROUND(I123*120*'Rate Card'!$B$48,500)</f>
        <v>115500</v>
      </c>
      <c r="N123" s="14" t="s">
        <v>486</v>
      </c>
      <c r="O123" s="46" t="n">
        <v>0.58</v>
      </c>
      <c r="P123" s="46" t="n">
        <v>1</v>
      </c>
    </row>
    <row r="124" customFormat="false" ht="15" hidden="false" customHeight="true" outlineLevel="0" collapsed="false">
      <c r="A124" s="9" t="n">
        <v>114</v>
      </c>
      <c r="B124" s="43" t="s">
        <v>103</v>
      </c>
      <c r="C124" s="43" t="s">
        <v>476</v>
      </c>
      <c r="D124" s="44" t="s">
        <v>550</v>
      </c>
      <c r="E124" s="43" t="s">
        <v>472</v>
      </c>
      <c r="F124" s="45" t="s">
        <v>472</v>
      </c>
      <c r="G124" s="45"/>
      <c r="H124" s="12" t="n">
        <f aca="false">MROUND('Rate Card'!$I$10*O124*P124,10)</f>
        <v>2260</v>
      </c>
      <c r="I124" s="12" t="n">
        <f aca="false">MROUND('Rate Card'!$K$10*O124*P124,10)</f>
        <v>1130</v>
      </c>
      <c r="J124" s="12" t="n">
        <f aca="false">MROUND(H124*4*'Rate Card'!$B$47,100)</f>
        <v>8600</v>
      </c>
      <c r="K124" s="12" t="n">
        <f aca="false">MROUND(I124*4*'Rate Card'!$B$47,100)</f>
        <v>4300</v>
      </c>
      <c r="L124" s="12" t="n">
        <f aca="false">MROUND(H124*120*'Rate Card'!$B$48,500)</f>
        <v>230500</v>
      </c>
      <c r="M124" s="12" t="n">
        <f aca="false">MROUND(I124*120*'Rate Card'!$B$48,500)</f>
        <v>115500</v>
      </c>
      <c r="N124" s="14" t="s">
        <v>486</v>
      </c>
      <c r="O124" s="46" t="n">
        <v>0.58</v>
      </c>
      <c r="P124" s="46" t="n">
        <v>1</v>
      </c>
    </row>
    <row r="125" customFormat="false" ht="15" hidden="false" customHeight="true" outlineLevel="0" collapsed="false">
      <c r="A125" s="9" t="n">
        <v>115</v>
      </c>
      <c r="B125" s="43" t="s">
        <v>103</v>
      </c>
      <c r="C125" s="43" t="s">
        <v>476</v>
      </c>
      <c r="D125" s="44" t="s">
        <v>551</v>
      </c>
      <c r="E125" s="43" t="s">
        <v>472</v>
      </c>
      <c r="F125" s="45" t="s">
        <v>472</v>
      </c>
      <c r="G125" s="45"/>
      <c r="H125" s="12" t="n">
        <f aca="false">MROUND('Rate Card'!$I$10*O125*P125,10)</f>
        <v>2260</v>
      </c>
      <c r="I125" s="12" t="n">
        <f aca="false">MROUND('Rate Card'!$K$10*O125*P125,10)</f>
        <v>1130</v>
      </c>
      <c r="J125" s="12" t="n">
        <f aca="false">MROUND(H125*4*'Rate Card'!$B$47,100)</f>
        <v>8600</v>
      </c>
      <c r="K125" s="12" t="n">
        <f aca="false">MROUND(I125*4*'Rate Card'!$B$47,100)</f>
        <v>4300</v>
      </c>
      <c r="L125" s="12" t="n">
        <f aca="false">MROUND(H125*120*'Rate Card'!$B$48,500)</f>
        <v>230500</v>
      </c>
      <c r="M125" s="12" t="n">
        <f aca="false">MROUND(I125*120*'Rate Card'!$B$48,500)</f>
        <v>115500</v>
      </c>
      <c r="N125" s="14" t="s">
        <v>486</v>
      </c>
      <c r="O125" s="46" t="n">
        <v>0.58</v>
      </c>
      <c r="P125" s="46" t="n">
        <v>1</v>
      </c>
    </row>
    <row r="126" customFormat="false" ht="15" hidden="false" customHeight="true" outlineLevel="0" collapsed="false">
      <c r="A126" s="9" t="n">
        <v>116</v>
      </c>
      <c r="B126" s="43" t="s">
        <v>103</v>
      </c>
      <c r="C126" s="43" t="s">
        <v>476</v>
      </c>
      <c r="D126" s="44" t="s">
        <v>552</v>
      </c>
      <c r="E126" s="43" t="s">
        <v>472</v>
      </c>
      <c r="F126" s="45" t="s">
        <v>472</v>
      </c>
      <c r="G126" s="45"/>
      <c r="H126" s="12" t="n">
        <f aca="false">MROUND('Rate Card'!$I$10*O126*P126,10)</f>
        <v>2260</v>
      </c>
      <c r="I126" s="12" t="n">
        <f aca="false">MROUND('Rate Card'!$K$10*O126*P126,10)</f>
        <v>1130</v>
      </c>
      <c r="J126" s="12" t="n">
        <f aca="false">MROUND(H126*4*'Rate Card'!$B$47,100)</f>
        <v>8600</v>
      </c>
      <c r="K126" s="12" t="n">
        <f aca="false">MROUND(I126*4*'Rate Card'!$B$47,100)</f>
        <v>4300</v>
      </c>
      <c r="L126" s="12" t="n">
        <f aca="false">MROUND(H126*120*'Rate Card'!$B$48,500)</f>
        <v>230500</v>
      </c>
      <c r="M126" s="12" t="n">
        <f aca="false">MROUND(I126*120*'Rate Card'!$B$48,500)</f>
        <v>115500</v>
      </c>
      <c r="N126" s="14" t="s">
        <v>486</v>
      </c>
      <c r="O126" s="46" t="n">
        <v>0.58</v>
      </c>
      <c r="P126" s="46" t="n">
        <v>1</v>
      </c>
    </row>
    <row r="127" customFormat="false" ht="15" hidden="false" customHeight="true" outlineLevel="0" collapsed="false">
      <c r="A127" s="9" t="n">
        <v>117</v>
      </c>
      <c r="B127" s="43" t="s">
        <v>103</v>
      </c>
      <c r="C127" s="43" t="s">
        <v>473</v>
      </c>
      <c r="D127" s="44" t="s">
        <v>553</v>
      </c>
      <c r="E127" s="43" t="s">
        <v>472</v>
      </c>
      <c r="F127" s="45" t="s">
        <v>472</v>
      </c>
      <c r="G127" s="45"/>
      <c r="H127" s="12" t="n">
        <f aca="false">MROUND('Rate Card'!$I$10*O127*P127,10)</f>
        <v>2260</v>
      </c>
      <c r="I127" s="12" t="n">
        <f aca="false">MROUND('Rate Card'!$K$10*O127*P127,10)</f>
        <v>1130</v>
      </c>
      <c r="J127" s="12" t="n">
        <f aca="false">MROUND(H127*4*'Rate Card'!$B$47,100)</f>
        <v>8600</v>
      </c>
      <c r="K127" s="12" t="n">
        <f aca="false">MROUND(I127*4*'Rate Card'!$B$47,100)</f>
        <v>4300</v>
      </c>
      <c r="L127" s="12" t="n">
        <f aca="false">MROUND(H127*120*'Rate Card'!$B$48,500)</f>
        <v>230500</v>
      </c>
      <c r="M127" s="12" t="n">
        <f aca="false">MROUND(I127*120*'Rate Card'!$B$48,500)</f>
        <v>115500</v>
      </c>
      <c r="N127" s="14" t="s">
        <v>486</v>
      </c>
      <c r="O127" s="46" t="n">
        <v>0.58</v>
      </c>
      <c r="P127" s="46" t="n">
        <v>1</v>
      </c>
    </row>
    <row r="128" customFormat="false" ht="15" hidden="false" customHeight="true" outlineLevel="0" collapsed="false">
      <c r="A128" s="9" t="n">
        <v>118</v>
      </c>
      <c r="B128" s="43" t="s">
        <v>103</v>
      </c>
      <c r="C128" s="43" t="s">
        <v>476</v>
      </c>
      <c r="D128" s="44" t="s">
        <v>554</v>
      </c>
      <c r="E128" s="43" t="s">
        <v>472</v>
      </c>
      <c r="F128" s="45" t="s">
        <v>472</v>
      </c>
      <c r="G128" s="45"/>
      <c r="H128" s="12" t="n">
        <f aca="false">MROUND('Rate Card'!$I$10*O128*P128,10)</f>
        <v>2260</v>
      </c>
      <c r="I128" s="12" t="n">
        <f aca="false">MROUND('Rate Card'!$K$10*O128*P128,10)</f>
        <v>1130</v>
      </c>
      <c r="J128" s="12" t="n">
        <f aca="false">MROUND(H128*4*'Rate Card'!$B$47,100)</f>
        <v>8600</v>
      </c>
      <c r="K128" s="12" t="n">
        <f aca="false">MROUND(I128*4*'Rate Card'!$B$47,100)</f>
        <v>4300</v>
      </c>
      <c r="L128" s="12" t="n">
        <f aca="false">MROUND(H128*120*'Rate Card'!$B$48,500)</f>
        <v>230500</v>
      </c>
      <c r="M128" s="12" t="n">
        <f aca="false">MROUND(I128*120*'Rate Card'!$B$48,500)</f>
        <v>115500</v>
      </c>
      <c r="N128" s="14" t="s">
        <v>486</v>
      </c>
      <c r="O128" s="46" t="n">
        <v>0.58</v>
      </c>
      <c r="P128" s="46" t="n">
        <v>1</v>
      </c>
    </row>
    <row r="129" customFormat="false" ht="15" hidden="false" customHeight="true" outlineLevel="0" collapsed="false">
      <c r="A129" s="9" t="n">
        <v>119</v>
      </c>
      <c r="B129" s="43" t="s">
        <v>103</v>
      </c>
      <c r="C129" s="43" t="s">
        <v>476</v>
      </c>
      <c r="D129" s="44" t="s">
        <v>555</v>
      </c>
      <c r="E129" s="43" t="s">
        <v>472</v>
      </c>
      <c r="F129" s="45" t="s">
        <v>472</v>
      </c>
      <c r="G129" s="45"/>
      <c r="H129" s="12" t="n">
        <f aca="false">MROUND('Rate Card'!$I$10*O129*P129,10)</f>
        <v>2260</v>
      </c>
      <c r="I129" s="12" t="n">
        <f aca="false">MROUND('Rate Card'!$K$10*O129*P129,10)</f>
        <v>1130</v>
      </c>
      <c r="J129" s="12" t="n">
        <f aca="false">MROUND(H129*4*'Rate Card'!$B$47,100)</f>
        <v>8600</v>
      </c>
      <c r="K129" s="12" t="n">
        <f aca="false">MROUND(I129*4*'Rate Card'!$B$47,100)</f>
        <v>4300</v>
      </c>
      <c r="L129" s="12" t="n">
        <f aca="false">MROUND(H129*120*'Rate Card'!$B$48,500)</f>
        <v>230500</v>
      </c>
      <c r="M129" s="12" t="n">
        <f aca="false">MROUND(I129*120*'Rate Card'!$B$48,500)</f>
        <v>115500</v>
      </c>
      <c r="N129" s="14" t="s">
        <v>486</v>
      </c>
      <c r="O129" s="46" t="n">
        <v>0.58</v>
      </c>
      <c r="P129" s="46" t="n">
        <v>1</v>
      </c>
    </row>
    <row r="130" customFormat="false" ht="15" hidden="false" customHeight="true" outlineLevel="0" collapsed="false">
      <c r="A130" s="9" t="n">
        <v>120</v>
      </c>
      <c r="B130" s="43" t="s">
        <v>103</v>
      </c>
      <c r="C130" s="43" t="s">
        <v>476</v>
      </c>
      <c r="D130" s="44" t="s">
        <v>556</v>
      </c>
      <c r="E130" s="43" t="s">
        <v>472</v>
      </c>
      <c r="F130" s="45" t="s">
        <v>472</v>
      </c>
      <c r="G130" s="45"/>
      <c r="H130" s="12" t="n">
        <f aca="false">MROUND('Rate Card'!$I$10*O130*P130,10)</f>
        <v>2260</v>
      </c>
      <c r="I130" s="12" t="n">
        <f aca="false">MROUND('Rate Card'!$K$10*O130*P130,10)</f>
        <v>1130</v>
      </c>
      <c r="J130" s="12" t="n">
        <f aca="false">MROUND(H130*4*'Rate Card'!$B$47,100)</f>
        <v>8600</v>
      </c>
      <c r="K130" s="12" t="n">
        <f aca="false">MROUND(I130*4*'Rate Card'!$B$47,100)</f>
        <v>4300</v>
      </c>
      <c r="L130" s="12" t="n">
        <f aca="false">MROUND(H130*120*'Rate Card'!$B$48,500)</f>
        <v>230500</v>
      </c>
      <c r="M130" s="12" t="n">
        <f aca="false">MROUND(I130*120*'Rate Card'!$B$48,500)</f>
        <v>115500</v>
      </c>
      <c r="N130" s="14" t="s">
        <v>486</v>
      </c>
      <c r="O130" s="46" t="n">
        <v>0.58</v>
      </c>
      <c r="P130" s="46" t="n">
        <v>1</v>
      </c>
    </row>
    <row r="131" customFormat="false" ht="15" hidden="false" customHeight="true" outlineLevel="0" collapsed="false">
      <c r="A131" s="9" t="n">
        <v>121</v>
      </c>
      <c r="B131" s="43" t="s">
        <v>103</v>
      </c>
      <c r="C131" s="43" t="s">
        <v>476</v>
      </c>
      <c r="D131" s="44" t="s">
        <v>557</v>
      </c>
      <c r="E131" s="43" t="s">
        <v>472</v>
      </c>
      <c r="F131" s="45" t="s">
        <v>472</v>
      </c>
      <c r="G131" s="45"/>
      <c r="H131" s="12" t="n">
        <f aca="false">MROUND('Rate Card'!$I$10*O131*P131,10)</f>
        <v>2260</v>
      </c>
      <c r="I131" s="12" t="n">
        <f aca="false">MROUND('Rate Card'!$K$10*O131*P131,10)</f>
        <v>1130</v>
      </c>
      <c r="J131" s="12" t="n">
        <f aca="false">MROUND(H131*4*'Rate Card'!$B$47,100)</f>
        <v>8600</v>
      </c>
      <c r="K131" s="12" t="n">
        <f aca="false">MROUND(I131*4*'Rate Card'!$B$47,100)</f>
        <v>4300</v>
      </c>
      <c r="L131" s="12" t="n">
        <f aca="false">MROUND(H131*120*'Rate Card'!$B$48,500)</f>
        <v>230500</v>
      </c>
      <c r="M131" s="12" t="n">
        <f aca="false">MROUND(I131*120*'Rate Card'!$B$48,500)</f>
        <v>115500</v>
      </c>
      <c r="N131" s="14" t="s">
        <v>486</v>
      </c>
      <c r="O131" s="46" t="n">
        <v>0.58</v>
      </c>
      <c r="P131" s="46" t="n">
        <v>1</v>
      </c>
    </row>
    <row r="132" customFormat="false" ht="15" hidden="false" customHeight="true" outlineLevel="0" collapsed="false">
      <c r="A132" s="9" t="n">
        <v>122</v>
      </c>
      <c r="B132" s="43" t="s">
        <v>103</v>
      </c>
      <c r="C132" s="43" t="s">
        <v>476</v>
      </c>
      <c r="D132" s="44" t="s">
        <v>558</v>
      </c>
      <c r="E132" s="43" t="s">
        <v>472</v>
      </c>
      <c r="F132" s="45" t="s">
        <v>472</v>
      </c>
      <c r="G132" s="45"/>
      <c r="H132" s="12" t="n">
        <f aca="false">MROUND('Rate Card'!$I$10*O132*P132,10)</f>
        <v>2260</v>
      </c>
      <c r="I132" s="12" t="n">
        <f aca="false">MROUND('Rate Card'!$K$10*O132*P132,10)</f>
        <v>1130</v>
      </c>
      <c r="J132" s="12" t="n">
        <f aca="false">MROUND(H132*4*'Rate Card'!$B$47,100)</f>
        <v>8600</v>
      </c>
      <c r="K132" s="12" t="n">
        <f aca="false">MROUND(I132*4*'Rate Card'!$B$47,100)</f>
        <v>4300</v>
      </c>
      <c r="L132" s="12" t="n">
        <f aca="false">MROUND(H132*120*'Rate Card'!$B$48,500)</f>
        <v>230500</v>
      </c>
      <c r="M132" s="12" t="n">
        <f aca="false">MROUND(I132*120*'Rate Card'!$B$48,500)</f>
        <v>115500</v>
      </c>
      <c r="N132" s="14" t="s">
        <v>486</v>
      </c>
      <c r="O132" s="46" t="n">
        <v>0.58</v>
      </c>
      <c r="P132" s="46" t="n">
        <v>1</v>
      </c>
    </row>
    <row r="133" customFormat="false" ht="15" hidden="false" customHeight="true" outlineLevel="0" collapsed="false">
      <c r="A133" s="9" t="n">
        <v>123</v>
      </c>
      <c r="B133" s="43" t="s">
        <v>103</v>
      </c>
      <c r="C133" s="43" t="s">
        <v>476</v>
      </c>
      <c r="D133" s="44" t="s">
        <v>559</v>
      </c>
      <c r="E133" s="43" t="s">
        <v>472</v>
      </c>
      <c r="F133" s="45" t="s">
        <v>472</v>
      </c>
      <c r="G133" s="45"/>
      <c r="H133" s="12" t="n">
        <f aca="false">MROUND('Rate Card'!$I$10*O133*P133,10)</f>
        <v>2260</v>
      </c>
      <c r="I133" s="12" t="n">
        <f aca="false">MROUND('Rate Card'!$K$10*O133*P133,10)</f>
        <v>1130</v>
      </c>
      <c r="J133" s="12" t="n">
        <f aca="false">MROUND(H133*4*'Rate Card'!$B$47,100)</f>
        <v>8600</v>
      </c>
      <c r="K133" s="12" t="n">
        <f aca="false">MROUND(I133*4*'Rate Card'!$B$47,100)</f>
        <v>4300</v>
      </c>
      <c r="L133" s="12" t="n">
        <f aca="false">MROUND(H133*120*'Rate Card'!$B$48,500)</f>
        <v>230500</v>
      </c>
      <c r="M133" s="12" t="n">
        <f aca="false">MROUND(I133*120*'Rate Card'!$B$48,500)</f>
        <v>115500</v>
      </c>
      <c r="N133" s="14" t="s">
        <v>486</v>
      </c>
      <c r="O133" s="46" t="n">
        <v>0.58</v>
      </c>
      <c r="P133" s="46" t="n">
        <v>1</v>
      </c>
    </row>
    <row r="134" customFormat="false" ht="15" hidden="false" customHeight="true" outlineLevel="0" collapsed="false">
      <c r="A134" s="9" t="n">
        <v>124</v>
      </c>
      <c r="B134" s="43" t="s">
        <v>103</v>
      </c>
      <c r="C134" s="43" t="s">
        <v>476</v>
      </c>
      <c r="D134" s="44" t="s">
        <v>560</v>
      </c>
      <c r="E134" s="43" t="s">
        <v>472</v>
      </c>
      <c r="F134" s="45" t="s">
        <v>472</v>
      </c>
      <c r="G134" s="45"/>
      <c r="H134" s="12" t="n">
        <f aca="false">MROUND('Rate Card'!$I$10*O134*P134,10)</f>
        <v>2260</v>
      </c>
      <c r="I134" s="12" t="n">
        <f aca="false">MROUND('Rate Card'!$K$10*O134*P134,10)</f>
        <v>1130</v>
      </c>
      <c r="J134" s="12" t="n">
        <f aca="false">MROUND(H134*4*'Rate Card'!$B$47,100)</f>
        <v>8600</v>
      </c>
      <c r="K134" s="12" t="n">
        <f aca="false">MROUND(I134*4*'Rate Card'!$B$47,100)</f>
        <v>4300</v>
      </c>
      <c r="L134" s="12" t="n">
        <f aca="false">MROUND(H134*120*'Rate Card'!$B$48,500)</f>
        <v>230500</v>
      </c>
      <c r="M134" s="12" t="n">
        <f aca="false">MROUND(I134*120*'Rate Card'!$B$48,500)</f>
        <v>115500</v>
      </c>
      <c r="N134" s="14" t="s">
        <v>486</v>
      </c>
      <c r="O134" s="46" t="n">
        <v>0.58</v>
      </c>
      <c r="P134" s="46" t="n">
        <v>1</v>
      </c>
    </row>
    <row r="135" customFormat="false" ht="15" hidden="false" customHeight="true" outlineLevel="0" collapsed="false">
      <c r="A135" s="9" t="n">
        <v>125</v>
      </c>
      <c r="B135" s="43" t="s">
        <v>103</v>
      </c>
      <c r="C135" s="43" t="s">
        <v>476</v>
      </c>
      <c r="D135" s="44" t="s">
        <v>561</v>
      </c>
      <c r="E135" s="43" t="s">
        <v>472</v>
      </c>
      <c r="F135" s="45" t="s">
        <v>472</v>
      </c>
      <c r="G135" s="45"/>
      <c r="H135" s="12" t="n">
        <f aca="false">MROUND('Rate Card'!$I$10*O135*P135,10)</f>
        <v>2260</v>
      </c>
      <c r="I135" s="12" t="n">
        <f aca="false">MROUND('Rate Card'!$K$10*O135*P135,10)</f>
        <v>1130</v>
      </c>
      <c r="J135" s="12" t="n">
        <f aca="false">MROUND(H135*4*'Rate Card'!$B$47,100)</f>
        <v>8600</v>
      </c>
      <c r="K135" s="12" t="n">
        <f aca="false">MROUND(I135*4*'Rate Card'!$B$47,100)</f>
        <v>4300</v>
      </c>
      <c r="L135" s="12" t="n">
        <f aca="false">MROUND(H135*120*'Rate Card'!$B$48,500)</f>
        <v>230500</v>
      </c>
      <c r="M135" s="12" t="n">
        <f aca="false">MROUND(I135*120*'Rate Card'!$B$48,500)</f>
        <v>115500</v>
      </c>
      <c r="N135" s="14" t="s">
        <v>486</v>
      </c>
      <c r="O135" s="46" t="n">
        <v>0.58</v>
      </c>
      <c r="P135" s="46" t="n">
        <v>1</v>
      </c>
    </row>
    <row r="136" customFormat="false" ht="15" hidden="false" customHeight="true" outlineLevel="0" collapsed="false">
      <c r="A136" s="9" t="n">
        <v>126</v>
      </c>
      <c r="B136" s="43" t="s">
        <v>103</v>
      </c>
      <c r="C136" s="43" t="s">
        <v>476</v>
      </c>
      <c r="D136" s="44" t="s">
        <v>562</v>
      </c>
      <c r="E136" s="43" t="s">
        <v>472</v>
      </c>
      <c r="F136" s="45" t="s">
        <v>472</v>
      </c>
      <c r="G136" s="45"/>
      <c r="H136" s="12" t="n">
        <f aca="false">MROUND('Rate Card'!$I$10*O136*P136,10)</f>
        <v>2260</v>
      </c>
      <c r="I136" s="12" t="n">
        <f aca="false">MROUND('Rate Card'!$K$10*O136*P136,10)</f>
        <v>1130</v>
      </c>
      <c r="J136" s="12" t="n">
        <f aca="false">MROUND(H136*4*'Rate Card'!$B$47,100)</f>
        <v>8600</v>
      </c>
      <c r="K136" s="12" t="n">
        <f aca="false">MROUND(I136*4*'Rate Card'!$B$47,100)</f>
        <v>4300</v>
      </c>
      <c r="L136" s="12" t="n">
        <f aca="false">MROUND(H136*120*'Rate Card'!$B$48,500)</f>
        <v>230500</v>
      </c>
      <c r="M136" s="12" t="n">
        <f aca="false">MROUND(I136*120*'Rate Card'!$B$48,500)</f>
        <v>115500</v>
      </c>
      <c r="N136" s="14" t="s">
        <v>486</v>
      </c>
      <c r="O136" s="46" t="n">
        <v>0.58</v>
      </c>
      <c r="P136" s="46" t="n">
        <v>1</v>
      </c>
    </row>
    <row r="137" customFormat="false" ht="15" hidden="false" customHeight="true" outlineLevel="0" collapsed="false">
      <c r="A137" s="9" t="n">
        <v>127</v>
      </c>
      <c r="B137" s="43" t="s">
        <v>103</v>
      </c>
      <c r="C137" s="43" t="s">
        <v>476</v>
      </c>
      <c r="D137" s="44" t="s">
        <v>563</v>
      </c>
      <c r="E137" s="43" t="s">
        <v>472</v>
      </c>
      <c r="F137" s="45" t="s">
        <v>472</v>
      </c>
      <c r="G137" s="45"/>
      <c r="H137" s="12" t="n">
        <f aca="false">MROUND('Rate Card'!$I$10*O137*P137,10)</f>
        <v>2260</v>
      </c>
      <c r="I137" s="12" t="n">
        <f aca="false">MROUND('Rate Card'!$K$10*O137*P137,10)</f>
        <v>1130</v>
      </c>
      <c r="J137" s="12" t="n">
        <f aca="false">MROUND(H137*4*'Rate Card'!$B$47,100)</f>
        <v>8600</v>
      </c>
      <c r="K137" s="12" t="n">
        <f aca="false">MROUND(I137*4*'Rate Card'!$B$47,100)</f>
        <v>4300</v>
      </c>
      <c r="L137" s="12" t="n">
        <f aca="false">MROUND(H137*120*'Rate Card'!$B$48,500)</f>
        <v>230500</v>
      </c>
      <c r="M137" s="12" t="n">
        <f aca="false">MROUND(I137*120*'Rate Card'!$B$48,500)</f>
        <v>115500</v>
      </c>
      <c r="N137" s="14" t="s">
        <v>486</v>
      </c>
      <c r="O137" s="46" t="n">
        <v>0.58</v>
      </c>
      <c r="P137" s="46" t="n">
        <v>1</v>
      </c>
    </row>
    <row r="138" customFormat="false" ht="15" hidden="false" customHeight="true" outlineLevel="0" collapsed="false">
      <c r="A138" s="9" t="n">
        <v>128</v>
      </c>
      <c r="B138" s="43" t="s">
        <v>103</v>
      </c>
      <c r="C138" s="43" t="s">
        <v>476</v>
      </c>
      <c r="D138" s="44" t="s">
        <v>564</v>
      </c>
      <c r="E138" s="43" t="s">
        <v>565</v>
      </c>
      <c r="F138" s="45" t="s">
        <v>472</v>
      </c>
      <c r="G138" s="45"/>
      <c r="H138" s="12" t="n">
        <f aca="false">MROUND('Rate Card'!$I$10*O138*P138,10)</f>
        <v>2260</v>
      </c>
      <c r="I138" s="12" t="n">
        <f aca="false">MROUND('Rate Card'!$K$10*O138*P138,10)</f>
        <v>1130</v>
      </c>
      <c r="J138" s="12" t="n">
        <f aca="false">MROUND(H138*4*'Rate Card'!$B$47,100)</f>
        <v>8600</v>
      </c>
      <c r="K138" s="12" t="n">
        <f aca="false">MROUND(I138*4*'Rate Card'!$B$47,100)</f>
        <v>4300</v>
      </c>
      <c r="L138" s="12" t="n">
        <f aca="false">MROUND(H138*120*'Rate Card'!$B$48,500)</f>
        <v>230500</v>
      </c>
      <c r="M138" s="12" t="n">
        <f aca="false">MROUND(I138*120*'Rate Card'!$B$48,500)</f>
        <v>115500</v>
      </c>
      <c r="N138" s="14" t="s">
        <v>486</v>
      </c>
      <c r="O138" s="46" t="n">
        <v>0.58</v>
      </c>
      <c r="P138" s="46" t="n">
        <v>1</v>
      </c>
    </row>
    <row r="139" customFormat="false" ht="15" hidden="false" customHeight="true" outlineLevel="0" collapsed="false">
      <c r="A139" s="9" t="n">
        <v>129</v>
      </c>
      <c r="B139" s="43" t="s">
        <v>103</v>
      </c>
      <c r="C139" s="43" t="s">
        <v>476</v>
      </c>
      <c r="D139" s="44" t="s">
        <v>566</v>
      </c>
      <c r="E139" s="43" t="s">
        <v>565</v>
      </c>
      <c r="F139" s="45" t="s">
        <v>472</v>
      </c>
      <c r="G139" s="45"/>
      <c r="H139" s="12" t="n">
        <f aca="false">MROUND('Rate Card'!$I$10*O139*P139,10)</f>
        <v>2260</v>
      </c>
      <c r="I139" s="12" t="n">
        <f aca="false">MROUND('Rate Card'!$K$10*O139*P139,10)</f>
        <v>1130</v>
      </c>
      <c r="J139" s="12" t="n">
        <f aca="false">MROUND(H139*4*'Rate Card'!$B$47,100)</f>
        <v>8600</v>
      </c>
      <c r="K139" s="12" t="n">
        <f aca="false">MROUND(I139*4*'Rate Card'!$B$47,100)</f>
        <v>4300</v>
      </c>
      <c r="L139" s="12" t="n">
        <f aca="false">MROUND(H139*120*'Rate Card'!$B$48,500)</f>
        <v>230500</v>
      </c>
      <c r="M139" s="12" t="n">
        <f aca="false">MROUND(I139*120*'Rate Card'!$B$48,500)</f>
        <v>115500</v>
      </c>
      <c r="N139" s="14" t="s">
        <v>486</v>
      </c>
      <c r="O139" s="46" t="n">
        <v>0.58</v>
      </c>
      <c r="P139" s="46" t="n">
        <v>1</v>
      </c>
    </row>
    <row r="140" customFormat="false" ht="15" hidden="false" customHeight="true" outlineLevel="0" collapsed="false">
      <c r="A140" s="9" t="n">
        <v>130</v>
      </c>
      <c r="B140" s="43" t="s">
        <v>103</v>
      </c>
      <c r="C140" s="43" t="s">
        <v>476</v>
      </c>
      <c r="D140" s="44" t="s">
        <v>567</v>
      </c>
      <c r="E140" s="43" t="s">
        <v>565</v>
      </c>
      <c r="F140" s="45" t="s">
        <v>472</v>
      </c>
      <c r="G140" s="45"/>
      <c r="H140" s="12" t="n">
        <f aca="false">MROUND('Rate Card'!$I$10*O140*P140,10)</f>
        <v>2260</v>
      </c>
      <c r="I140" s="12" t="n">
        <f aca="false">MROUND('Rate Card'!$K$10*O140*P140,10)</f>
        <v>1130</v>
      </c>
      <c r="J140" s="12" t="n">
        <f aca="false">MROUND(H140*4*'Rate Card'!$B$47,100)</f>
        <v>8600</v>
      </c>
      <c r="K140" s="12" t="n">
        <f aca="false">MROUND(I140*4*'Rate Card'!$B$47,100)</f>
        <v>4300</v>
      </c>
      <c r="L140" s="12" t="n">
        <f aca="false">MROUND(H140*120*'Rate Card'!$B$48,500)</f>
        <v>230500</v>
      </c>
      <c r="M140" s="12" t="n">
        <f aca="false">MROUND(I140*120*'Rate Card'!$B$48,500)</f>
        <v>115500</v>
      </c>
      <c r="N140" s="14" t="s">
        <v>486</v>
      </c>
      <c r="O140" s="46" t="n">
        <v>0.58</v>
      </c>
      <c r="P140" s="46" t="n">
        <v>1</v>
      </c>
    </row>
    <row r="141" customFormat="false" ht="15" hidden="false" customHeight="true" outlineLevel="0" collapsed="false">
      <c r="A141" s="9" t="n">
        <v>131</v>
      </c>
      <c r="B141" s="43" t="s">
        <v>103</v>
      </c>
      <c r="C141" s="43" t="s">
        <v>476</v>
      </c>
      <c r="D141" s="44" t="s">
        <v>568</v>
      </c>
      <c r="E141" s="43" t="s">
        <v>565</v>
      </c>
      <c r="F141" s="45" t="s">
        <v>472</v>
      </c>
      <c r="G141" s="45"/>
      <c r="H141" s="12" t="n">
        <f aca="false">MROUND('Rate Card'!$I$10*O141*P141,10)</f>
        <v>2260</v>
      </c>
      <c r="I141" s="12" t="n">
        <f aca="false">MROUND('Rate Card'!$K$10*O141*P141,10)</f>
        <v>1130</v>
      </c>
      <c r="J141" s="12" t="n">
        <f aca="false">MROUND(H141*4*'Rate Card'!$B$47,100)</f>
        <v>8600</v>
      </c>
      <c r="K141" s="12" t="n">
        <f aca="false">MROUND(I141*4*'Rate Card'!$B$47,100)</f>
        <v>4300</v>
      </c>
      <c r="L141" s="12" t="n">
        <f aca="false">MROUND(H141*120*'Rate Card'!$B$48,500)</f>
        <v>230500</v>
      </c>
      <c r="M141" s="12" t="n">
        <f aca="false">MROUND(I141*120*'Rate Card'!$B$48,500)</f>
        <v>115500</v>
      </c>
      <c r="N141" s="14" t="s">
        <v>486</v>
      </c>
      <c r="O141" s="46" t="n">
        <v>0.58</v>
      </c>
      <c r="P141" s="46" t="n">
        <v>1</v>
      </c>
    </row>
    <row r="142" customFormat="false" ht="15" hidden="false" customHeight="true" outlineLevel="0" collapsed="false">
      <c r="A142" s="9" t="n">
        <v>132</v>
      </c>
      <c r="B142" s="43" t="s">
        <v>103</v>
      </c>
      <c r="C142" s="43" t="s">
        <v>476</v>
      </c>
      <c r="D142" s="44" t="s">
        <v>569</v>
      </c>
      <c r="E142" s="43" t="s">
        <v>565</v>
      </c>
      <c r="F142" s="45" t="s">
        <v>472</v>
      </c>
      <c r="G142" s="45"/>
      <c r="H142" s="12" t="n">
        <f aca="false">MROUND('Rate Card'!$I$10*O142*P142,10)</f>
        <v>2260</v>
      </c>
      <c r="I142" s="12" t="n">
        <f aca="false">MROUND('Rate Card'!$K$10*O142*P142,10)</f>
        <v>1130</v>
      </c>
      <c r="J142" s="12" t="n">
        <f aca="false">MROUND(H142*4*'Rate Card'!$B$47,100)</f>
        <v>8600</v>
      </c>
      <c r="K142" s="12" t="n">
        <f aca="false">MROUND(I142*4*'Rate Card'!$B$47,100)</f>
        <v>4300</v>
      </c>
      <c r="L142" s="12" t="n">
        <f aca="false">MROUND(H142*120*'Rate Card'!$B$48,500)</f>
        <v>230500</v>
      </c>
      <c r="M142" s="12" t="n">
        <f aca="false">MROUND(I142*120*'Rate Card'!$B$48,500)</f>
        <v>115500</v>
      </c>
      <c r="N142" s="14" t="s">
        <v>486</v>
      </c>
      <c r="O142" s="46" t="n">
        <v>0.58</v>
      </c>
      <c r="P142" s="46" t="n">
        <v>1</v>
      </c>
    </row>
    <row r="143" customFormat="false" ht="15" hidden="false" customHeight="true" outlineLevel="0" collapsed="false">
      <c r="A143" s="9" t="n">
        <v>133</v>
      </c>
      <c r="B143" s="43" t="s">
        <v>103</v>
      </c>
      <c r="C143" s="43" t="s">
        <v>476</v>
      </c>
      <c r="D143" s="44" t="s">
        <v>570</v>
      </c>
      <c r="E143" s="43" t="s">
        <v>565</v>
      </c>
      <c r="F143" s="45" t="s">
        <v>472</v>
      </c>
      <c r="G143" s="45"/>
      <c r="H143" s="12" t="n">
        <f aca="false">MROUND('Rate Card'!$I$10*O143*P143,10)</f>
        <v>2260</v>
      </c>
      <c r="I143" s="12" t="n">
        <f aca="false">MROUND('Rate Card'!$K$10*O143*P143,10)</f>
        <v>1130</v>
      </c>
      <c r="J143" s="12" t="n">
        <f aca="false">MROUND(H143*4*'Rate Card'!$B$47,100)</f>
        <v>8600</v>
      </c>
      <c r="K143" s="12" t="n">
        <f aca="false">MROUND(I143*4*'Rate Card'!$B$47,100)</f>
        <v>4300</v>
      </c>
      <c r="L143" s="12" t="n">
        <f aca="false">MROUND(H143*120*'Rate Card'!$B$48,500)</f>
        <v>230500</v>
      </c>
      <c r="M143" s="12" t="n">
        <f aca="false">MROUND(I143*120*'Rate Card'!$B$48,500)</f>
        <v>115500</v>
      </c>
      <c r="N143" s="14" t="s">
        <v>486</v>
      </c>
      <c r="O143" s="46" t="n">
        <v>0.58</v>
      </c>
      <c r="P143" s="46" t="n">
        <v>1</v>
      </c>
    </row>
    <row r="144" customFormat="false" ht="15" hidden="false" customHeight="true" outlineLevel="0" collapsed="false">
      <c r="A144" s="9" t="n">
        <v>134</v>
      </c>
      <c r="B144" s="43" t="s">
        <v>103</v>
      </c>
      <c r="C144" s="43" t="s">
        <v>476</v>
      </c>
      <c r="D144" s="44" t="s">
        <v>571</v>
      </c>
      <c r="E144" s="43" t="s">
        <v>565</v>
      </c>
      <c r="F144" s="45" t="s">
        <v>472</v>
      </c>
      <c r="G144" s="45"/>
      <c r="H144" s="12" t="n">
        <f aca="false">MROUND('Rate Card'!$I$10*O144*P144,10)</f>
        <v>2260</v>
      </c>
      <c r="I144" s="12" t="n">
        <f aca="false">MROUND('Rate Card'!$K$10*O144*P144,10)</f>
        <v>1130</v>
      </c>
      <c r="J144" s="12" t="n">
        <f aca="false">MROUND(H144*4*'Rate Card'!$B$47,100)</f>
        <v>8600</v>
      </c>
      <c r="K144" s="12" t="n">
        <f aca="false">MROUND(I144*4*'Rate Card'!$B$47,100)</f>
        <v>4300</v>
      </c>
      <c r="L144" s="12" t="n">
        <f aca="false">MROUND(H144*120*'Rate Card'!$B$48,500)</f>
        <v>230500</v>
      </c>
      <c r="M144" s="12" t="n">
        <f aca="false">MROUND(I144*120*'Rate Card'!$B$48,500)</f>
        <v>115500</v>
      </c>
      <c r="N144" s="14" t="s">
        <v>486</v>
      </c>
      <c r="O144" s="46" t="n">
        <v>0.58</v>
      </c>
      <c r="P144" s="46" t="n">
        <v>1</v>
      </c>
    </row>
    <row r="145" customFormat="false" ht="15" hidden="false" customHeight="true" outlineLevel="0" collapsed="false">
      <c r="A145" s="9" t="n">
        <v>135</v>
      </c>
      <c r="B145" s="43" t="s">
        <v>103</v>
      </c>
      <c r="C145" s="43" t="s">
        <v>476</v>
      </c>
      <c r="D145" s="44" t="s">
        <v>572</v>
      </c>
      <c r="E145" s="43" t="s">
        <v>565</v>
      </c>
      <c r="F145" s="45" t="s">
        <v>472</v>
      </c>
      <c r="G145" s="45"/>
      <c r="H145" s="12" t="n">
        <f aca="false">MROUND('Rate Card'!$I$10*O145*P145,10)</f>
        <v>2260</v>
      </c>
      <c r="I145" s="12" t="n">
        <f aca="false">MROUND('Rate Card'!$K$10*O145*P145,10)</f>
        <v>1130</v>
      </c>
      <c r="J145" s="12" t="n">
        <f aca="false">MROUND(H145*4*'Rate Card'!$B$47,100)</f>
        <v>8600</v>
      </c>
      <c r="K145" s="12" t="n">
        <f aca="false">MROUND(I145*4*'Rate Card'!$B$47,100)</f>
        <v>4300</v>
      </c>
      <c r="L145" s="12" t="n">
        <f aca="false">MROUND(H145*120*'Rate Card'!$B$48,500)</f>
        <v>230500</v>
      </c>
      <c r="M145" s="12" t="n">
        <f aca="false">MROUND(I145*120*'Rate Card'!$B$48,500)</f>
        <v>115500</v>
      </c>
      <c r="N145" s="14" t="s">
        <v>486</v>
      </c>
      <c r="O145" s="46" t="n">
        <v>0.58</v>
      </c>
      <c r="P145" s="46" t="n">
        <v>1</v>
      </c>
    </row>
    <row r="146" customFormat="false" ht="15" hidden="false" customHeight="true" outlineLevel="0" collapsed="false">
      <c r="A146" s="9" t="n">
        <v>136</v>
      </c>
      <c r="B146" s="43" t="s">
        <v>103</v>
      </c>
      <c r="C146" s="43" t="s">
        <v>476</v>
      </c>
      <c r="D146" s="44" t="s">
        <v>573</v>
      </c>
      <c r="E146" s="43" t="s">
        <v>565</v>
      </c>
      <c r="F146" s="45" t="s">
        <v>472</v>
      </c>
      <c r="G146" s="45"/>
      <c r="H146" s="12" t="n">
        <f aca="false">MROUND('Rate Card'!$I$10*O146*P146,10)</f>
        <v>2260</v>
      </c>
      <c r="I146" s="12" t="n">
        <f aca="false">MROUND('Rate Card'!$K$10*O146*P146,10)</f>
        <v>1130</v>
      </c>
      <c r="J146" s="12" t="n">
        <f aca="false">MROUND(H146*4*'Rate Card'!$B$47,100)</f>
        <v>8600</v>
      </c>
      <c r="K146" s="12" t="n">
        <f aca="false">MROUND(I146*4*'Rate Card'!$B$47,100)</f>
        <v>4300</v>
      </c>
      <c r="L146" s="12" t="n">
        <f aca="false">MROUND(H146*120*'Rate Card'!$B$48,500)</f>
        <v>230500</v>
      </c>
      <c r="M146" s="12" t="n">
        <f aca="false">MROUND(I146*120*'Rate Card'!$B$48,500)</f>
        <v>115500</v>
      </c>
      <c r="N146" s="14" t="s">
        <v>486</v>
      </c>
      <c r="O146" s="46" t="n">
        <v>0.58</v>
      </c>
      <c r="P146" s="46" t="n">
        <v>1</v>
      </c>
    </row>
    <row r="147" customFormat="false" ht="15" hidden="false" customHeight="true" outlineLevel="0" collapsed="false">
      <c r="A147" s="9" t="n">
        <v>137</v>
      </c>
      <c r="B147" s="43" t="s">
        <v>103</v>
      </c>
      <c r="C147" s="43" t="s">
        <v>476</v>
      </c>
      <c r="D147" s="44" t="s">
        <v>574</v>
      </c>
      <c r="E147" s="43" t="s">
        <v>565</v>
      </c>
      <c r="F147" s="45" t="s">
        <v>472</v>
      </c>
      <c r="G147" s="45"/>
      <c r="H147" s="12" t="n">
        <f aca="false">MROUND('Rate Card'!$I$10*O147*P147,10)</f>
        <v>2260</v>
      </c>
      <c r="I147" s="12" t="n">
        <f aca="false">MROUND('Rate Card'!$K$10*O147*P147,10)</f>
        <v>1130</v>
      </c>
      <c r="J147" s="12" t="n">
        <f aca="false">MROUND(H147*4*'Rate Card'!$B$47,100)</f>
        <v>8600</v>
      </c>
      <c r="K147" s="12" t="n">
        <f aca="false">MROUND(I147*4*'Rate Card'!$B$47,100)</f>
        <v>4300</v>
      </c>
      <c r="L147" s="12" t="n">
        <f aca="false">MROUND(H147*120*'Rate Card'!$B$48,500)</f>
        <v>230500</v>
      </c>
      <c r="M147" s="12" t="n">
        <f aca="false">MROUND(I147*120*'Rate Card'!$B$48,500)</f>
        <v>115500</v>
      </c>
      <c r="N147" s="14" t="s">
        <v>486</v>
      </c>
      <c r="O147" s="46" t="n">
        <v>0.58</v>
      </c>
      <c r="P147" s="46" t="n">
        <v>1</v>
      </c>
    </row>
    <row r="148" customFormat="false" ht="15" hidden="false" customHeight="true" outlineLevel="0" collapsed="false">
      <c r="A148" s="9" t="n">
        <v>138</v>
      </c>
      <c r="B148" s="43" t="s">
        <v>103</v>
      </c>
      <c r="C148" s="43" t="s">
        <v>476</v>
      </c>
      <c r="D148" s="44" t="s">
        <v>575</v>
      </c>
      <c r="E148" s="43" t="s">
        <v>565</v>
      </c>
      <c r="F148" s="45" t="s">
        <v>472</v>
      </c>
      <c r="G148" s="45"/>
      <c r="H148" s="12" t="n">
        <f aca="false">MROUND('Rate Card'!$I$10*O148*P148,10)</f>
        <v>2260</v>
      </c>
      <c r="I148" s="12" t="n">
        <f aca="false">MROUND('Rate Card'!$K$10*O148*P148,10)</f>
        <v>1130</v>
      </c>
      <c r="J148" s="12" t="n">
        <f aca="false">MROUND(H148*4*'Rate Card'!$B$47,100)</f>
        <v>8600</v>
      </c>
      <c r="K148" s="12" t="n">
        <f aca="false">MROUND(I148*4*'Rate Card'!$B$47,100)</f>
        <v>4300</v>
      </c>
      <c r="L148" s="12" t="n">
        <f aca="false">MROUND(H148*120*'Rate Card'!$B$48,500)</f>
        <v>230500</v>
      </c>
      <c r="M148" s="12" t="n">
        <f aca="false">MROUND(I148*120*'Rate Card'!$B$48,500)</f>
        <v>115500</v>
      </c>
      <c r="N148" s="14" t="s">
        <v>486</v>
      </c>
      <c r="O148" s="46" t="n">
        <v>0.58</v>
      </c>
      <c r="P148" s="46" t="n">
        <v>1</v>
      </c>
    </row>
    <row r="149" customFormat="false" ht="15" hidden="false" customHeight="true" outlineLevel="0" collapsed="false">
      <c r="A149" s="9" t="n">
        <v>139</v>
      </c>
      <c r="B149" s="43" t="s">
        <v>103</v>
      </c>
      <c r="C149" s="43" t="s">
        <v>531</v>
      </c>
      <c r="D149" s="44" t="s">
        <v>576</v>
      </c>
      <c r="E149" s="43" t="s">
        <v>472</v>
      </c>
      <c r="F149" s="45" t="s">
        <v>472</v>
      </c>
      <c r="G149" s="45"/>
      <c r="H149" s="12" t="n">
        <f aca="false">MROUND('Rate Card'!$I$10*O149*P149,10)</f>
        <v>2260</v>
      </c>
      <c r="I149" s="12" t="n">
        <f aca="false">MROUND('Rate Card'!$K$10*O149*P149,10)</f>
        <v>1130</v>
      </c>
      <c r="J149" s="12" t="n">
        <f aca="false">MROUND(H149*4*'Rate Card'!$B$47,100)</f>
        <v>8600</v>
      </c>
      <c r="K149" s="12" t="n">
        <f aca="false">MROUND(I149*4*'Rate Card'!$B$47,100)</f>
        <v>4300</v>
      </c>
      <c r="L149" s="12" t="n">
        <f aca="false">MROUND(H149*120*'Rate Card'!$B$48,500)</f>
        <v>230500</v>
      </c>
      <c r="M149" s="12" t="n">
        <f aca="false">MROUND(I149*120*'Rate Card'!$B$48,500)</f>
        <v>115500</v>
      </c>
      <c r="N149" s="14" t="s">
        <v>486</v>
      </c>
      <c r="O149" s="46" t="n">
        <v>0.58</v>
      </c>
      <c r="P149" s="46" t="n">
        <v>1</v>
      </c>
    </row>
    <row r="150" customFormat="false" ht="15" hidden="false" customHeight="true" outlineLevel="0" collapsed="false">
      <c r="A150" s="9" t="n">
        <v>140</v>
      </c>
      <c r="B150" s="43" t="s">
        <v>103</v>
      </c>
      <c r="C150" s="43" t="s">
        <v>386</v>
      </c>
      <c r="D150" s="44" t="s">
        <v>577</v>
      </c>
      <c r="E150" s="43" t="s">
        <v>578</v>
      </c>
      <c r="F150" s="45" t="s">
        <v>472</v>
      </c>
      <c r="G150" s="45"/>
      <c r="H150" s="12" t="n">
        <f aca="false">MROUND('Rate Card'!$I$10*O150*P150,10)</f>
        <v>2260</v>
      </c>
      <c r="I150" s="12" t="n">
        <f aca="false">MROUND('Rate Card'!$K$10*O150*P150,10)</f>
        <v>1130</v>
      </c>
      <c r="J150" s="12" t="n">
        <f aca="false">MROUND(H150*4*'Rate Card'!$B$47,100)</f>
        <v>8600</v>
      </c>
      <c r="K150" s="12" t="n">
        <f aca="false">MROUND(I150*4*'Rate Card'!$B$47,100)</f>
        <v>4300</v>
      </c>
      <c r="L150" s="12" t="n">
        <f aca="false">MROUND(H150*120*'Rate Card'!$B$48,500)</f>
        <v>230500</v>
      </c>
      <c r="M150" s="12" t="n">
        <f aca="false">MROUND(I150*120*'Rate Card'!$B$48,500)</f>
        <v>115500</v>
      </c>
      <c r="N150" s="14" t="s">
        <v>486</v>
      </c>
      <c r="O150" s="46" t="n">
        <v>0.58</v>
      </c>
      <c r="P150" s="46" t="n">
        <v>1</v>
      </c>
    </row>
    <row r="151" customFormat="false" ht="15" hidden="false" customHeight="true" outlineLevel="0" collapsed="false">
      <c r="A151" s="9" t="n">
        <v>141</v>
      </c>
      <c r="B151" s="43" t="s">
        <v>103</v>
      </c>
      <c r="C151" s="43" t="s">
        <v>473</v>
      </c>
      <c r="D151" s="44"/>
      <c r="E151" s="43" t="s">
        <v>530</v>
      </c>
      <c r="F151" s="45" t="s">
        <v>472</v>
      </c>
      <c r="G151" s="45"/>
      <c r="H151" s="12" t="n">
        <f aca="false">MROUND('Rate Card'!$I$10*O151*P151,10)</f>
        <v>2260</v>
      </c>
      <c r="I151" s="12" t="n">
        <f aca="false">MROUND('Rate Card'!$K$10*O151*P151,10)</f>
        <v>1130</v>
      </c>
      <c r="J151" s="12" t="n">
        <f aca="false">MROUND(H151*4*'Rate Card'!$B$47,100)</f>
        <v>8600</v>
      </c>
      <c r="K151" s="12" t="n">
        <f aca="false">MROUND(I151*4*'Rate Card'!$B$47,100)</f>
        <v>4300</v>
      </c>
      <c r="L151" s="12" t="n">
        <f aca="false">MROUND(H151*120*'Rate Card'!$B$48,500)</f>
        <v>230500</v>
      </c>
      <c r="M151" s="12" t="n">
        <f aca="false">MROUND(I151*120*'Rate Card'!$B$48,500)</f>
        <v>115500</v>
      </c>
      <c r="N151" s="14" t="s">
        <v>486</v>
      </c>
      <c r="O151" s="46" t="n">
        <v>0.58</v>
      </c>
      <c r="P151" s="46" t="n">
        <v>1</v>
      </c>
    </row>
    <row r="152" customFormat="false" ht="15" hidden="false" customHeight="true" outlineLevel="0" collapsed="false">
      <c r="A152" s="9" t="n">
        <v>142</v>
      </c>
      <c r="B152" s="43" t="s">
        <v>103</v>
      </c>
      <c r="C152" s="43" t="s">
        <v>473</v>
      </c>
      <c r="D152" s="44" t="s">
        <v>579</v>
      </c>
      <c r="E152" s="43" t="s">
        <v>472</v>
      </c>
      <c r="F152" s="45" t="s">
        <v>472</v>
      </c>
      <c r="G152" s="45"/>
      <c r="H152" s="12" t="n">
        <f aca="false">MROUND('Rate Card'!$I$10*O152*P152,10)</f>
        <v>2260</v>
      </c>
      <c r="I152" s="12" t="n">
        <f aca="false">MROUND('Rate Card'!$K$10*O152*P152,10)</f>
        <v>1130</v>
      </c>
      <c r="J152" s="12" t="n">
        <f aca="false">MROUND(H152*4*'Rate Card'!$B$47,100)</f>
        <v>8600</v>
      </c>
      <c r="K152" s="12" t="n">
        <f aca="false">MROUND(I152*4*'Rate Card'!$B$47,100)</f>
        <v>4300</v>
      </c>
      <c r="L152" s="12" t="n">
        <f aca="false">MROUND(H152*120*'Rate Card'!$B$48,500)</f>
        <v>230500</v>
      </c>
      <c r="M152" s="12" t="n">
        <f aca="false">MROUND(I152*120*'Rate Card'!$B$48,500)</f>
        <v>115500</v>
      </c>
      <c r="N152" s="14" t="s">
        <v>486</v>
      </c>
      <c r="O152" s="46" t="n">
        <v>0.58</v>
      </c>
      <c r="P152" s="46" t="n">
        <v>1</v>
      </c>
    </row>
    <row r="153" customFormat="false" ht="15" hidden="false" customHeight="true" outlineLevel="0" collapsed="false">
      <c r="A153" s="9" t="n">
        <v>143</v>
      </c>
      <c r="B153" s="43" t="s">
        <v>103</v>
      </c>
      <c r="C153" s="43" t="s">
        <v>473</v>
      </c>
      <c r="D153" s="44" t="s">
        <v>580</v>
      </c>
      <c r="E153" s="43" t="s">
        <v>581</v>
      </c>
      <c r="F153" s="45" t="s">
        <v>472</v>
      </c>
      <c r="G153" s="45"/>
      <c r="H153" s="12" t="n">
        <f aca="false">MROUND('Rate Card'!$I$10*O153*P153,10)</f>
        <v>2260</v>
      </c>
      <c r="I153" s="12" t="n">
        <f aca="false">MROUND('Rate Card'!$K$10*O153*P153,10)</f>
        <v>1130</v>
      </c>
      <c r="J153" s="12" t="n">
        <f aca="false">MROUND(H153*4*'Rate Card'!$B$47,100)</f>
        <v>8600</v>
      </c>
      <c r="K153" s="12" t="n">
        <f aca="false">MROUND(I153*4*'Rate Card'!$B$47,100)</f>
        <v>4300</v>
      </c>
      <c r="L153" s="12" t="n">
        <f aca="false">MROUND(H153*120*'Rate Card'!$B$48,500)</f>
        <v>230500</v>
      </c>
      <c r="M153" s="12" t="n">
        <f aca="false">MROUND(I153*120*'Rate Card'!$B$48,500)</f>
        <v>115500</v>
      </c>
      <c r="N153" s="14" t="s">
        <v>486</v>
      </c>
      <c r="O153" s="46" t="n">
        <v>0.58</v>
      </c>
      <c r="P153" s="46" t="n">
        <v>1</v>
      </c>
    </row>
    <row r="154" customFormat="false" ht="15" hidden="false" customHeight="true" outlineLevel="0" collapsed="false">
      <c r="A154" s="42" t="s">
        <v>582</v>
      </c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</row>
    <row r="155" customFormat="false" ht="15" hidden="false" customHeight="true" outlineLevel="0" collapsed="false">
      <c r="A155" s="9" t="n">
        <v>144</v>
      </c>
      <c r="B155" s="43" t="s">
        <v>105</v>
      </c>
      <c r="C155" s="43" t="s">
        <v>476</v>
      </c>
      <c r="D155" s="44" t="s">
        <v>583</v>
      </c>
      <c r="E155" s="43" t="s">
        <v>472</v>
      </c>
      <c r="F155" s="45" t="s">
        <v>310</v>
      </c>
      <c r="G155" s="45"/>
      <c r="H155" s="12" t="n">
        <f aca="false">MROUND('Rate Card'!$I$11*O155*P155,10)</f>
        <v>3240</v>
      </c>
      <c r="I155" s="12" t="n">
        <f aca="false">MROUND('Rate Card'!$K$11*O155*P155,10)</f>
        <v>1640</v>
      </c>
      <c r="J155" s="12" t="n">
        <f aca="false">MROUND(H155*4*'Rate Card'!$B$47,100)</f>
        <v>12300</v>
      </c>
      <c r="K155" s="12" t="n">
        <f aca="false">MROUND(I155*4*'Rate Card'!$B$47,100)</f>
        <v>6200</v>
      </c>
      <c r="L155" s="12" t="n">
        <f aca="false">MROUND(H155*120*'Rate Card'!$B$48,500)</f>
        <v>330500</v>
      </c>
      <c r="M155" s="12" t="n">
        <f aca="false">MROUND(I155*120*'Rate Card'!$B$48,500)</f>
        <v>167500</v>
      </c>
      <c r="N155" s="14"/>
      <c r="O155" s="46" t="n">
        <v>0.82</v>
      </c>
      <c r="P155" s="46" t="n">
        <v>1</v>
      </c>
    </row>
    <row r="156" customFormat="false" ht="15" hidden="false" customHeight="true" outlineLevel="0" collapsed="false">
      <c r="A156" s="9" t="n">
        <v>145</v>
      </c>
      <c r="B156" s="43" t="s">
        <v>105</v>
      </c>
      <c r="C156" s="43" t="s">
        <v>457</v>
      </c>
      <c r="D156" s="44" t="s">
        <v>584</v>
      </c>
      <c r="E156" s="43" t="s">
        <v>585</v>
      </c>
      <c r="F156" s="45" t="s">
        <v>310</v>
      </c>
      <c r="G156" s="45"/>
      <c r="H156" s="12" t="n">
        <f aca="false">MROUND('Rate Card'!$I$11*O156*P156,10)</f>
        <v>3240</v>
      </c>
      <c r="I156" s="12" t="n">
        <f aca="false">MROUND('Rate Card'!$K$11*O156*P156,10)</f>
        <v>1640</v>
      </c>
      <c r="J156" s="12" t="n">
        <f aca="false">MROUND(H156*4*'Rate Card'!$B$47,100)</f>
        <v>12300</v>
      </c>
      <c r="K156" s="12" t="n">
        <f aca="false">MROUND(I156*4*'Rate Card'!$B$47,100)</f>
        <v>6200</v>
      </c>
      <c r="L156" s="12" t="n">
        <f aca="false">MROUND(H156*120*'Rate Card'!$B$48,500)</f>
        <v>330500</v>
      </c>
      <c r="M156" s="12" t="n">
        <f aca="false">MROUND(I156*120*'Rate Card'!$B$48,500)</f>
        <v>167500</v>
      </c>
      <c r="N156" s="14"/>
      <c r="O156" s="46" t="n">
        <v>0.82</v>
      </c>
      <c r="P156" s="46" t="n">
        <v>1</v>
      </c>
    </row>
    <row r="157" customFormat="false" ht="15" hidden="false" customHeight="true" outlineLevel="0" collapsed="false">
      <c r="A157" s="9" t="n">
        <v>146</v>
      </c>
      <c r="B157" s="43" t="s">
        <v>105</v>
      </c>
      <c r="C157" s="43" t="s">
        <v>457</v>
      </c>
      <c r="D157" s="44" t="s">
        <v>586</v>
      </c>
      <c r="E157" s="43" t="s">
        <v>585</v>
      </c>
      <c r="F157" s="45" t="s">
        <v>310</v>
      </c>
      <c r="G157" s="45"/>
      <c r="H157" s="12" t="n">
        <f aca="false">MROUND('Rate Card'!$I$11*O157*P157,10)</f>
        <v>3240</v>
      </c>
      <c r="I157" s="12" t="n">
        <f aca="false">MROUND('Rate Card'!$K$11*O157*P157,10)</f>
        <v>1640</v>
      </c>
      <c r="J157" s="12" t="n">
        <f aca="false">MROUND(H157*4*'Rate Card'!$B$47,100)</f>
        <v>12300</v>
      </c>
      <c r="K157" s="12" t="n">
        <f aca="false">MROUND(I157*4*'Rate Card'!$B$47,100)</f>
        <v>6200</v>
      </c>
      <c r="L157" s="12" t="n">
        <f aca="false">MROUND(H157*120*'Rate Card'!$B$48,500)</f>
        <v>330500</v>
      </c>
      <c r="M157" s="12" t="n">
        <f aca="false">MROUND(I157*120*'Rate Card'!$B$48,500)</f>
        <v>167500</v>
      </c>
      <c r="N157" s="14"/>
      <c r="O157" s="46" t="n">
        <v>0.82</v>
      </c>
      <c r="P157" s="46" t="n">
        <v>1</v>
      </c>
    </row>
    <row r="158" customFormat="false" ht="15" hidden="false" customHeight="true" outlineLevel="0" collapsed="false">
      <c r="A158" s="9" t="n">
        <v>147</v>
      </c>
      <c r="B158" s="43" t="s">
        <v>105</v>
      </c>
      <c r="C158" s="43" t="s">
        <v>587</v>
      </c>
      <c r="D158" s="44" t="s">
        <v>588</v>
      </c>
      <c r="E158" s="43" t="s">
        <v>589</v>
      </c>
      <c r="F158" s="45" t="s">
        <v>310</v>
      </c>
      <c r="G158" s="45"/>
      <c r="H158" s="12" t="n">
        <f aca="false">MROUND('Rate Card'!$I$11*O158*P158,10)</f>
        <v>3240</v>
      </c>
      <c r="I158" s="12" t="n">
        <f aca="false">MROUND('Rate Card'!$K$11*O158*P158,10)</f>
        <v>1640</v>
      </c>
      <c r="J158" s="12" t="n">
        <f aca="false">MROUND(H158*4*'Rate Card'!$B$47,100)</f>
        <v>12300</v>
      </c>
      <c r="K158" s="12" t="n">
        <f aca="false">MROUND(I158*4*'Rate Card'!$B$47,100)</f>
        <v>6200</v>
      </c>
      <c r="L158" s="12" t="n">
        <f aca="false">MROUND(H158*120*'Rate Card'!$B$48,500)</f>
        <v>330500</v>
      </c>
      <c r="M158" s="12" t="n">
        <f aca="false">MROUND(I158*120*'Rate Card'!$B$48,500)</f>
        <v>167500</v>
      </c>
      <c r="N158" s="14"/>
      <c r="O158" s="46" t="n">
        <v>0.82</v>
      </c>
      <c r="P158" s="46" t="n">
        <v>1</v>
      </c>
    </row>
    <row r="159" customFormat="false" ht="15" hidden="false" customHeight="true" outlineLevel="0" collapsed="false">
      <c r="A159" s="9" t="n">
        <v>148</v>
      </c>
      <c r="B159" s="43" t="s">
        <v>105</v>
      </c>
      <c r="C159" s="43" t="s">
        <v>590</v>
      </c>
      <c r="D159" s="44" t="s">
        <v>591</v>
      </c>
      <c r="E159" s="43" t="s">
        <v>592</v>
      </c>
      <c r="F159" s="45" t="s">
        <v>310</v>
      </c>
      <c r="G159" s="45"/>
      <c r="H159" s="12" t="n">
        <f aca="false">MROUND('Rate Card'!$I$11*O159*P159,10)</f>
        <v>3240</v>
      </c>
      <c r="I159" s="12" t="n">
        <f aca="false">MROUND('Rate Card'!$K$11*O159*P159,10)</f>
        <v>1640</v>
      </c>
      <c r="J159" s="12" t="n">
        <f aca="false">MROUND(H159*4*'Rate Card'!$B$47,100)</f>
        <v>12300</v>
      </c>
      <c r="K159" s="12" t="n">
        <f aca="false">MROUND(I159*4*'Rate Card'!$B$47,100)</f>
        <v>6200</v>
      </c>
      <c r="L159" s="12" t="n">
        <f aca="false">MROUND(H159*120*'Rate Card'!$B$48,500)</f>
        <v>330500</v>
      </c>
      <c r="M159" s="12" t="n">
        <f aca="false">MROUND(I159*120*'Rate Card'!$B$48,500)</f>
        <v>167500</v>
      </c>
      <c r="N159" s="14"/>
      <c r="O159" s="46" t="n">
        <v>0.82</v>
      </c>
      <c r="P159" s="46" t="n">
        <v>1</v>
      </c>
    </row>
    <row r="160" customFormat="false" ht="15" hidden="false" customHeight="true" outlineLevel="0" collapsed="false">
      <c r="A160" s="9" t="n">
        <v>149</v>
      </c>
      <c r="B160" s="43" t="s">
        <v>105</v>
      </c>
      <c r="C160" s="43" t="s">
        <v>593</v>
      </c>
      <c r="D160" s="44" t="s">
        <v>594</v>
      </c>
      <c r="E160" s="43" t="s">
        <v>595</v>
      </c>
      <c r="F160" s="45" t="s">
        <v>310</v>
      </c>
      <c r="G160" s="45"/>
      <c r="H160" s="12" t="n">
        <f aca="false">MROUND('Rate Card'!$I$11*O160*P160,10)</f>
        <v>3240</v>
      </c>
      <c r="I160" s="12" t="n">
        <f aca="false">MROUND('Rate Card'!$K$11*O160*P160,10)</f>
        <v>1640</v>
      </c>
      <c r="J160" s="12" t="n">
        <f aca="false">MROUND(H160*4*'Rate Card'!$B$47,100)</f>
        <v>12300</v>
      </c>
      <c r="K160" s="12" t="n">
        <f aca="false">MROUND(I160*4*'Rate Card'!$B$47,100)</f>
        <v>6200</v>
      </c>
      <c r="L160" s="12" t="n">
        <f aca="false">MROUND(H160*120*'Rate Card'!$B$48,500)</f>
        <v>330500</v>
      </c>
      <c r="M160" s="12" t="n">
        <f aca="false">MROUND(I160*120*'Rate Card'!$B$48,500)</f>
        <v>167500</v>
      </c>
      <c r="N160" s="14"/>
      <c r="O160" s="46" t="n">
        <v>0.82</v>
      </c>
      <c r="P160" s="46" t="n">
        <v>1</v>
      </c>
    </row>
    <row r="161" customFormat="false" ht="15" hidden="false" customHeight="true" outlineLevel="0" collapsed="false">
      <c r="A161" s="9" t="n">
        <v>150</v>
      </c>
      <c r="B161" s="43" t="s">
        <v>105</v>
      </c>
      <c r="C161" s="43" t="s">
        <v>473</v>
      </c>
      <c r="D161" s="44" t="s">
        <v>596</v>
      </c>
      <c r="E161" s="43" t="s">
        <v>597</v>
      </c>
      <c r="F161" s="45" t="s">
        <v>310</v>
      </c>
      <c r="G161" s="45"/>
      <c r="H161" s="12" t="n">
        <f aca="false">MROUND('Rate Card'!$I$11*O161*P161,10)</f>
        <v>3240</v>
      </c>
      <c r="I161" s="12" t="n">
        <f aca="false">MROUND('Rate Card'!$K$11*O161*P161,10)</f>
        <v>1640</v>
      </c>
      <c r="J161" s="12" t="n">
        <f aca="false">MROUND(H161*4*'Rate Card'!$B$47,100)</f>
        <v>12300</v>
      </c>
      <c r="K161" s="12" t="n">
        <f aca="false">MROUND(I161*4*'Rate Card'!$B$47,100)</f>
        <v>6200</v>
      </c>
      <c r="L161" s="12" t="n">
        <f aca="false">MROUND(H161*120*'Rate Card'!$B$48,500)</f>
        <v>330500</v>
      </c>
      <c r="M161" s="12" t="n">
        <f aca="false">MROUND(I161*120*'Rate Card'!$B$48,500)</f>
        <v>167500</v>
      </c>
      <c r="N161" s="14"/>
      <c r="O161" s="46" t="n">
        <v>0.82</v>
      </c>
      <c r="P161" s="46" t="n">
        <v>1</v>
      </c>
    </row>
    <row r="162" customFormat="false" ht="15" hidden="false" customHeight="true" outlineLevel="0" collapsed="false">
      <c r="A162" s="9" t="n">
        <v>151</v>
      </c>
      <c r="B162" s="43" t="s">
        <v>105</v>
      </c>
      <c r="C162" s="43" t="s">
        <v>473</v>
      </c>
      <c r="D162" s="44" t="s">
        <v>598</v>
      </c>
      <c r="E162" s="43" t="s">
        <v>599</v>
      </c>
      <c r="F162" s="45" t="s">
        <v>428</v>
      </c>
      <c r="G162" s="45"/>
      <c r="H162" s="12" t="n">
        <f aca="false">MROUND('Rate Card'!$I$11*O162*P162,10)</f>
        <v>2570</v>
      </c>
      <c r="I162" s="12" t="n">
        <f aca="false">MROUND('Rate Card'!$K$11*O162*P162,10)</f>
        <v>1300</v>
      </c>
      <c r="J162" s="12" t="n">
        <f aca="false">MROUND(H162*4*'Rate Card'!$B$47,100)</f>
        <v>9800</v>
      </c>
      <c r="K162" s="12" t="n">
        <f aca="false">MROUND(I162*4*'Rate Card'!$B$47,100)</f>
        <v>4900</v>
      </c>
      <c r="L162" s="12" t="n">
        <f aca="false">MROUND(H162*120*'Rate Card'!$B$48,500)</f>
        <v>262000</v>
      </c>
      <c r="M162" s="12" t="n">
        <f aca="false">MROUND(I162*120*'Rate Card'!$B$48,500)</f>
        <v>132500</v>
      </c>
      <c r="N162" s="14" t="s">
        <v>355</v>
      </c>
      <c r="O162" s="46" t="n">
        <v>0.65</v>
      </c>
      <c r="P162" s="46" t="n">
        <v>1</v>
      </c>
    </row>
    <row r="163" customFormat="false" ht="15" hidden="false" customHeight="true" outlineLevel="0" collapsed="false">
      <c r="A163" s="9" t="n">
        <v>152</v>
      </c>
      <c r="B163" s="43" t="s">
        <v>105</v>
      </c>
      <c r="C163" s="43" t="s">
        <v>473</v>
      </c>
      <c r="D163" s="44" t="s">
        <v>600</v>
      </c>
      <c r="E163" s="43" t="s">
        <v>601</v>
      </c>
      <c r="F163" s="45" t="s">
        <v>602</v>
      </c>
      <c r="G163" s="45"/>
      <c r="H163" s="12" t="n">
        <f aca="false">MROUND('Rate Card'!$I$11*O163*P163,10)</f>
        <v>2290</v>
      </c>
      <c r="I163" s="12" t="n">
        <f aca="false">MROUND('Rate Card'!$K$11*O163*P163,10)</f>
        <v>1160</v>
      </c>
      <c r="J163" s="12" t="n">
        <f aca="false">MROUND(H163*4*'Rate Card'!$B$47,100)</f>
        <v>8700</v>
      </c>
      <c r="K163" s="12" t="n">
        <f aca="false">MROUND(I163*4*'Rate Card'!$B$47,100)</f>
        <v>4400</v>
      </c>
      <c r="L163" s="12" t="n">
        <f aca="false">MROUND(H163*120*'Rate Card'!$B$48,500)</f>
        <v>233500</v>
      </c>
      <c r="M163" s="12" t="n">
        <f aca="false">MROUND(I163*120*'Rate Card'!$B$48,500)</f>
        <v>118500</v>
      </c>
      <c r="N163" s="14" t="s">
        <v>364</v>
      </c>
      <c r="O163" s="46" t="n">
        <v>0.58</v>
      </c>
      <c r="P163" s="46" t="n">
        <v>1</v>
      </c>
    </row>
    <row r="164" customFormat="false" ht="15" hidden="false" customHeight="true" outlineLevel="0" collapsed="false">
      <c r="A164" s="9" t="n">
        <v>153</v>
      </c>
      <c r="B164" s="43" t="s">
        <v>105</v>
      </c>
      <c r="C164" s="43" t="s">
        <v>369</v>
      </c>
      <c r="D164" s="44" t="s">
        <v>603</v>
      </c>
      <c r="E164" s="43" t="s">
        <v>604</v>
      </c>
      <c r="F164" s="45" t="s">
        <v>472</v>
      </c>
      <c r="G164" s="45"/>
      <c r="H164" s="12" t="n">
        <f aca="false">MROUND('Rate Card'!$I$11*O164*P164,10)</f>
        <v>2290</v>
      </c>
      <c r="I164" s="12" t="n">
        <f aca="false">MROUND('Rate Card'!$K$11*O164*P164,10)</f>
        <v>1160</v>
      </c>
      <c r="J164" s="12" t="n">
        <f aca="false">MROUND(H164*4*'Rate Card'!$B$47,100)</f>
        <v>8700</v>
      </c>
      <c r="K164" s="12" t="n">
        <f aca="false">MROUND(I164*4*'Rate Card'!$B$47,100)</f>
        <v>4400</v>
      </c>
      <c r="L164" s="12" t="n">
        <f aca="false">MROUND(H164*120*'Rate Card'!$B$48,500)</f>
        <v>233500</v>
      </c>
      <c r="M164" s="12" t="n">
        <f aca="false">MROUND(I164*120*'Rate Card'!$B$48,500)</f>
        <v>118500</v>
      </c>
      <c r="N164" s="14" t="s">
        <v>486</v>
      </c>
      <c r="O164" s="46" t="n">
        <v>0.58</v>
      </c>
      <c r="P164" s="46" t="n">
        <v>1</v>
      </c>
    </row>
    <row r="165" customFormat="false" ht="15" hidden="false" customHeight="true" outlineLevel="0" collapsed="false">
      <c r="A165" s="42" t="s">
        <v>605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</row>
    <row r="166" customFormat="false" ht="15" hidden="false" customHeight="true" outlineLevel="0" collapsed="false">
      <c r="A166" s="9" t="n">
        <v>154</v>
      </c>
      <c r="B166" s="43" t="s">
        <v>107</v>
      </c>
      <c r="C166" s="43" t="s">
        <v>606</v>
      </c>
      <c r="D166" s="44" t="s">
        <v>607</v>
      </c>
      <c r="E166" s="43" t="s">
        <v>608</v>
      </c>
      <c r="F166" s="45" t="s">
        <v>297</v>
      </c>
      <c r="G166" s="45" t="s">
        <v>609</v>
      </c>
      <c r="H166" s="12" t="n">
        <f aca="false">MROUND('Rate Card'!$I$12*O166*P166,10)</f>
        <v>9650</v>
      </c>
      <c r="I166" s="12" t="n">
        <f aca="false">MROUND('Rate Card'!$K$12*O166*P166,10)</f>
        <v>4350</v>
      </c>
      <c r="J166" s="12" t="n">
        <f aca="false">MROUND(H166*4*'Rate Card'!$B$47,100)</f>
        <v>36700</v>
      </c>
      <c r="K166" s="12" t="n">
        <f aca="false">MROUND(I166*4*'Rate Card'!$B$47,100)</f>
        <v>16500</v>
      </c>
      <c r="L166" s="12" t="n">
        <f aca="false">MROUND(H166*120*'Rate Card'!$B$48,500)</f>
        <v>984500</v>
      </c>
      <c r="M166" s="12" t="n">
        <f aca="false">MROUND(I166*120*'Rate Card'!$B$48,500)</f>
        <v>443500</v>
      </c>
      <c r="N166" s="14"/>
      <c r="O166" s="46" t="n">
        <v>1</v>
      </c>
      <c r="P166" s="46" t="n">
        <v>1</v>
      </c>
    </row>
    <row r="167" customFormat="false" ht="15" hidden="false" customHeight="true" outlineLevel="0" collapsed="false">
      <c r="A167" s="9" t="n">
        <v>155</v>
      </c>
      <c r="B167" s="43" t="s">
        <v>107</v>
      </c>
      <c r="C167" s="43" t="s">
        <v>606</v>
      </c>
      <c r="D167" s="44" t="s">
        <v>610</v>
      </c>
      <c r="E167" s="43" t="s">
        <v>611</v>
      </c>
      <c r="F167" s="45" t="s">
        <v>297</v>
      </c>
      <c r="G167" s="45" t="s">
        <v>612</v>
      </c>
      <c r="H167" s="12" t="n">
        <f aca="false">MROUND('Rate Card'!$I$12*O167*P167,10)</f>
        <v>9650</v>
      </c>
      <c r="I167" s="12" t="n">
        <f aca="false">MROUND('Rate Card'!$K$12*O167*P167,10)</f>
        <v>4350</v>
      </c>
      <c r="J167" s="12" t="n">
        <f aca="false">MROUND(H167*4*'Rate Card'!$B$47,100)</f>
        <v>36700</v>
      </c>
      <c r="K167" s="12" t="n">
        <f aca="false">MROUND(I167*4*'Rate Card'!$B$47,100)</f>
        <v>16500</v>
      </c>
      <c r="L167" s="12" t="n">
        <f aca="false">MROUND(H167*120*'Rate Card'!$B$48,500)</f>
        <v>984500</v>
      </c>
      <c r="M167" s="12" t="n">
        <f aca="false">MROUND(I167*120*'Rate Card'!$B$48,500)</f>
        <v>443500</v>
      </c>
      <c r="N167" s="14"/>
      <c r="O167" s="46" t="n">
        <v>1</v>
      </c>
      <c r="P167" s="46" t="n">
        <v>1</v>
      </c>
    </row>
    <row r="168" customFormat="false" ht="15" hidden="false" customHeight="true" outlineLevel="0" collapsed="false">
      <c r="A168" s="9" t="n">
        <v>156</v>
      </c>
      <c r="B168" s="43" t="s">
        <v>107</v>
      </c>
      <c r="C168" s="43" t="s">
        <v>606</v>
      </c>
      <c r="D168" s="44" t="s">
        <v>613</v>
      </c>
      <c r="E168" s="43" t="s">
        <v>608</v>
      </c>
      <c r="F168" s="45" t="s">
        <v>306</v>
      </c>
      <c r="G168" s="45" t="s">
        <v>614</v>
      </c>
      <c r="H168" s="12" t="n">
        <f aca="false">MROUND('Rate Card'!$I$12*O168*P168,10)</f>
        <v>9650</v>
      </c>
      <c r="I168" s="12" t="n">
        <f aca="false">MROUND('Rate Card'!$K$12*O168*P168,10)</f>
        <v>4350</v>
      </c>
      <c r="J168" s="12" t="n">
        <f aca="false">MROUND(H168*4*'Rate Card'!$B$47,100)</f>
        <v>36700</v>
      </c>
      <c r="K168" s="12" t="n">
        <f aca="false">MROUND(I168*4*'Rate Card'!$B$47,100)</f>
        <v>16500</v>
      </c>
      <c r="L168" s="12" t="n">
        <f aca="false">MROUND(H168*120*'Rate Card'!$B$48,500)</f>
        <v>984500</v>
      </c>
      <c r="M168" s="12" t="n">
        <f aca="false">MROUND(I168*120*'Rate Card'!$B$48,500)</f>
        <v>443500</v>
      </c>
      <c r="N168" s="14"/>
      <c r="O168" s="46" t="n">
        <v>1</v>
      </c>
      <c r="P168" s="46" t="n">
        <v>1</v>
      </c>
    </row>
    <row r="169" customFormat="false" ht="15" hidden="false" customHeight="true" outlineLevel="0" collapsed="false">
      <c r="A169" s="9" t="n">
        <v>157</v>
      </c>
      <c r="B169" s="43" t="s">
        <v>107</v>
      </c>
      <c r="C169" s="43" t="s">
        <v>606</v>
      </c>
      <c r="D169" s="44" t="s">
        <v>615</v>
      </c>
      <c r="E169" s="43" t="s">
        <v>608</v>
      </c>
      <c r="F169" s="45" t="s">
        <v>306</v>
      </c>
      <c r="G169" s="45" t="s">
        <v>616</v>
      </c>
      <c r="H169" s="12" t="n">
        <f aca="false">MROUND('Rate Card'!$I$12*O169*P169,10)</f>
        <v>9650</v>
      </c>
      <c r="I169" s="12" t="n">
        <f aca="false">MROUND('Rate Card'!$K$12*O169*P169,10)</f>
        <v>4350</v>
      </c>
      <c r="J169" s="12" t="n">
        <f aca="false">MROUND(H169*4*'Rate Card'!$B$47,100)</f>
        <v>36700</v>
      </c>
      <c r="K169" s="12" t="n">
        <f aca="false">MROUND(I169*4*'Rate Card'!$B$47,100)</f>
        <v>16500</v>
      </c>
      <c r="L169" s="12" t="n">
        <f aca="false">MROUND(H169*120*'Rate Card'!$B$48,500)</f>
        <v>984500</v>
      </c>
      <c r="M169" s="12" t="n">
        <f aca="false">MROUND(I169*120*'Rate Card'!$B$48,500)</f>
        <v>443500</v>
      </c>
      <c r="N169" s="14"/>
      <c r="O169" s="46" t="n">
        <v>1</v>
      </c>
      <c r="P169" s="46" t="n">
        <v>1</v>
      </c>
    </row>
    <row r="170" customFormat="false" ht="15" hidden="false" customHeight="true" outlineLevel="0" collapsed="false">
      <c r="A170" s="9" t="n">
        <v>158</v>
      </c>
      <c r="B170" s="43" t="s">
        <v>107</v>
      </c>
      <c r="C170" s="43" t="s">
        <v>606</v>
      </c>
      <c r="D170" s="44" t="s">
        <v>617</v>
      </c>
      <c r="E170" s="43" t="s">
        <v>608</v>
      </c>
      <c r="F170" s="45" t="s">
        <v>306</v>
      </c>
      <c r="G170" s="45" t="s">
        <v>618</v>
      </c>
      <c r="H170" s="12" t="n">
        <f aca="false">MROUND('Rate Card'!$I$12*O170*P170,10)</f>
        <v>9650</v>
      </c>
      <c r="I170" s="12" t="n">
        <f aca="false">MROUND('Rate Card'!$K$12*O170*P170,10)</f>
        <v>4350</v>
      </c>
      <c r="J170" s="12" t="n">
        <f aca="false">MROUND(H170*4*'Rate Card'!$B$47,100)</f>
        <v>36700</v>
      </c>
      <c r="K170" s="12" t="n">
        <f aca="false">MROUND(I170*4*'Rate Card'!$B$47,100)</f>
        <v>16500</v>
      </c>
      <c r="L170" s="12" t="n">
        <f aca="false">MROUND(H170*120*'Rate Card'!$B$48,500)</f>
        <v>984500</v>
      </c>
      <c r="M170" s="12" t="n">
        <f aca="false">MROUND(I170*120*'Rate Card'!$B$48,500)</f>
        <v>443500</v>
      </c>
      <c r="N170" s="14"/>
      <c r="O170" s="46" t="n">
        <v>1</v>
      </c>
      <c r="P170" s="46" t="n">
        <v>1</v>
      </c>
    </row>
    <row r="171" customFormat="false" ht="15" hidden="false" customHeight="true" outlineLevel="0" collapsed="false">
      <c r="A171" s="9" t="n">
        <v>159</v>
      </c>
      <c r="B171" s="43" t="s">
        <v>107</v>
      </c>
      <c r="C171" s="43" t="s">
        <v>420</v>
      </c>
      <c r="D171" s="44" t="s">
        <v>619</v>
      </c>
      <c r="E171" s="43" t="s">
        <v>620</v>
      </c>
      <c r="F171" s="45" t="s">
        <v>374</v>
      </c>
      <c r="G171" s="45"/>
      <c r="H171" s="12" t="n">
        <f aca="false">MROUND('Rate Card'!$I$12*O171*P171,10)</f>
        <v>7910</v>
      </c>
      <c r="I171" s="12" t="n">
        <f aca="false">MROUND('Rate Card'!$K$12*O171*P171,10)</f>
        <v>3570</v>
      </c>
      <c r="J171" s="12" t="n">
        <f aca="false">MROUND(H171*4*'Rate Card'!$B$47,100)</f>
        <v>30100</v>
      </c>
      <c r="K171" s="12" t="n">
        <f aca="false">MROUND(I171*4*'Rate Card'!$B$47,100)</f>
        <v>13600</v>
      </c>
      <c r="L171" s="12" t="n">
        <f aca="false">MROUND(H171*120*'Rate Card'!$B$48,500)</f>
        <v>807000</v>
      </c>
      <c r="M171" s="12" t="n">
        <f aca="false">MROUND(I171*120*'Rate Card'!$B$48,500)</f>
        <v>364000</v>
      </c>
      <c r="N171" s="14"/>
      <c r="O171" s="46" t="n">
        <v>0.82</v>
      </c>
      <c r="P171" s="46" t="n">
        <v>1</v>
      </c>
    </row>
    <row r="172" customFormat="false" ht="15" hidden="false" customHeight="true" outlineLevel="0" collapsed="false">
      <c r="A172" s="9" t="n">
        <v>160</v>
      </c>
      <c r="B172" s="43" t="s">
        <v>107</v>
      </c>
      <c r="C172" s="43" t="s">
        <v>420</v>
      </c>
      <c r="D172" s="44" t="s">
        <v>621</v>
      </c>
      <c r="E172" s="43" t="s">
        <v>622</v>
      </c>
      <c r="F172" s="45" t="s">
        <v>623</v>
      </c>
      <c r="G172" s="45"/>
      <c r="H172" s="12" t="n">
        <f aca="false">MROUND('Rate Card'!$I$12*O172*P172,10)</f>
        <v>6950</v>
      </c>
      <c r="I172" s="12" t="n">
        <f aca="false">MROUND('Rate Card'!$K$12*O172*P172,10)</f>
        <v>3130</v>
      </c>
      <c r="J172" s="12" t="n">
        <f aca="false">MROUND(H172*4*'Rate Card'!$B$47,100)</f>
        <v>26400</v>
      </c>
      <c r="K172" s="12" t="n">
        <f aca="false">MROUND(I172*4*'Rate Card'!$B$47,100)</f>
        <v>11900</v>
      </c>
      <c r="L172" s="12" t="n">
        <f aca="false">MROUND(H172*120*'Rate Card'!$B$48,500)</f>
        <v>709000</v>
      </c>
      <c r="M172" s="12" t="n">
        <f aca="false">MROUND(I172*120*'Rate Card'!$B$48,500)</f>
        <v>319500</v>
      </c>
      <c r="N172" s="14" t="s">
        <v>350</v>
      </c>
      <c r="O172" s="46" t="n">
        <v>0.72</v>
      </c>
      <c r="P172" s="46" t="n">
        <v>1</v>
      </c>
    </row>
    <row r="173" customFormat="false" ht="15" hidden="false" customHeight="true" outlineLevel="0" collapsed="false">
      <c r="A173" s="9" t="n">
        <v>161</v>
      </c>
      <c r="B173" s="43" t="s">
        <v>107</v>
      </c>
      <c r="C173" s="43" t="s">
        <v>369</v>
      </c>
      <c r="D173" s="44" t="s">
        <v>624</v>
      </c>
      <c r="E173" s="43" t="s">
        <v>472</v>
      </c>
      <c r="F173" s="45" t="s">
        <v>472</v>
      </c>
      <c r="G173" s="45"/>
      <c r="H173" s="12" t="n">
        <f aca="false">MROUND('Rate Card'!$I$12*O173*P173,10)</f>
        <v>5600</v>
      </c>
      <c r="I173" s="12" t="n">
        <f aca="false">MROUND('Rate Card'!$K$12*O173*P173,10)</f>
        <v>2520</v>
      </c>
      <c r="J173" s="12" t="n">
        <f aca="false">MROUND(H173*4*'Rate Card'!$B$47,100)</f>
        <v>21300</v>
      </c>
      <c r="K173" s="12" t="n">
        <f aca="false">MROUND(I173*4*'Rate Card'!$B$47,100)</f>
        <v>9600</v>
      </c>
      <c r="L173" s="12" t="n">
        <f aca="false">MROUND(H173*120*'Rate Card'!$B$48,500)</f>
        <v>571000</v>
      </c>
      <c r="M173" s="12" t="n">
        <f aca="false">MROUND(I173*120*'Rate Card'!$B$48,500)</f>
        <v>257000</v>
      </c>
      <c r="N173" s="14" t="s">
        <v>486</v>
      </c>
      <c r="O173" s="46" t="n">
        <v>0.58</v>
      </c>
      <c r="P173" s="46" t="n">
        <v>1</v>
      </c>
    </row>
    <row r="174" customFormat="false" ht="15" hidden="false" customHeight="true" outlineLevel="0" collapsed="false">
      <c r="A174" s="9" t="n">
        <v>162</v>
      </c>
      <c r="B174" s="43" t="s">
        <v>107</v>
      </c>
      <c r="C174" s="43" t="s">
        <v>476</v>
      </c>
      <c r="D174" s="44" t="s">
        <v>625</v>
      </c>
      <c r="E174" s="43" t="s">
        <v>472</v>
      </c>
      <c r="F174" s="45" t="s">
        <v>472</v>
      </c>
      <c r="G174" s="45"/>
      <c r="H174" s="12" t="n">
        <f aca="false">MROUND('Rate Card'!$I$12*O174*P174,10)</f>
        <v>5600</v>
      </c>
      <c r="I174" s="12" t="n">
        <f aca="false">MROUND('Rate Card'!$K$12*O174*P174,10)</f>
        <v>2520</v>
      </c>
      <c r="J174" s="12" t="n">
        <f aca="false">MROUND(H174*4*'Rate Card'!$B$47,100)</f>
        <v>21300</v>
      </c>
      <c r="K174" s="12" t="n">
        <f aca="false">MROUND(I174*4*'Rate Card'!$B$47,100)</f>
        <v>9600</v>
      </c>
      <c r="L174" s="12" t="n">
        <f aca="false">MROUND(H174*120*'Rate Card'!$B$48,500)</f>
        <v>571000</v>
      </c>
      <c r="M174" s="12" t="n">
        <f aca="false">MROUND(I174*120*'Rate Card'!$B$48,500)</f>
        <v>257000</v>
      </c>
      <c r="N174" s="14" t="s">
        <v>486</v>
      </c>
      <c r="O174" s="46" t="n">
        <v>0.58</v>
      </c>
      <c r="P174" s="46" t="n">
        <v>1</v>
      </c>
    </row>
    <row r="175" customFormat="false" ht="15" hidden="false" customHeight="true" outlineLevel="0" collapsed="false">
      <c r="A175" s="9" t="n">
        <v>163</v>
      </c>
      <c r="B175" s="43" t="s">
        <v>107</v>
      </c>
      <c r="C175" s="43" t="s">
        <v>626</v>
      </c>
      <c r="D175" s="44" t="s">
        <v>627</v>
      </c>
      <c r="E175" s="43" t="s">
        <v>628</v>
      </c>
      <c r="F175" s="45" t="s">
        <v>472</v>
      </c>
      <c r="G175" s="45"/>
      <c r="H175" s="12" t="n">
        <f aca="false">MROUND('Rate Card'!$I$12*O175*P175,10)</f>
        <v>5600</v>
      </c>
      <c r="I175" s="12" t="n">
        <f aca="false">MROUND('Rate Card'!$K$12*O175*P175,10)</f>
        <v>2520</v>
      </c>
      <c r="J175" s="12" t="n">
        <f aca="false">MROUND(H175*4*'Rate Card'!$B$47,100)</f>
        <v>21300</v>
      </c>
      <c r="K175" s="12" t="n">
        <f aca="false">MROUND(I175*4*'Rate Card'!$B$47,100)</f>
        <v>9600</v>
      </c>
      <c r="L175" s="12" t="n">
        <f aca="false">MROUND(H175*120*'Rate Card'!$B$48,500)</f>
        <v>571000</v>
      </c>
      <c r="M175" s="12" t="n">
        <f aca="false">MROUND(I175*120*'Rate Card'!$B$48,500)</f>
        <v>257000</v>
      </c>
      <c r="N175" s="14" t="s">
        <v>486</v>
      </c>
      <c r="O175" s="46" t="n">
        <v>0.58</v>
      </c>
      <c r="P175" s="46" t="n">
        <v>1</v>
      </c>
    </row>
    <row r="176" customFormat="false" ht="15" hidden="false" customHeight="true" outlineLevel="0" collapsed="false">
      <c r="A176" s="9" t="n">
        <v>164</v>
      </c>
      <c r="B176" s="43" t="s">
        <v>107</v>
      </c>
      <c r="C176" s="43" t="s">
        <v>369</v>
      </c>
      <c r="D176" s="44" t="s">
        <v>629</v>
      </c>
      <c r="E176" s="43" t="s">
        <v>472</v>
      </c>
      <c r="F176" s="45" t="s">
        <v>472</v>
      </c>
      <c r="G176" s="45"/>
      <c r="H176" s="12" t="n">
        <f aca="false">MROUND('Rate Card'!$I$12*O176*P176,10)</f>
        <v>5600</v>
      </c>
      <c r="I176" s="12" t="n">
        <f aca="false">MROUND('Rate Card'!$K$12*O176*P176,10)</f>
        <v>2520</v>
      </c>
      <c r="J176" s="12" t="n">
        <f aca="false">MROUND(H176*4*'Rate Card'!$B$47,100)</f>
        <v>21300</v>
      </c>
      <c r="K176" s="12" t="n">
        <f aca="false">MROUND(I176*4*'Rate Card'!$B$47,100)</f>
        <v>9600</v>
      </c>
      <c r="L176" s="12" t="n">
        <f aca="false">MROUND(H176*120*'Rate Card'!$B$48,500)</f>
        <v>571000</v>
      </c>
      <c r="M176" s="12" t="n">
        <f aca="false">MROUND(I176*120*'Rate Card'!$B$48,500)</f>
        <v>257000</v>
      </c>
      <c r="N176" s="14" t="s">
        <v>486</v>
      </c>
      <c r="O176" s="46" t="n">
        <v>0.58</v>
      </c>
      <c r="P176" s="46" t="n">
        <v>1</v>
      </c>
    </row>
    <row r="177" customFormat="false" ht="15" hidden="false" customHeight="true" outlineLevel="0" collapsed="false">
      <c r="A177" s="9" t="n">
        <v>165</v>
      </c>
      <c r="B177" s="43" t="s">
        <v>107</v>
      </c>
      <c r="C177" s="43" t="s">
        <v>369</v>
      </c>
      <c r="D177" s="44" t="s">
        <v>630</v>
      </c>
      <c r="E177" s="43" t="s">
        <v>631</v>
      </c>
      <c r="F177" s="45" t="s">
        <v>472</v>
      </c>
      <c r="G177" s="45"/>
      <c r="H177" s="12" t="n">
        <f aca="false">MROUND('Rate Card'!$I$12*O177*P177,10)</f>
        <v>5600</v>
      </c>
      <c r="I177" s="12" t="n">
        <f aca="false">MROUND('Rate Card'!$K$12*O177*P177,10)</f>
        <v>2520</v>
      </c>
      <c r="J177" s="12" t="n">
        <f aca="false">MROUND(H177*4*'Rate Card'!$B$47,100)</f>
        <v>21300</v>
      </c>
      <c r="K177" s="12" t="n">
        <f aca="false">MROUND(I177*4*'Rate Card'!$B$47,100)</f>
        <v>9600</v>
      </c>
      <c r="L177" s="12" t="n">
        <f aca="false">MROUND(H177*120*'Rate Card'!$B$48,500)</f>
        <v>571000</v>
      </c>
      <c r="M177" s="12" t="n">
        <f aca="false">MROUND(I177*120*'Rate Card'!$B$48,500)</f>
        <v>257000</v>
      </c>
      <c r="N177" s="14" t="s">
        <v>486</v>
      </c>
      <c r="O177" s="46" t="n">
        <v>0.58</v>
      </c>
      <c r="P177" s="46" t="n">
        <v>1</v>
      </c>
    </row>
    <row r="178" customFormat="false" ht="15" hidden="false" customHeight="true" outlineLevel="0" collapsed="false">
      <c r="A178" s="9" t="n">
        <v>166</v>
      </c>
      <c r="B178" s="43" t="s">
        <v>107</v>
      </c>
      <c r="C178" s="43" t="s">
        <v>369</v>
      </c>
      <c r="D178" s="44" t="s">
        <v>632</v>
      </c>
      <c r="E178" s="43" t="s">
        <v>472</v>
      </c>
      <c r="F178" s="45" t="s">
        <v>472</v>
      </c>
      <c r="G178" s="45" t="s">
        <v>633</v>
      </c>
      <c r="H178" s="12" t="n">
        <f aca="false">MROUND('Rate Card'!$I$12*O178*P178,10)</f>
        <v>5600</v>
      </c>
      <c r="I178" s="12" t="n">
        <f aca="false">MROUND('Rate Card'!$K$12*O178*P178,10)</f>
        <v>2520</v>
      </c>
      <c r="J178" s="12" t="n">
        <f aca="false">MROUND(H178*4*'Rate Card'!$B$47,100)</f>
        <v>21300</v>
      </c>
      <c r="K178" s="12" t="n">
        <f aca="false">MROUND(I178*4*'Rate Card'!$B$47,100)</f>
        <v>9600</v>
      </c>
      <c r="L178" s="12" t="n">
        <f aca="false">MROUND(H178*120*'Rate Card'!$B$48,500)</f>
        <v>571000</v>
      </c>
      <c r="M178" s="12" t="n">
        <f aca="false">MROUND(I178*120*'Rate Card'!$B$48,500)</f>
        <v>257000</v>
      </c>
      <c r="N178" s="14" t="s">
        <v>486</v>
      </c>
      <c r="O178" s="46" t="n">
        <v>0.58</v>
      </c>
      <c r="P178" s="46" t="n">
        <v>1</v>
      </c>
    </row>
    <row r="179" customFormat="false" ht="15" hidden="false" customHeight="true" outlineLevel="0" collapsed="false">
      <c r="A179" s="9" t="n">
        <v>167</v>
      </c>
      <c r="B179" s="43" t="s">
        <v>107</v>
      </c>
      <c r="C179" s="43" t="s">
        <v>634</v>
      </c>
      <c r="D179" s="44" t="s">
        <v>635</v>
      </c>
      <c r="E179" s="43" t="s">
        <v>636</v>
      </c>
      <c r="F179" s="45" t="s">
        <v>472</v>
      </c>
      <c r="G179" s="45"/>
      <c r="H179" s="12" t="n">
        <f aca="false">MROUND('Rate Card'!$I$12*O179*P179,10)</f>
        <v>5600</v>
      </c>
      <c r="I179" s="12" t="n">
        <f aca="false">MROUND('Rate Card'!$K$12*O179*P179,10)</f>
        <v>2520</v>
      </c>
      <c r="J179" s="12" t="n">
        <f aca="false">MROUND(H179*4*'Rate Card'!$B$47,100)</f>
        <v>21300</v>
      </c>
      <c r="K179" s="12" t="n">
        <f aca="false">MROUND(I179*4*'Rate Card'!$B$47,100)</f>
        <v>9600</v>
      </c>
      <c r="L179" s="12" t="n">
        <f aca="false">MROUND(H179*120*'Rate Card'!$B$48,500)</f>
        <v>571000</v>
      </c>
      <c r="M179" s="12" t="n">
        <f aca="false">MROUND(I179*120*'Rate Card'!$B$48,500)</f>
        <v>257000</v>
      </c>
      <c r="N179" s="14" t="s">
        <v>486</v>
      </c>
      <c r="O179" s="46" t="n">
        <v>0.58</v>
      </c>
      <c r="P179" s="46" t="n">
        <v>1</v>
      </c>
    </row>
    <row r="180" customFormat="false" ht="15" hidden="false" customHeight="true" outlineLevel="0" collapsed="false">
      <c r="A180" s="9" t="n">
        <v>168</v>
      </c>
      <c r="B180" s="43" t="s">
        <v>107</v>
      </c>
      <c r="C180" s="43" t="s">
        <v>420</v>
      </c>
      <c r="D180" s="44" t="s">
        <v>637</v>
      </c>
      <c r="E180" s="43" t="s">
        <v>638</v>
      </c>
      <c r="F180" s="45" t="s">
        <v>472</v>
      </c>
      <c r="G180" s="45"/>
      <c r="H180" s="12" t="n">
        <f aca="false">MROUND('Rate Card'!$I$12*O180*P180,10)</f>
        <v>5600</v>
      </c>
      <c r="I180" s="12" t="n">
        <f aca="false">MROUND('Rate Card'!$K$12*O180*P180,10)</f>
        <v>2520</v>
      </c>
      <c r="J180" s="12" t="n">
        <f aca="false">MROUND(H180*4*'Rate Card'!$B$47,100)</f>
        <v>21300</v>
      </c>
      <c r="K180" s="12" t="n">
        <f aca="false">MROUND(I180*4*'Rate Card'!$B$47,100)</f>
        <v>9600</v>
      </c>
      <c r="L180" s="12" t="n">
        <f aca="false">MROUND(H180*120*'Rate Card'!$B$48,500)</f>
        <v>571000</v>
      </c>
      <c r="M180" s="12" t="n">
        <f aca="false">MROUND(I180*120*'Rate Card'!$B$48,500)</f>
        <v>257000</v>
      </c>
      <c r="N180" s="14" t="s">
        <v>486</v>
      </c>
      <c r="O180" s="46" t="n">
        <v>0.58</v>
      </c>
      <c r="P180" s="46" t="n">
        <v>1</v>
      </c>
    </row>
    <row r="181" customFormat="false" ht="15" hidden="false" customHeight="true" outlineLevel="0" collapsed="false">
      <c r="A181" s="9" t="n">
        <v>169</v>
      </c>
      <c r="B181" s="43" t="s">
        <v>107</v>
      </c>
      <c r="C181" s="43" t="s">
        <v>420</v>
      </c>
      <c r="D181" s="44" t="s">
        <v>639</v>
      </c>
      <c r="E181" s="43" t="s">
        <v>640</v>
      </c>
      <c r="F181" s="45" t="s">
        <v>472</v>
      </c>
      <c r="G181" s="45"/>
      <c r="H181" s="12" t="n">
        <f aca="false">MROUND('Rate Card'!$I$12*O181*P181,10)</f>
        <v>5600</v>
      </c>
      <c r="I181" s="12" t="n">
        <f aca="false">MROUND('Rate Card'!$K$12*O181*P181,10)</f>
        <v>2520</v>
      </c>
      <c r="J181" s="12" t="n">
        <f aca="false">MROUND(H181*4*'Rate Card'!$B$47,100)</f>
        <v>21300</v>
      </c>
      <c r="K181" s="12" t="n">
        <f aca="false">MROUND(I181*4*'Rate Card'!$B$47,100)</f>
        <v>9600</v>
      </c>
      <c r="L181" s="12" t="n">
        <f aca="false">MROUND(H181*120*'Rate Card'!$B$48,500)</f>
        <v>571000</v>
      </c>
      <c r="M181" s="12" t="n">
        <f aca="false">MROUND(I181*120*'Rate Card'!$B$48,500)</f>
        <v>257000</v>
      </c>
      <c r="N181" s="14" t="s">
        <v>486</v>
      </c>
      <c r="O181" s="46" t="n">
        <v>0.58</v>
      </c>
      <c r="P181" s="46" t="n">
        <v>1</v>
      </c>
    </row>
    <row r="182" customFormat="false" ht="15" hidden="false" customHeight="true" outlineLevel="0" collapsed="false">
      <c r="A182" s="42" t="s">
        <v>641</v>
      </c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</row>
    <row r="183" customFormat="false" ht="15" hidden="false" customHeight="true" outlineLevel="0" collapsed="false">
      <c r="A183" s="9" t="n">
        <v>170</v>
      </c>
      <c r="B183" s="43" t="s">
        <v>109</v>
      </c>
      <c r="C183" s="43" t="s">
        <v>294</v>
      </c>
      <c r="D183" s="44" t="s">
        <v>642</v>
      </c>
      <c r="E183" s="43" t="s">
        <v>643</v>
      </c>
      <c r="F183" s="45" t="s">
        <v>297</v>
      </c>
      <c r="G183" s="45"/>
      <c r="H183" s="12" t="n">
        <f aca="false">MROUND('Rate Card'!$I$13*O183*P183,10)</f>
        <v>2700</v>
      </c>
      <c r="I183" s="12" t="n">
        <f aca="false">MROUND('Rate Card'!$K$13*O183*P183,10)</f>
        <v>1350</v>
      </c>
      <c r="J183" s="12" t="n">
        <f aca="false">MROUND(H183*4*'Rate Card'!$B$47,100)</f>
        <v>10300</v>
      </c>
      <c r="K183" s="12" t="n">
        <f aca="false">MROUND(I183*4*'Rate Card'!$B$47,100)</f>
        <v>5100</v>
      </c>
      <c r="L183" s="12" t="n">
        <f aca="false">MROUND(H183*120*'Rate Card'!$B$48,500)</f>
        <v>275500</v>
      </c>
      <c r="M183" s="12" t="n">
        <f aca="false">MROUND(I183*120*'Rate Card'!$B$48,500)</f>
        <v>137500</v>
      </c>
      <c r="N183" s="14"/>
      <c r="O183" s="46" t="n">
        <v>1</v>
      </c>
      <c r="P183" s="46" t="n">
        <v>1</v>
      </c>
    </row>
    <row r="184" customFormat="false" ht="15" hidden="false" customHeight="true" outlineLevel="0" collapsed="false">
      <c r="A184" s="9" t="n">
        <v>171</v>
      </c>
      <c r="B184" s="43" t="s">
        <v>109</v>
      </c>
      <c r="C184" s="43" t="s">
        <v>644</v>
      </c>
      <c r="D184" s="44" t="s">
        <v>645</v>
      </c>
      <c r="E184" s="43" t="s">
        <v>643</v>
      </c>
      <c r="F184" s="45" t="s">
        <v>397</v>
      </c>
      <c r="G184" s="45"/>
      <c r="H184" s="12" t="n">
        <f aca="false">MROUND('Rate Card'!$I$13*O184*P184,10)</f>
        <v>2700</v>
      </c>
      <c r="I184" s="12" t="n">
        <f aca="false">MROUND('Rate Card'!$K$13*O184*P184,10)</f>
        <v>1350</v>
      </c>
      <c r="J184" s="12" t="n">
        <f aca="false">MROUND(H184*4*'Rate Card'!$B$47,100)</f>
        <v>10300</v>
      </c>
      <c r="K184" s="12" t="n">
        <f aca="false">MROUND(I184*4*'Rate Card'!$B$47,100)</f>
        <v>5100</v>
      </c>
      <c r="L184" s="12" t="n">
        <f aca="false">MROUND(H184*120*'Rate Card'!$B$48,500)</f>
        <v>275500</v>
      </c>
      <c r="M184" s="12" t="n">
        <f aca="false">MROUND(I184*120*'Rate Card'!$B$48,500)</f>
        <v>137500</v>
      </c>
      <c r="N184" s="14"/>
      <c r="O184" s="46" t="n">
        <v>1</v>
      </c>
      <c r="P184" s="46" t="n">
        <v>1</v>
      </c>
    </row>
    <row r="185" customFormat="false" ht="15" hidden="false" customHeight="true" outlineLevel="0" collapsed="false">
      <c r="A185" s="9" t="n">
        <v>172</v>
      </c>
      <c r="B185" s="43" t="s">
        <v>109</v>
      </c>
      <c r="C185" s="43" t="s">
        <v>294</v>
      </c>
      <c r="D185" s="44" t="s">
        <v>646</v>
      </c>
      <c r="E185" s="43" t="s">
        <v>643</v>
      </c>
      <c r="F185" s="45" t="s">
        <v>318</v>
      </c>
      <c r="G185" s="45"/>
      <c r="H185" s="12" t="n">
        <f aca="false">MROUND('Rate Card'!$I$13*O185*P185,10)</f>
        <v>2700</v>
      </c>
      <c r="I185" s="12" t="n">
        <f aca="false">MROUND('Rate Card'!$K$13*O185*P185,10)</f>
        <v>1350</v>
      </c>
      <c r="J185" s="12" t="n">
        <f aca="false">MROUND(H185*4*'Rate Card'!$B$47,100)</f>
        <v>10300</v>
      </c>
      <c r="K185" s="12" t="n">
        <f aca="false">MROUND(I185*4*'Rate Card'!$B$47,100)</f>
        <v>5100</v>
      </c>
      <c r="L185" s="12" t="n">
        <f aca="false">MROUND(H185*120*'Rate Card'!$B$48,500)</f>
        <v>275500</v>
      </c>
      <c r="M185" s="12" t="n">
        <f aca="false">MROUND(I185*120*'Rate Card'!$B$48,500)</f>
        <v>137500</v>
      </c>
      <c r="N185" s="14"/>
      <c r="O185" s="46" t="n">
        <v>1</v>
      </c>
      <c r="P185" s="46" t="n">
        <v>1</v>
      </c>
    </row>
    <row r="186" customFormat="false" ht="15" hidden="false" customHeight="true" outlineLevel="0" collapsed="false">
      <c r="A186" s="9" t="n">
        <v>173</v>
      </c>
      <c r="B186" s="43" t="s">
        <v>109</v>
      </c>
      <c r="C186" s="43" t="s">
        <v>294</v>
      </c>
      <c r="D186" s="44" t="s">
        <v>647</v>
      </c>
      <c r="E186" s="43" t="s">
        <v>648</v>
      </c>
      <c r="F186" s="45" t="s">
        <v>297</v>
      </c>
      <c r="G186" s="45"/>
      <c r="H186" s="12" t="n">
        <f aca="false">MROUND('Rate Card'!$I$13*O186*P186,10)</f>
        <v>2700</v>
      </c>
      <c r="I186" s="12" t="n">
        <f aca="false">MROUND('Rate Card'!$K$13*O186*P186,10)</f>
        <v>1350</v>
      </c>
      <c r="J186" s="12" t="n">
        <f aca="false">MROUND(H186*4*'Rate Card'!$B$47,100)</f>
        <v>10300</v>
      </c>
      <c r="K186" s="12" t="n">
        <f aca="false">MROUND(I186*4*'Rate Card'!$B$47,100)</f>
        <v>5100</v>
      </c>
      <c r="L186" s="12" t="n">
        <f aca="false">MROUND(H186*120*'Rate Card'!$B$48,500)</f>
        <v>275500</v>
      </c>
      <c r="M186" s="12" t="n">
        <f aca="false">MROUND(I186*120*'Rate Card'!$B$48,500)</f>
        <v>137500</v>
      </c>
      <c r="N186" s="14"/>
      <c r="O186" s="46" t="n">
        <v>1</v>
      </c>
      <c r="P186" s="46" t="n">
        <v>1</v>
      </c>
    </row>
    <row r="187" customFormat="false" ht="15" hidden="false" customHeight="true" outlineLevel="0" collapsed="false">
      <c r="A187" s="9" t="n">
        <v>174</v>
      </c>
      <c r="B187" s="43" t="s">
        <v>109</v>
      </c>
      <c r="C187" s="43" t="s">
        <v>294</v>
      </c>
      <c r="D187" s="44" t="s">
        <v>649</v>
      </c>
      <c r="E187" s="43" t="s">
        <v>648</v>
      </c>
      <c r="F187" s="45" t="s">
        <v>318</v>
      </c>
      <c r="G187" s="45"/>
      <c r="H187" s="12" t="n">
        <f aca="false">MROUND('Rate Card'!$I$13*O187*P187,10)</f>
        <v>2700</v>
      </c>
      <c r="I187" s="12" t="n">
        <f aca="false">MROUND('Rate Card'!$K$13*O187*P187,10)</f>
        <v>1350</v>
      </c>
      <c r="J187" s="12" t="n">
        <f aca="false">MROUND(H187*4*'Rate Card'!$B$47,100)</f>
        <v>10300</v>
      </c>
      <c r="K187" s="12" t="n">
        <f aca="false">MROUND(I187*4*'Rate Card'!$B$47,100)</f>
        <v>5100</v>
      </c>
      <c r="L187" s="12" t="n">
        <f aca="false">MROUND(H187*120*'Rate Card'!$B$48,500)</f>
        <v>275500</v>
      </c>
      <c r="M187" s="12" t="n">
        <f aca="false">MROUND(I187*120*'Rate Card'!$B$48,500)</f>
        <v>137500</v>
      </c>
      <c r="N187" s="14"/>
      <c r="O187" s="46" t="n">
        <v>1</v>
      </c>
      <c r="P187" s="46" t="n">
        <v>1</v>
      </c>
    </row>
    <row r="188" customFormat="false" ht="15" hidden="false" customHeight="true" outlineLevel="0" collapsed="false">
      <c r="A188" s="9" t="n">
        <v>175</v>
      </c>
      <c r="B188" s="43" t="s">
        <v>109</v>
      </c>
      <c r="C188" s="43" t="s">
        <v>294</v>
      </c>
      <c r="D188" s="44" t="s">
        <v>650</v>
      </c>
      <c r="E188" s="43" t="s">
        <v>643</v>
      </c>
      <c r="F188" s="45" t="s">
        <v>306</v>
      </c>
      <c r="G188" s="45"/>
      <c r="H188" s="12" t="n">
        <f aca="false">MROUND('Rate Card'!$I$13*O188*P188,10)</f>
        <v>2700</v>
      </c>
      <c r="I188" s="12" t="n">
        <f aca="false">MROUND('Rate Card'!$K$13*O188*P188,10)</f>
        <v>1350</v>
      </c>
      <c r="J188" s="12" t="n">
        <f aca="false">MROUND(H188*4*'Rate Card'!$B$47,100)</f>
        <v>10300</v>
      </c>
      <c r="K188" s="12" t="n">
        <f aca="false">MROUND(I188*4*'Rate Card'!$B$47,100)</f>
        <v>5100</v>
      </c>
      <c r="L188" s="12" t="n">
        <f aca="false">MROUND(H188*120*'Rate Card'!$B$48,500)</f>
        <v>275500</v>
      </c>
      <c r="M188" s="12" t="n">
        <f aca="false">MROUND(I188*120*'Rate Card'!$B$48,500)</f>
        <v>137500</v>
      </c>
      <c r="N188" s="14"/>
      <c r="O188" s="46" t="n">
        <v>1</v>
      </c>
      <c r="P188" s="46" t="n">
        <v>1</v>
      </c>
    </row>
    <row r="189" customFormat="false" ht="15" hidden="false" customHeight="true" outlineLevel="0" collapsed="false">
      <c r="A189" s="9" t="n">
        <v>176</v>
      </c>
      <c r="B189" s="43" t="s">
        <v>109</v>
      </c>
      <c r="C189" s="43" t="s">
        <v>294</v>
      </c>
      <c r="D189" s="44" t="s">
        <v>651</v>
      </c>
      <c r="E189" s="43" t="s">
        <v>472</v>
      </c>
      <c r="F189" s="45" t="s">
        <v>374</v>
      </c>
      <c r="G189" s="45"/>
      <c r="H189" s="12" t="n">
        <f aca="false">MROUND('Rate Card'!$I$13*O189*P189,10)</f>
        <v>2480</v>
      </c>
      <c r="I189" s="12" t="n">
        <f aca="false">MROUND('Rate Card'!$K$13*O189*P189,10)</f>
        <v>1240</v>
      </c>
      <c r="J189" s="12" t="n">
        <f aca="false">MROUND(H189*4*'Rate Card'!$B$47,100)</f>
        <v>9400</v>
      </c>
      <c r="K189" s="12" t="n">
        <f aca="false">MROUND(I189*4*'Rate Card'!$B$47,100)</f>
        <v>4700</v>
      </c>
      <c r="L189" s="12" t="n">
        <f aca="false">MROUND(H189*120*'Rate Card'!$B$48,500)</f>
        <v>253000</v>
      </c>
      <c r="M189" s="12" t="n">
        <f aca="false">MROUND(I189*120*'Rate Card'!$B$48,500)</f>
        <v>126500</v>
      </c>
      <c r="N189" s="14"/>
      <c r="O189" s="46" t="n">
        <v>0.92</v>
      </c>
      <c r="P189" s="46" t="n">
        <v>1</v>
      </c>
    </row>
    <row r="190" customFormat="false" ht="15" hidden="false" customHeight="true" outlineLevel="0" collapsed="false">
      <c r="A190" s="9" t="n">
        <v>177</v>
      </c>
      <c r="B190" s="43" t="s">
        <v>109</v>
      </c>
      <c r="C190" s="43" t="s">
        <v>294</v>
      </c>
      <c r="D190" s="44" t="s">
        <v>652</v>
      </c>
      <c r="E190" s="43" t="s">
        <v>472</v>
      </c>
      <c r="F190" s="45" t="s">
        <v>374</v>
      </c>
      <c r="G190" s="45"/>
      <c r="H190" s="12" t="n">
        <f aca="false">MROUND('Rate Card'!$I$13*O190*P190,10)</f>
        <v>2480</v>
      </c>
      <c r="I190" s="12" t="n">
        <f aca="false">MROUND('Rate Card'!$K$13*O190*P190,10)</f>
        <v>1240</v>
      </c>
      <c r="J190" s="12" t="n">
        <f aca="false">MROUND(H190*4*'Rate Card'!$B$47,100)</f>
        <v>9400</v>
      </c>
      <c r="K190" s="12" t="n">
        <f aca="false">MROUND(I190*4*'Rate Card'!$B$47,100)</f>
        <v>4700</v>
      </c>
      <c r="L190" s="12" t="n">
        <f aca="false">MROUND(H190*120*'Rate Card'!$B$48,500)</f>
        <v>253000</v>
      </c>
      <c r="M190" s="12" t="n">
        <f aca="false">MROUND(I190*120*'Rate Card'!$B$48,500)</f>
        <v>126500</v>
      </c>
      <c r="N190" s="14"/>
      <c r="O190" s="46" t="n">
        <v>0.92</v>
      </c>
      <c r="P190" s="46" t="n">
        <v>1</v>
      </c>
    </row>
    <row r="191" customFormat="false" ht="15" hidden="false" customHeight="true" outlineLevel="0" collapsed="false">
      <c r="A191" s="9" t="n">
        <v>178</v>
      </c>
      <c r="B191" s="43" t="s">
        <v>109</v>
      </c>
      <c r="C191" s="43" t="s">
        <v>294</v>
      </c>
      <c r="D191" s="44" t="s">
        <v>653</v>
      </c>
      <c r="E191" s="43" t="s">
        <v>472</v>
      </c>
      <c r="F191" s="45" t="s">
        <v>374</v>
      </c>
      <c r="G191" s="45"/>
      <c r="H191" s="12" t="n">
        <f aca="false">MROUND('Rate Card'!$I$13*O191*P191,10)</f>
        <v>2480</v>
      </c>
      <c r="I191" s="12" t="n">
        <f aca="false">MROUND('Rate Card'!$K$13*O191*P191,10)</f>
        <v>1240</v>
      </c>
      <c r="J191" s="12" t="n">
        <f aca="false">MROUND(H191*4*'Rate Card'!$B$47,100)</f>
        <v>9400</v>
      </c>
      <c r="K191" s="12" t="n">
        <f aca="false">MROUND(I191*4*'Rate Card'!$B$47,100)</f>
        <v>4700</v>
      </c>
      <c r="L191" s="12" t="n">
        <f aca="false">MROUND(H191*120*'Rate Card'!$B$48,500)</f>
        <v>253000</v>
      </c>
      <c r="M191" s="12" t="n">
        <f aca="false">MROUND(I191*120*'Rate Card'!$B$48,500)</f>
        <v>126500</v>
      </c>
      <c r="N191" s="14"/>
      <c r="O191" s="46" t="n">
        <v>0.92</v>
      </c>
      <c r="P191" s="46" t="n">
        <v>1</v>
      </c>
    </row>
    <row r="192" customFormat="false" ht="15" hidden="false" customHeight="true" outlineLevel="0" collapsed="false">
      <c r="A192" s="9" t="n">
        <v>179</v>
      </c>
      <c r="B192" s="43" t="s">
        <v>109</v>
      </c>
      <c r="C192" s="43" t="s">
        <v>294</v>
      </c>
      <c r="D192" s="44" t="s">
        <v>654</v>
      </c>
      <c r="E192" s="43" t="s">
        <v>472</v>
      </c>
      <c r="F192" s="45" t="s">
        <v>397</v>
      </c>
      <c r="G192" s="45"/>
      <c r="H192" s="12" t="n">
        <f aca="false">MROUND('Rate Card'!$I$13*O192*P192,10)</f>
        <v>2480</v>
      </c>
      <c r="I192" s="12" t="n">
        <f aca="false">MROUND('Rate Card'!$K$13*O192*P192,10)</f>
        <v>1240</v>
      </c>
      <c r="J192" s="12" t="n">
        <f aca="false">MROUND(H192*4*'Rate Card'!$B$47,100)</f>
        <v>9400</v>
      </c>
      <c r="K192" s="12" t="n">
        <f aca="false">MROUND(I192*4*'Rate Card'!$B$47,100)</f>
        <v>4700</v>
      </c>
      <c r="L192" s="12" t="n">
        <f aca="false">MROUND(H192*120*'Rate Card'!$B$48,500)</f>
        <v>253000</v>
      </c>
      <c r="M192" s="12" t="n">
        <f aca="false">MROUND(I192*120*'Rate Card'!$B$48,500)</f>
        <v>126500</v>
      </c>
      <c r="N192" s="14"/>
      <c r="O192" s="46" t="n">
        <v>0.92</v>
      </c>
      <c r="P192" s="46" t="n">
        <v>1</v>
      </c>
    </row>
    <row r="193" customFormat="false" ht="15" hidden="false" customHeight="true" outlineLevel="0" collapsed="false">
      <c r="A193" s="9" t="n">
        <v>180</v>
      </c>
      <c r="B193" s="43" t="s">
        <v>109</v>
      </c>
      <c r="C193" s="43" t="s">
        <v>294</v>
      </c>
      <c r="D193" s="44" t="s">
        <v>655</v>
      </c>
      <c r="E193" s="43" t="s">
        <v>643</v>
      </c>
      <c r="F193" s="45" t="s">
        <v>397</v>
      </c>
      <c r="G193" s="45"/>
      <c r="H193" s="12" t="n">
        <f aca="false">MROUND('Rate Card'!$I$13*O193*P193,10)</f>
        <v>2480</v>
      </c>
      <c r="I193" s="12" t="n">
        <f aca="false">MROUND('Rate Card'!$K$13*O193*P193,10)</f>
        <v>1240</v>
      </c>
      <c r="J193" s="12" t="n">
        <f aca="false">MROUND(H193*4*'Rate Card'!$B$47,100)</f>
        <v>9400</v>
      </c>
      <c r="K193" s="12" t="n">
        <f aca="false">MROUND(I193*4*'Rate Card'!$B$47,100)</f>
        <v>4700</v>
      </c>
      <c r="L193" s="12" t="n">
        <f aca="false">MROUND(H193*120*'Rate Card'!$B$48,500)</f>
        <v>253000</v>
      </c>
      <c r="M193" s="12" t="n">
        <f aca="false">MROUND(I193*120*'Rate Card'!$B$48,500)</f>
        <v>126500</v>
      </c>
      <c r="N193" s="14"/>
      <c r="O193" s="46" t="n">
        <v>0.92</v>
      </c>
      <c r="P193" s="46" t="n">
        <v>1</v>
      </c>
    </row>
    <row r="194" customFormat="false" ht="15" hidden="false" customHeight="true" outlineLevel="0" collapsed="false">
      <c r="A194" s="9" t="n">
        <v>181</v>
      </c>
      <c r="B194" s="43" t="s">
        <v>109</v>
      </c>
      <c r="C194" s="43" t="s">
        <v>294</v>
      </c>
      <c r="D194" s="44" t="s">
        <v>656</v>
      </c>
      <c r="E194" s="43" t="s">
        <v>643</v>
      </c>
      <c r="F194" s="45" t="s">
        <v>318</v>
      </c>
      <c r="G194" s="45"/>
      <c r="H194" s="12" t="n">
        <f aca="false">MROUND('Rate Card'!$I$13*O194*P194,10)</f>
        <v>2480</v>
      </c>
      <c r="I194" s="12" t="n">
        <f aca="false">MROUND('Rate Card'!$K$13*O194*P194,10)</f>
        <v>1240</v>
      </c>
      <c r="J194" s="12" t="n">
        <f aca="false">MROUND(H194*4*'Rate Card'!$B$47,100)</f>
        <v>9400</v>
      </c>
      <c r="K194" s="12" t="n">
        <f aca="false">MROUND(I194*4*'Rate Card'!$B$47,100)</f>
        <v>4700</v>
      </c>
      <c r="L194" s="12" t="n">
        <f aca="false">MROUND(H194*120*'Rate Card'!$B$48,500)</f>
        <v>253000</v>
      </c>
      <c r="M194" s="12" t="n">
        <f aca="false">MROUND(I194*120*'Rate Card'!$B$48,500)</f>
        <v>126500</v>
      </c>
      <c r="N194" s="14"/>
      <c r="O194" s="46" t="n">
        <v>0.92</v>
      </c>
      <c r="P194" s="46" t="n">
        <v>1</v>
      </c>
    </row>
    <row r="195" customFormat="false" ht="15" hidden="false" customHeight="true" outlineLevel="0" collapsed="false">
      <c r="A195" s="9" t="n">
        <v>182</v>
      </c>
      <c r="B195" s="43" t="s">
        <v>109</v>
      </c>
      <c r="C195" s="43" t="s">
        <v>294</v>
      </c>
      <c r="D195" s="44" t="s">
        <v>657</v>
      </c>
      <c r="E195" s="43" t="s">
        <v>643</v>
      </c>
      <c r="F195" s="45" t="s">
        <v>397</v>
      </c>
      <c r="G195" s="45"/>
      <c r="H195" s="12" t="n">
        <f aca="false">MROUND('Rate Card'!$I$13*O195*P195,10)</f>
        <v>2480</v>
      </c>
      <c r="I195" s="12" t="n">
        <f aca="false">MROUND('Rate Card'!$K$13*O195*P195,10)</f>
        <v>1240</v>
      </c>
      <c r="J195" s="12" t="n">
        <f aca="false">MROUND(H195*4*'Rate Card'!$B$47,100)</f>
        <v>9400</v>
      </c>
      <c r="K195" s="12" t="n">
        <f aca="false">MROUND(I195*4*'Rate Card'!$B$47,100)</f>
        <v>4700</v>
      </c>
      <c r="L195" s="12" t="n">
        <f aca="false">MROUND(H195*120*'Rate Card'!$B$48,500)</f>
        <v>253000</v>
      </c>
      <c r="M195" s="12" t="n">
        <f aca="false">MROUND(I195*120*'Rate Card'!$B$48,500)</f>
        <v>126500</v>
      </c>
      <c r="N195" s="14"/>
      <c r="O195" s="46" t="n">
        <v>0.92</v>
      </c>
      <c r="P195" s="46" t="n">
        <v>1</v>
      </c>
    </row>
    <row r="196" customFormat="false" ht="15" hidden="false" customHeight="true" outlineLevel="0" collapsed="false">
      <c r="A196" s="9" t="n">
        <v>183</v>
      </c>
      <c r="B196" s="43" t="s">
        <v>109</v>
      </c>
      <c r="C196" s="43" t="s">
        <v>294</v>
      </c>
      <c r="D196" s="44" t="s">
        <v>658</v>
      </c>
      <c r="E196" s="43" t="s">
        <v>643</v>
      </c>
      <c r="F196" s="45" t="s">
        <v>397</v>
      </c>
      <c r="G196" s="45"/>
      <c r="H196" s="12" t="n">
        <f aca="false">MROUND('Rate Card'!$I$13*O196*P196,10)</f>
        <v>2480</v>
      </c>
      <c r="I196" s="12" t="n">
        <f aca="false">MROUND('Rate Card'!$K$13*O196*P196,10)</f>
        <v>1240</v>
      </c>
      <c r="J196" s="12" t="n">
        <f aca="false">MROUND(H196*4*'Rate Card'!$B$47,100)</f>
        <v>9400</v>
      </c>
      <c r="K196" s="12" t="n">
        <f aca="false">MROUND(I196*4*'Rate Card'!$B$47,100)</f>
        <v>4700</v>
      </c>
      <c r="L196" s="12" t="n">
        <f aca="false">MROUND(H196*120*'Rate Card'!$B$48,500)</f>
        <v>253000</v>
      </c>
      <c r="M196" s="12" t="n">
        <f aca="false">MROUND(I196*120*'Rate Card'!$B$48,500)</f>
        <v>126500</v>
      </c>
      <c r="N196" s="14"/>
      <c r="O196" s="46" t="n">
        <v>0.92</v>
      </c>
      <c r="P196" s="46" t="n">
        <v>1</v>
      </c>
    </row>
    <row r="197" customFormat="false" ht="15" hidden="false" customHeight="true" outlineLevel="0" collapsed="false">
      <c r="A197" s="9" t="n">
        <v>184</v>
      </c>
      <c r="B197" s="43" t="s">
        <v>109</v>
      </c>
      <c r="C197" s="43" t="s">
        <v>294</v>
      </c>
      <c r="D197" s="44" t="s">
        <v>659</v>
      </c>
      <c r="E197" s="43" t="s">
        <v>472</v>
      </c>
      <c r="F197" s="45" t="s">
        <v>397</v>
      </c>
      <c r="G197" s="45"/>
      <c r="H197" s="12" t="n">
        <f aca="false">MROUND('Rate Card'!$I$13*O197*P197,10)</f>
        <v>2480</v>
      </c>
      <c r="I197" s="12" t="n">
        <f aca="false">MROUND('Rate Card'!$K$13*O197*P197,10)</f>
        <v>1240</v>
      </c>
      <c r="J197" s="12" t="n">
        <f aca="false">MROUND(H197*4*'Rate Card'!$B$47,100)</f>
        <v>9400</v>
      </c>
      <c r="K197" s="12" t="n">
        <f aca="false">MROUND(I197*4*'Rate Card'!$B$47,100)</f>
        <v>4700</v>
      </c>
      <c r="L197" s="12" t="n">
        <f aca="false">MROUND(H197*120*'Rate Card'!$B$48,500)</f>
        <v>253000</v>
      </c>
      <c r="M197" s="12" t="n">
        <f aca="false">MROUND(I197*120*'Rate Card'!$B$48,500)</f>
        <v>126500</v>
      </c>
      <c r="N197" s="14"/>
      <c r="O197" s="46" t="n">
        <v>0.92</v>
      </c>
      <c r="P197" s="46" t="n">
        <v>1</v>
      </c>
    </row>
    <row r="198" customFormat="false" ht="15" hidden="false" customHeight="true" outlineLevel="0" collapsed="false">
      <c r="A198" s="9" t="n">
        <v>185</v>
      </c>
      <c r="B198" s="43" t="s">
        <v>109</v>
      </c>
      <c r="C198" s="43" t="s">
        <v>386</v>
      </c>
      <c r="D198" s="44" t="s">
        <v>660</v>
      </c>
      <c r="E198" s="43" t="s">
        <v>661</v>
      </c>
      <c r="F198" s="45" t="s">
        <v>397</v>
      </c>
      <c r="G198" s="45"/>
      <c r="H198" s="12" t="n">
        <f aca="false">MROUND('Rate Card'!$I$13*O198*P198,10)</f>
        <v>2480</v>
      </c>
      <c r="I198" s="12" t="n">
        <f aca="false">MROUND('Rate Card'!$K$13*O198*P198,10)</f>
        <v>1240</v>
      </c>
      <c r="J198" s="12" t="n">
        <f aca="false">MROUND(H198*4*'Rate Card'!$B$47,100)</f>
        <v>9400</v>
      </c>
      <c r="K198" s="12" t="n">
        <f aca="false">MROUND(I198*4*'Rate Card'!$B$47,100)</f>
        <v>4700</v>
      </c>
      <c r="L198" s="12" t="n">
        <f aca="false">MROUND(H198*120*'Rate Card'!$B$48,500)</f>
        <v>253000</v>
      </c>
      <c r="M198" s="12" t="n">
        <f aca="false">MROUND(I198*120*'Rate Card'!$B$48,500)</f>
        <v>126500</v>
      </c>
      <c r="N198" s="14"/>
      <c r="O198" s="46" t="n">
        <v>0.92</v>
      </c>
      <c r="P198" s="46" t="n">
        <v>1</v>
      </c>
    </row>
    <row r="199" customFormat="false" ht="15" hidden="false" customHeight="true" outlineLevel="0" collapsed="false">
      <c r="A199" s="9" t="n">
        <v>186</v>
      </c>
      <c r="B199" s="43" t="s">
        <v>109</v>
      </c>
      <c r="C199" s="43" t="s">
        <v>294</v>
      </c>
      <c r="D199" s="44" t="s">
        <v>662</v>
      </c>
      <c r="E199" s="43" t="s">
        <v>643</v>
      </c>
      <c r="F199" s="45" t="s">
        <v>318</v>
      </c>
      <c r="G199" s="45"/>
      <c r="H199" s="12" t="n">
        <f aca="false">MROUND('Rate Card'!$I$13*O199*P199,10)</f>
        <v>2480</v>
      </c>
      <c r="I199" s="12" t="n">
        <f aca="false">MROUND('Rate Card'!$K$13*O199*P199,10)</f>
        <v>1240</v>
      </c>
      <c r="J199" s="12" t="n">
        <f aca="false">MROUND(H199*4*'Rate Card'!$B$47,100)</f>
        <v>9400</v>
      </c>
      <c r="K199" s="12" t="n">
        <f aca="false">MROUND(I199*4*'Rate Card'!$B$47,100)</f>
        <v>4700</v>
      </c>
      <c r="L199" s="12" t="n">
        <f aca="false">MROUND(H199*120*'Rate Card'!$B$48,500)</f>
        <v>253000</v>
      </c>
      <c r="M199" s="12" t="n">
        <f aca="false">MROUND(I199*120*'Rate Card'!$B$48,500)</f>
        <v>126500</v>
      </c>
      <c r="N199" s="14"/>
      <c r="O199" s="46" t="n">
        <v>0.92</v>
      </c>
      <c r="P199" s="46" t="n">
        <v>1</v>
      </c>
    </row>
    <row r="200" customFormat="false" ht="15" hidden="false" customHeight="true" outlineLevel="0" collapsed="false">
      <c r="A200" s="9" t="n">
        <v>187</v>
      </c>
      <c r="B200" s="43" t="s">
        <v>109</v>
      </c>
      <c r="C200" s="43" t="s">
        <v>294</v>
      </c>
      <c r="D200" s="44" t="s">
        <v>663</v>
      </c>
      <c r="E200" s="43" t="s">
        <v>643</v>
      </c>
      <c r="F200" s="45" t="s">
        <v>397</v>
      </c>
      <c r="G200" s="45"/>
      <c r="H200" s="12" t="n">
        <f aca="false">MROUND('Rate Card'!$I$13*O200*P200,10)</f>
        <v>2480</v>
      </c>
      <c r="I200" s="12" t="n">
        <f aca="false">MROUND('Rate Card'!$K$13*O200*P200,10)</f>
        <v>1240</v>
      </c>
      <c r="J200" s="12" t="n">
        <f aca="false">MROUND(H200*4*'Rate Card'!$B$47,100)</f>
        <v>9400</v>
      </c>
      <c r="K200" s="12" t="n">
        <f aca="false">MROUND(I200*4*'Rate Card'!$B$47,100)</f>
        <v>4700</v>
      </c>
      <c r="L200" s="12" t="n">
        <f aca="false">MROUND(H200*120*'Rate Card'!$B$48,500)</f>
        <v>253000</v>
      </c>
      <c r="M200" s="12" t="n">
        <f aca="false">MROUND(I200*120*'Rate Card'!$B$48,500)</f>
        <v>126500</v>
      </c>
      <c r="N200" s="14"/>
      <c r="O200" s="46" t="n">
        <v>0.92</v>
      </c>
      <c r="P200" s="46" t="n">
        <v>1</v>
      </c>
    </row>
    <row r="201" customFormat="false" ht="15" hidden="false" customHeight="true" outlineLevel="0" collapsed="false">
      <c r="A201" s="9" t="n">
        <v>188</v>
      </c>
      <c r="B201" s="43" t="s">
        <v>109</v>
      </c>
      <c r="C201" s="43" t="s">
        <v>294</v>
      </c>
      <c r="D201" s="44" t="s">
        <v>664</v>
      </c>
      <c r="E201" s="43" t="s">
        <v>643</v>
      </c>
      <c r="F201" s="45" t="s">
        <v>297</v>
      </c>
      <c r="G201" s="45"/>
      <c r="H201" s="12" t="n">
        <f aca="false">MROUND('Rate Card'!$I$13*O201*P201,10)</f>
        <v>2480</v>
      </c>
      <c r="I201" s="12" t="n">
        <f aca="false">MROUND('Rate Card'!$K$13*O201*P201,10)</f>
        <v>1240</v>
      </c>
      <c r="J201" s="12" t="n">
        <f aca="false">MROUND(H201*4*'Rate Card'!$B$47,100)</f>
        <v>9400</v>
      </c>
      <c r="K201" s="12" t="n">
        <f aca="false">MROUND(I201*4*'Rate Card'!$B$47,100)</f>
        <v>4700</v>
      </c>
      <c r="L201" s="12" t="n">
        <f aca="false">MROUND(H201*120*'Rate Card'!$B$48,500)</f>
        <v>253000</v>
      </c>
      <c r="M201" s="12" t="n">
        <f aca="false">MROUND(I201*120*'Rate Card'!$B$48,500)</f>
        <v>126500</v>
      </c>
      <c r="N201" s="14"/>
      <c r="O201" s="46" t="n">
        <v>0.92</v>
      </c>
      <c r="P201" s="46" t="n">
        <v>1</v>
      </c>
    </row>
    <row r="202" customFormat="false" ht="15" hidden="false" customHeight="true" outlineLevel="0" collapsed="false">
      <c r="A202" s="9" t="n">
        <v>189</v>
      </c>
      <c r="B202" s="43" t="s">
        <v>109</v>
      </c>
      <c r="C202" s="43" t="s">
        <v>294</v>
      </c>
      <c r="D202" s="44" t="s">
        <v>665</v>
      </c>
      <c r="E202" s="43" t="s">
        <v>643</v>
      </c>
      <c r="F202" s="45" t="s">
        <v>297</v>
      </c>
      <c r="G202" s="45"/>
      <c r="H202" s="12" t="n">
        <f aca="false">MROUND('Rate Card'!$I$13*O202*P202,10)</f>
        <v>2480</v>
      </c>
      <c r="I202" s="12" t="n">
        <f aca="false">MROUND('Rate Card'!$K$13*O202*P202,10)</f>
        <v>1240</v>
      </c>
      <c r="J202" s="12" t="n">
        <f aca="false">MROUND(H202*4*'Rate Card'!$B$47,100)</f>
        <v>9400</v>
      </c>
      <c r="K202" s="12" t="n">
        <f aca="false">MROUND(I202*4*'Rate Card'!$B$47,100)</f>
        <v>4700</v>
      </c>
      <c r="L202" s="12" t="n">
        <f aca="false">MROUND(H202*120*'Rate Card'!$B$48,500)</f>
        <v>253000</v>
      </c>
      <c r="M202" s="12" t="n">
        <f aca="false">MROUND(I202*120*'Rate Card'!$B$48,500)</f>
        <v>126500</v>
      </c>
      <c r="N202" s="14"/>
      <c r="O202" s="46" t="n">
        <v>0.92</v>
      </c>
      <c r="P202" s="46" t="n">
        <v>1</v>
      </c>
    </row>
    <row r="203" customFormat="false" ht="15" hidden="false" customHeight="true" outlineLevel="0" collapsed="false">
      <c r="A203" s="9" t="n">
        <v>190</v>
      </c>
      <c r="B203" s="43" t="s">
        <v>109</v>
      </c>
      <c r="C203" s="43" t="s">
        <v>294</v>
      </c>
      <c r="D203" s="44" t="s">
        <v>666</v>
      </c>
      <c r="E203" s="43" t="s">
        <v>667</v>
      </c>
      <c r="F203" s="45" t="s">
        <v>318</v>
      </c>
      <c r="G203" s="45"/>
      <c r="H203" s="12" t="n">
        <f aca="false">MROUND('Rate Card'!$I$13*O203*P203,10)</f>
        <v>2480</v>
      </c>
      <c r="I203" s="12" t="n">
        <f aca="false">MROUND('Rate Card'!$K$13*O203*P203,10)</f>
        <v>1240</v>
      </c>
      <c r="J203" s="12" t="n">
        <f aca="false">MROUND(H203*4*'Rate Card'!$B$47,100)</f>
        <v>9400</v>
      </c>
      <c r="K203" s="12" t="n">
        <f aca="false">MROUND(I203*4*'Rate Card'!$B$47,100)</f>
        <v>4700</v>
      </c>
      <c r="L203" s="12" t="n">
        <f aca="false">MROUND(H203*120*'Rate Card'!$B$48,500)</f>
        <v>253000</v>
      </c>
      <c r="M203" s="12" t="n">
        <f aca="false">MROUND(I203*120*'Rate Card'!$B$48,500)</f>
        <v>126500</v>
      </c>
      <c r="N203" s="14"/>
      <c r="O203" s="46" t="n">
        <v>0.92</v>
      </c>
      <c r="P203" s="46" t="n">
        <v>1</v>
      </c>
    </row>
    <row r="204" customFormat="false" ht="15" hidden="false" customHeight="true" outlineLevel="0" collapsed="false">
      <c r="A204" s="9" t="n">
        <v>191</v>
      </c>
      <c r="B204" s="43" t="s">
        <v>109</v>
      </c>
      <c r="C204" s="43" t="s">
        <v>294</v>
      </c>
      <c r="D204" s="44" t="s">
        <v>668</v>
      </c>
      <c r="E204" s="43" t="s">
        <v>472</v>
      </c>
      <c r="F204" s="45" t="s">
        <v>397</v>
      </c>
      <c r="G204" s="45"/>
      <c r="H204" s="12" t="n">
        <f aca="false">MROUND('Rate Card'!$I$13*O204*P204,10)</f>
        <v>2210</v>
      </c>
      <c r="I204" s="12" t="n">
        <f aca="false">MROUND('Rate Card'!$K$13*O204*P204,10)</f>
        <v>1110</v>
      </c>
      <c r="J204" s="12" t="n">
        <f aca="false">MROUND(H204*4*'Rate Card'!$B$47,100)</f>
        <v>8400</v>
      </c>
      <c r="K204" s="12" t="n">
        <f aca="false">MROUND(I204*4*'Rate Card'!$B$47,100)</f>
        <v>4200</v>
      </c>
      <c r="L204" s="12" t="n">
        <f aca="false">MROUND(H204*120*'Rate Card'!$B$48,500)</f>
        <v>225500</v>
      </c>
      <c r="M204" s="12" t="n">
        <f aca="false">MROUND(I204*120*'Rate Card'!$B$48,500)</f>
        <v>113000</v>
      </c>
      <c r="N204" s="14"/>
      <c r="O204" s="46" t="n">
        <v>0.82</v>
      </c>
      <c r="P204" s="46" t="n">
        <v>1</v>
      </c>
    </row>
    <row r="205" customFormat="false" ht="15" hidden="false" customHeight="true" outlineLevel="0" collapsed="false">
      <c r="A205" s="9" t="n">
        <v>192</v>
      </c>
      <c r="B205" s="43" t="s">
        <v>109</v>
      </c>
      <c r="C205" s="43" t="s">
        <v>294</v>
      </c>
      <c r="D205" s="44" t="s">
        <v>669</v>
      </c>
      <c r="E205" s="43" t="s">
        <v>670</v>
      </c>
      <c r="F205" s="45" t="s">
        <v>374</v>
      </c>
      <c r="G205" s="45"/>
      <c r="H205" s="12" t="n">
        <f aca="false">MROUND('Rate Card'!$I$13*O205*P205,10)</f>
        <v>2210</v>
      </c>
      <c r="I205" s="12" t="n">
        <f aca="false">MROUND('Rate Card'!$K$13*O205*P205,10)</f>
        <v>1110</v>
      </c>
      <c r="J205" s="12" t="n">
        <f aca="false">MROUND(H205*4*'Rate Card'!$B$47,100)</f>
        <v>8400</v>
      </c>
      <c r="K205" s="12" t="n">
        <f aca="false">MROUND(I205*4*'Rate Card'!$B$47,100)</f>
        <v>4200</v>
      </c>
      <c r="L205" s="12" t="n">
        <f aca="false">MROUND(H205*120*'Rate Card'!$B$48,500)</f>
        <v>225500</v>
      </c>
      <c r="M205" s="12" t="n">
        <f aca="false">MROUND(I205*120*'Rate Card'!$B$48,500)</f>
        <v>113000</v>
      </c>
      <c r="N205" s="14"/>
      <c r="O205" s="46" t="n">
        <v>0.82</v>
      </c>
      <c r="P205" s="46" t="n">
        <v>1</v>
      </c>
    </row>
    <row r="206" customFormat="false" ht="15" hidden="false" customHeight="true" outlineLevel="0" collapsed="false">
      <c r="A206" s="9" t="n">
        <v>193</v>
      </c>
      <c r="B206" s="43" t="s">
        <v>109</v>
      </c>
      <c r="C206" s="43" t="s">
        <v>294</v>
      </c>
      <c r="D206" s="44" t="s">
        <v>671</v>
      </c>
      <c r="E206" s="43" t="s">
        <v>670</v>
      </c>
      <c r="F206" s="45" t="s">
        <v>297</v>
      </c>
      <c r="G206" s="45"/>
      <c r="H206" s="12" t="n">
        <f aca="false">MROUND('Rate Card'!$I$13*O206*P206,10)</f>
        <v>2210</v>
      </c>
      <c r="I206" s="12" t="n">
        <f aca="false">MROUND('Rate Card'!$K$13*O206*P206,10)</f>
        <v>1110</v>
      </c>
      <c r="J206" s="12" t="n">
        <f aca="false">MROUND(H206*4*'Rate Card'!$B$47,100)</f>
        <v>8400</v>
      </c>
      <c r="K206" s="12" t="n">
        <f aca="false">MROUND(I206*4*'Rate Card'!$B$47,100)</f>
        <v>4200</v>
      </c>
      <c r="L206" s="12" t="n">
        <f aca="false">MROUND(H206*120*'Rate Card'!$B$48,500)</f>
        <v>225500</v>
      </c>
      <c r="M206" s="12" t="n">
        <f aca="false">MROUND(I206*120*'Rate Card'!$B$48,500)</f>
        <v>113000</v>
      </c>
      <c r="N206" s="14"/>
      <c r="O206" s="46" t="n">
        <v>0.82</v>
      </c>
      <c r="P206" s="46" t="n">
        <v>1</v>
      </c>
    </row>
    <row r="207" customFormat="false" ht="15" hidden="false" customHeight="true" outlineLevel="0" collapsed="false">
      <c r="A207" s="9" t="n">
        <v>194</v>
      </c>
      <c r="B207" s="43" t="s">
        <v>109</v>
      </c>
      <c r="C207" s="43" t="s">
        <v>294</v>
      </c>
      <c r="D207" s="44" t="s">
        <v>672</v>
      </c>
      <c r="E207" s="43" t="s">
        <v>472</v>
      </c>
      <c r="F207" s="45" t="s">
        <v>397</v>
      </c>
      <c r="G207" s="45"/>
      <c r="H207" s="12" t="n">
        <f aca="false">MROUND('Rate Card'!$I$13*O207*P207,10)</f>
        <v>2210</v>
      </c>
      <c r="I207" s="12" t="n">
        <f aca="false">MROUND('Rate Card'!$K$13*O207*P207,10)</f>
        <v>1110</v>
      </c>
      <c r="J207" s="12" t="n">
        <f aca="false">MROUND(H207*4*'Rate Card'!$B$47,100)</f>
        <v>8400</v>
      </c>
      <c r="K207" s="12" t="n">
        <f aca="false">MROUND(I207*4*'Rate Card'!$B$47,100)</f>
        <v>4200</v>
      </c>
      <c r="L207" s="12" t="n">
        <f aca="false">MROUND(H207*120*'Rate Card'!$B$48,500)</f>
        <v>225500</v>
      </c>
      <c r="M207" s="12" t="n">
        <f aca="false">MROUND(I207*120*'Rate Card'!$B$48,500)</f>
        <v>113000</v>
      </c>
      <c r="N207" s="14"/>
      <c r="O207" s="46" t="n">
        <v>0.82</v>
      </c>
      <c r="P207" s="46" t="n">
        <v>1</v>
      </c>
    </row>
    <row r="208" customFormat="false" ht="15" hidden="false" customHeight="true" outlineLevel="0" collapsed="false">
      <c r="A208" s="42" t="s">
        <v>673</v>
      </c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</row>
    <row r="209" customFormat="false" ht="15" hidden="false" customHeight="true" outlineLevel="0" collapsed="false">
      <c r="A209" s="9" t="n">
        <v>195</v>
      </c>
      <c r="B209" s="43" t="s">
        <v>111</v>
      </c>
      <c r="C209" s="43" t="s">
        <v>457</v>
      </c>
      <c r="D209" s="44" t="s">
        <v>674</v>
      </c>
      <c r="E209" s="43" t="s">
        <v>675</v>
      </c>
      <c r="F209" s="45" t="s">
        <v>306</v>
      </c>
      <c r="G209" s="45"/>
      <c r="H209" s="12" t="n">
        <f aca="false">MROUND('Rate Card'!$I$14*O209*P209,10)</f>
        <v>8050</v>
      </c>
      <c r="I209" s="12" t="n">
        <f aca="false">MROUND('Rate Card'!$K$14*O209*P209,10)</f>
        <v>3600</v>
      </c>
      <c r="J209" s="12" t="n">
        <f aca="false">MROUND(H209*4*'Rate Card'!$B$47,100)</f>
        <v>30600</v>
      </c>
      <c r="K209" s="12" t="n">
        <f aca="false">MROUND(I209*4*'Rate Card'!$B$47,100)</f>
        <v>13700</v>
      </c>
      <c r="L209" s="12" t="n">
        <f aca="false">MROUND(H209*120*'Rate Card'!$B$48,500)</f>
        <v>821000</v>
      </c>
      <c r="M209" s="12" t="n">
        <f aca="false">MROUND(I209*120*'Rate Card'!$B$48,500)</f>
        <v>367000</v>
      </c>
      <c r="N209" s="14"/>
      <c r="O209" s="46" t="n">
        <v>1</v>
      </c>
      <c r="P209" s="46" t="n">
        <v>1</v>
      </c>
    </row>
    <row r="210" customFormat="false" ht="15" hidden="false" customHeight="true" outlineLevel="0" collapsed="false">
      <c r="A210" s="9" t="n">
        <v>196</v>
      </c>
      <c r="B210" s="43" t="s">
        <v>111</v>
      </c>
      <c r="C210" s="43" t="s">
        <v>676</v>
      </c>
      <c r="D210" s="44" t="s">
        <v>677</v>
      </c>
      <c r="E210" s="43" t="s">
        <v>678</v>
      </c>
      <c r="F210" s="45" t="s">
        <v>324</v>
      </c>
      <c r="G210" s="45"/>
      <c r="H210" s="12" t="n">
        <f aca="false">MROUND('Rate Card'!$I$14*O210*P210,10)</f>
        <v>7410</v>
      </c>
      <c r="I210" s="12" t="n">
        <f aca="false">MROUND('Rate Card'!$K$14*O210*P210,10)</f>
        <v>3310</v>
      </c>
      <c r="J210" s="12" t="n">
        <f aca="false">MROUND(H210*4*'Rate Card'!$B$47,100)</f>
        <v>28200</v>
      </c>
      <c r="K210" s="12" t="n">
        <f aca="false">MROUND(I210*4*'Rate Card'!$B$47,100)</f>
        <v>12600</v>
      </c>
      <c r="L210" s="12" t="n">
        <f aca="false">MROUND(H210*120*'Rate Card'!$B$48,500)</f>
        <v>756000</v>
      </c>
      <c r="M210" s="12" t="n">
        <f aca="false">MROUND(I210*120*'Rate Card'!$B$48,500)</f>
        <v>337500</v>
      </c>
      <c r="N210" s="14"/>
      <c r="O210" s="46" t="n">
        <v>0.92</v>
      </c>
      <c r="P210" s="46" t="n">
        <v>1</v>
      </c>
    </row>
    <row r="211" customFormat="false" ht="15" hidden="false" customHeight="true" outlineLevel="0" collapsed="false">
      <c r="A211" s="9" t="n">
        <v>197</v>
      </c>
      <c r="B211" s="43" t="s">
        <v>111</v>
      </c>
      <c r="C211" s="43" t="s">
        <v>420</v>
      </c>
      <c r="D211" s="44" t="s">
        <v>679</v>
      </c>
      <c r="E211" s="43" t="s">
        <v>680</v>
      </c>
      <c r="F211" s="45" t="s">
        <v>374</v>
      </c>
      <c r="G211" s="45"/>
      <c r="H211" s="12" t="n">
        <f aca="false">MROUND('Rate Card'!$I$14*O211*P211,10)</f>
        <v>6600</v>
      </c>
      <c r="I211" s="12" t="n">
        <f aca="false">MROUND('Rate Card'!$K$14*O211*P211,10)</f>
        <v>2950</v>
      </c>
      <c r="J211" s="12" t="n">
        <f aca="false">MROUND(H211*4*'Rate Card'!$B$47,100)</f>
        <v>25100</v>
      </c>
      <c r="K211" s="12" t="n">
        <f aca="false">MROUND(I211*4*'Rate Card'!$B$47,100)</f>
        <v>11200</v>
      </c>
      <c r="L211" s="12" t="n">
        <f aca="false">MROUND(H211*120*'Rate Card'!$B$48,500)</f>
        <v>673000</v>
      </c>
      <c r="M211" s="12" t="n">
        <f aca="false">MROUND(I211*120*'Rate Card'!$B$48,500)</f>
        <v>301000</v>
      </c>
      <c r="N211" s="14"/>
      <c r="O211" s="46" t="n">
        <v>0.82</v>
      </c>
      <c r="P211" s="46" t="n">
        <v>1</v>
      </c>
    </row>
    <row r="212" customFormat="false" ht="15" hidden="false" customHeight="true" outlineLevel="0" collapsed="false">
      <c r="A212" s="9" t="n">
        <v>198</v>
      </c>
      <c r="B212" s="43" t="s">
        <v>111</v>
      </c>
      <c r="C212" s="43" t="s">
        <v>420</v>
      </c>
      <c r="D212" s="44" t="s">
        <v>681</v>
      </c>
      <c r="E212" s="43" t="s">
        <v>682</v>
      </c>
      <c r="F212" s="45" t="s">
        <v>374</v>
      </c>
      <c r="G212" s="45"/>
      <c r="H212" s="12" t="n">
        <f aca="false">MROUND('Rate Card'!$I$14*O212*P212,10)</f>
        <v>6600</v>
      </c>
      <c r="I212" s="12" t="n">
        <f aca="false">MROUND('Rate Card'!$K$14*O212*P212,10)</f>
        <v>2950</v>
      </c>
      <c r="J212" s="12" t="n">
        <f aca="false">MROUND(H212*4*'Rate Card'!$B$47,100)</f>
        <v>25100</v>
      </c>
      <c r="K212" s="12" t="n">
        <f aca="false">MROUND(I212*4*'Rate Card'!$B$47,100)</f>
        <v>11200</v>
      </c>
      <c r="L212" s="12" t="n">
        <f aca="false">MROUND(H212*120*'Rate Card'!$B$48,500)</f>
        <v>673000</v>
      </c>
      <c r="M212" s="12" t="n">
        <f aca="false">MROUND(I212*120*'Rate Card'!$B$48,500)</f>
        <v>301000</v>
      </c>
      <c r="N212" s="14"/>
      <c r="O212" s="46" t="n">
        <v>0.82</v>
      </c>
      <c r="P212" s="46" t="n">
        <v>1</v>
      </c>
    </row>
    <row r="213" customFormat="false" ht="15" hidden="false" customHeight="true" outlineLevel="0" collapsed="false">
      <c r="A213" s="9" t="n">
        <v>199</v>
      </c>
      <c r="B213" s="43" t="s">
        <v>111</v>
      </c>
      <c r="C213" s="43" t="s">
        <v>420</v>
      </c>
      <c r="D213" s="44" t="s">
        <v>683</v>
      </c>
      <c r="E213" s="43" t="s">
        <v>684</v>
      </c>
      <c r="F213" s="45" t="s">
        <v>380</v>
      </c>
      <c r="G213" s="45"/>
      <c r="H213" s="12" t="n">
        <f aca="false">MROUND('Rate Card'!$I$14*O213*P213,10)</f>
        <v>6600</v>
      </c>
      <c r="I213" s="12" t="n">
        <f aca="false">MROUND('Rate Card'!$K$14*O213*P213,10)</f>
        <v>2950</v>
      </c>
      <c r="J213" s="12" t="n">
        <f aca="false">MROUND(H213*4*'Rate Card'!$B$47,100)</f>
        <v>25100</v>
      </c>
      <c r="K213" s="12" t="n">
        <f aca="false">MROUND(I213*4*'Rate Card'!$B$47,100)</f>
        <v>11200</v>
      </c>
      <c r="L213" s="12" t="n">
        <f aca="false">MROUND(H213*120*'Rate Card'!$B$48,500)</f>
        <v>673000</v>
      </c>
      <c r="M213" s="12" t="n">
        <f aca="false">MROUND(I213*120*'Rate Card'!$B$48,500)</f>
        <v>301000</v>
      </c>
      <c r="N213" s="14"/>
      <c r="O213" s="46" t="n">
        <v>0.82</v>
      </c>
      <c r="P213" s="46" t="n">
        <v>1</v>
      </c>
    </row>
    <row r="214" customFormat="false" ht="15" hidden="false" customHeight="true" outlineLevel="0" collapsed="false">
      <c r="A214" s="9" t="n">
        <v>200</v>
      </c>
      <c r="B214" s="43" t="s">
        <v>111</v>
      </c>
      <c r="C214" s="43" t="s">
        <v>685</v>
      </c>
      <c r="D214" s="44" t="s">
        <v>686</v>
      </c>
      <c r="E214" s="43" t="s">
        <v>472</v>
      </c>
      <c r="F214" s="45" t="s">
        <v>310</v>
      </c>
      <c r="G214" s="45"/>
      <c r="H214" s="12" t="n">
        <f aca="false">MROUND('Rate Card'!$I$14*O214*P214,10)</f>
        <v>6600</v>
      </c>
      <c r="I214" s="12" t="n">
        <f aca="false">MROUND('Rate Card'!$K$14*O214*P214,10)</f>
        <v>2950</v>
      </c>
      <c r="J214" s="12" t="n">
        <f aca="false">MROUND(H214*4*'Rate Card'!$B$47,100)</f>
        <v>25100</v>
      </c>
      <c r="K214" s="12" t="n">
        <f aca="false">MROUND(I214*4*'Rate Card'!$B$47,100)</f>
        <v>11200</v>
      </c>
      <c r="L214" s="12" t="n">
        <f aca="false">MROUND(H214*120*'Rate Card'!$B$48,500)</f>
        <v>673000</v>
      </c>
      <c r="M214" s="12" t="n">
        <f aca="false">MROUND(I214*120*'Rate Card'!$B$48,500)</f>
        <v>301000</v>
      </c>
      <c r="N214" s="14"/>
      <c r="O214" s="46" t="n">
        <v>0.82</v>
      </c>
      <c r="P214" s="46" t="n">
        <v>1</v>
      </c>
    </row>
    <row r="215" customFormat="false" ht="15" hidden="false" customHeight="true" outlineLevel="0" collapsed="false">
      <c r="A215" s="9" t="n">
        <v>201</v>
      </c>
      <c r="B215" s="43" t="s">
        <v>111</v>
      </c>
      <c r="C215" s="43" t="s">
        <v>687</v>
      </c>
      <c r="D215" s="44" t="s">
        <v>688</v>
      </c>
      <c r="E215" s="43" t="s">
        <v>689</v>
      </c>
      <c r="F215" s="45" t="s">
        <v>310</v>
      </c>
      <c r="G215" s="45"/>
      <c r="H215" s="12" t="n">
        <f aca="false">MROUND('Rate Card'!$I$14*O215*P215,10)</f>
        <v>6600</v>
      </c>
      <c r="I215" s="12" t="n">
        <f aca="false">MROUND('Rate Card'!$K$14*O215*P215,10)</f>
        <v>2950</v>
      </c>
      <c r="J215" s="12" t="n">
        <f aca="false">MROUND(H215*4*'Rate Card'!$B$47,100)</f>
        <v>25100</v>
      </c>
      <c r="K215" s="12" t="n">
        <f aca="false">MROUND(I215*4*'Rate Card'!$B$47,100)</f>
        <v>11200</v>
      </c>
      <c r="L215" s="12" t="n">
        <f aca="false">MROUND(H215*120*'Rate Card'!$B$48,500)</f>
        <v>673000</v>
      </c>
      <c r="M215" s="12" t="n">
        <f aca="false">MROUND(I215*120*'Rate Card'!$B$48,500)</f>
        <v>301000</v>
      </c>
      <c r="N215" s="14"/>
      <c r="O215" s="46" t="n">
        <v>0.82</v>
      </c>
      <c r="P215" s="46" t="n">
        <v>1</v>
      </c>
    </row>
    <row r="216" customFormat="false" ht="15" hidden="false" customHeight="true" outlineLevel="0" collapsed="false">
      <c r="A216" s="9" t="n">
        <v>202</v>
      </c>
      <c r="B216" s="43" t="s">
        <v>111</v>
      </c>
      <c r="C216" s="43" t="s">
        <v>687</v>
      </c>
      <c r="D216" s="44" t="s">
        <v>690</v>
      </c>
      <c r="E216" s="43" t="s">
        <v>691</v>
      </c>
      <c r="F216" s="45" t="s">
        <v>310</v>
      </c>
      <c r="G216" s="45"/>
      <c r="H216" s="12" t="n">
        <f aca="false">MROUND('Rate Card'!$I$14*O216*P216,10)</f>
        <v>6600</v>
      </c>
      <c r="I216" s="12" t="n">
        <f aca="false">MROUND('Rate Card'!$K$14*O216*P216,10)</f>
        <v>2950</v>
      </c>
      <c r="J216" s="12" t="n">
        <f aca="false">MROUND(H216*4*'Rate Card'!$B$47,100)</f>
        <v>25100</v>
      </c>
      <c r="K216" s="12" t="n">
        <f aca="false">MROUND(I216*4*'Rate Card'!$B$47,100)</f>
        <v>11200</v>
      </c>
      <c r="L216" s="12" t="n">
        <f aca="false">MROUND(H216*120*'Rate Card'!$B$48,500)</f>
        <v>673000</v>
      </c>
      <c r="M216" s="12" t="n">
        <f aca="false">MROUND(I216*120*'Rate Card'!$B$48,500)</f>
        <v>301000</v>
      </c>
      <c r="N216" s="14"/>
      <c r="O216" s="46" t="n">
        <v>0.82</v>
      </c>
      <c r="P216" s="46" t="n">
        <v>1</v>
      </c>
    </row>
    <row r="217" customFormat="false" ht="15" hidden="false" customHeight="true" outlineLevel="0" collapsed="false">
      <c r="A217" s="9" t="n">
        <v>203</v>
      </c>
      <c r="B217" s="43" t="s">
        <v>111</v>
      </c>
      <c r="C217" s="43" t="s">
        <v>687</v>
      </c>
      <c r="D217" s="44" t="s">
        <v>692</v>
      </c>
      <c r="E217" s="43" t="s">
        <v>693</v>
      </c>
      <c r="F217" s="45" t="s">
        <v>348</v>
      </c>
      <c r="G217" s="45"/>
      <c r="H217" s="12" t="n">
        <f aca="false">MROUND('Rate Card'!$I$14*O217*P217,10)</f>
        <v>5800</v>
      </c>
      <c r="I217" s="12" t="n">
        <f aca="false">MROUND('Rate Card'!$K$14*O217*P217,10)</f>
        <v>2590</v>
      </c>
      <c r="J217" s="12" t="n">
        <f aca="false">MROUND(H217*4*'Rate Card'!$B$47,100)</f>
        <v>22000</v>
      </c>
      <c r="K217" s="12" t="n">
        <f aca="false">MROUND(I217*4*'Rate Card'!$B$47,100)</f>
        <v>9800</v>
      </c>
      <c r="L217" s="12" t="n">
        <f aca="false">MROUND(H217*120*'Rate Card'!$B$48,500)</f>
        <v>591500</v>
      </c>
      <c r="M217" s="12" t="n">
        <f aca="false">MROUND(I217*120*'Rate Card'!$B$48,500)</f>
        <v>264000</v>
      </c>
      <c r="N217" s="14" t="s">
        <v>350</v>
      </c>
      <c r="O217" s="46" t="n">
        <v>0.72</v>
      </c>
      <c r="P217" s="46" t="n">
        <v>1</v>
      </c>
    </row>
    <row r="218" customFormat="false" ht="15" hidden="false" customHeight="true" outlineLevel="0" collapsed="false">
      <c r="A218" s="9" t="n">
        <v>204</v>
      </c>
      <c r="B218" s="43" t="s">
        <v>111</v>
      </c>
      <c r="C218" s="43" t="s">
        <v>476</v>
      </c>
      <c r="D218" s="44" t="s">
        <v>694</v>
      </c>
      <c r="E218" s="43" t="s">
        <v>472</v>
      </c>
      <c r="F218" s="45" t="s">
        <v>472</v>
      </c>
      <c r="G218" s="45"/>
      <c r="H218" s="12" t="n">
        <f aca="false">MROUND('Rate Card'!$I$14*O218*P218,10)</f>
        <v>4670</v>
      </c>
      <c r="I218" s="12" t="n">
        <f aca="false">MROUND('Rate Card'!$K$14*O218*P218,10)</f>
        <v>2090</v>
      </c>
      <c r="J218" s="12" t="n">
        <f aca="false">MROUND(H218*4*'Rate Card'!$B$47,100)</f>
        <v>17700</v>
      </c>
      <c r="K218" s="12" t="n">
        <f aca="false">MROUND(I218*4*'Rate Card'!$B$47,100)</f>
        <v>7900</v>
      </c>
      <c r="L218" s="12" t="n">
        <f aca="false">MROUND(H218*120*'Rate Card'!$B$48,500)</f>
        <v>476500</v>
      </c>
      <c r="M218" s="12" t="n">
        <f aca="false">MROUND(I218*120*'Rate Card'!$B$48,500)</f>
        <v>213000</v>
      </c>
      <c r="N218" s="14" t="s">
        <v>486</v>
      </c>
      <c r="O218" s="46" t="n">
        <v>0.58</v>
      </c>
      <c r="P218" s="46" t="n">
        <v>1</v>
      </c>
    </row>
    <row r="219" customFormat="false" ht="15" hidden="false" customHeight="true" outlineLevel="0" collapsed="false">
      <c r="A219" s="9" t="n">
        <v>205</v>
      </c>
      <c r="B219" s="43" t="s">
        <v>111</v>
      </c>
      <c r="C219" s="43" t="s">
        <v>476</v>
      </c>
      <c r="D219" s="44" t="s">
        <v>695</v>
      </c>
      <c r="E219" s="43" t="s">
        <v>472</v>
      </c>
      <c r="F219" s="45" t="s">
        <v>472</v>
      </c>
      <c r="G219" s="45"/>
      <c r="H219" s="12" t="n">
        <f aca="false">MROUND('Rate Card'!$I$14*O219*P219,10)</f>
        <v>4670</v>
      </c>
      <c r="I219" s="12" t="n">
        <f aca="false">MROUND('Rate Card'!$K$14*O219*P219,10)</f>
        <v>2090</v>
      </c>
      <c r="J219" s="12" t="n">
        <f aca="false">MROUND(H219*4*'Rate Card'!$B$47,100)</f>
        <v>17700</v>
      </c>
      <c r="K219" s="12" t="n">
        <f aca="false">MROUND(I219*4*'Rate Card'!$B$47,100)</f>
        <v>7900</v>
      </c>
      <c r="L219" s="12" t="n">
        <f aca="false">MROUND(H219*120*'Rate Card'!$B$48,500)</f>
        <v>476500</v>
      </c>
      <c r="M219" s="12" t="n">
        <f aca="false">MROUND(I219*120*'Rate Card'!$B$48,500)</f>
        <v>213000</v>
      </c>
      <c r="N219" s="14" t="s">
        <v>486</v>
      </c>
      <c r="O219" s="46" t="n">
        <v>0.58</v>
      </c>
      <c r="P219" s="46" t="n">
        <v>1</v>
      </c>
    </row>
    <row r="220" customFormat="false" ht="15" hidden="false" customHeight="true" outlineLevel="0" collapsed="false">
      <c r="A220" s="42" t="s">
        <v>696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</row>
    <row r="221" customFormat="false" ht="15" hidden="false" customHeight="true" outlineLevel="0" collapsed="false">
      <c r="A221" s="9" t="n">
        <v>206</v>
      </c>
      <c r="B221" s="43" t="s">
        <v>113</v>
      </c>
      <c r="C221" s="43" t="s">
        <v>697</v>
      </c>
      <c r="D221" s="44" t="s">
        <v>698</v>
      </c>
      <c r="E221" s="43" t="s">
        <v>699</v>
      </c>
      <c r="F221" s="45" t="s">
        <v>324</v>
      </c>
      <c r="G221" s="45" t="s">
        <v>700</v>
      </c>
      <c r="H221" s="12" t="n">
        <f aca="false">MROUND('Rate Card'!$I$15*O221*P221,10)</f>
        <v>3220</v>
      </c>
      <c r="I221" s="12" t="n">
        <f aca="false">MROUND('Rate Card'!$K$15*O221*P221,10)</f>
        <v>1610</v>
      </c>
      <c r="J221" s="12" t="n">
        <f aca="false">MROUND(H221*4*'Rate Card'!$B$47,100)</f>
        <v>12200</v>
      </c>
      <c r="K221" s="12" t="n">
        <f aca="false">MROUND(I221*4*'Rate Card'!$B$47,100)</f>
        <v>6100</v>
      </c>
      <c r="L221" s="12" t="n">
        <f aca="false">MROUND(H221*120*'Rate Card'!$B$48,500)</f>
        <v>328500</v>
      </c>
      <c r="M221" s="12" t="n">
        <f aca="false">MROUND(I221*120*'Rate Card'!$B$48,500)</f>
        <v>164000</v>
      </c>
      <c r="N221" s="14"/>
      <c r="O221" s="46" t="n">
        <v>0.92</v>
      </c>
      <c r="P221" s="46" t="n">
        <v>1</v>
      </c>
    </row>
    <row r="222" customFormat="false" ht="15" hidden="false" customHeight="true" outlineLevel="0" collapsed="false">
      <c r="A222" s="9" t="n">
        <v>207</v>
      </c>
      <c r="B222" s="43" t="s">
        <v>113</v>
      </c>
      <c r="C222" s="43" t="s">
        <v>394</v>
      </c>
      <c r="D222" s="44" t="s">
        <v>701</v>
      </c>
      <c r="E222" s="43" t="s">
        <v>702</v>
      </c>
      <c r="F222" s="45" t="s">
        <v>380</v>
      </c>
      <c r="G222" s="45" t="s">
        <v>703</v>
      </c>
      <c r="H222" s="12" t="n">
        <f aca="false">MROUND('Rate Card'!$I$15*O222*P222,10)</f>
        <v>2870</v>
      </c>
      <c r="I222" s="12" t="n">
        <f aca="false">MROUND('Rate Card'!$K$15*O222*P222,10)</f>
        <v>1440</v>
      </c>
      <c r="J222" s="12" t="n">
        <f aca="false">MROUND(H222*4*'Rate Card'!$B$47,100)</f>
        <v>10900</v>
      </c>
      <c r="K222" s="12" t="n">
        <f aca="false">MROUND(I222*4*'Rate Card'!$B$47,100)</f>
        <v>5500</v>
      </c>
      <c r="L222" s="12" t="n">
        <f aca="false">MROUND(H222*120*'Rate Card'!$B$48,500)</f>
        <v>292500</v>
      </c>
      <c r="M222" s="12" t="n">
        <f aca="false">MROUND(I222*120*'Rate Card'!$B$48,500)</f>
        <v>147000</v>
      </c>
      <c r="N222" s="14"/>
      <c r="O222" s="46" t="n">
        <v>0.82</v>
      </c>
      <c r="P222" s="46" t="n">
        <v>1</v>
      </c>
    </row>
    <row r="223" customFormat="false" ht="15" hidden="false" customHeight="true" outlineLevel="0" collapsed="false">
      <c r="A223" s="9" t="n">
        <v>208</v>
      </c>
      <c r="B223" s="43" t="s">
        <v>113</v>
      </c>
      <c r="C223" s="43" t="s">
        <v>704</v>
      </c>
      <c r="D223" s="44" t="s">
        <v>705</v>
      </c>
      <c r="E223" s="43" t="s">
        <v>706</v>
      </c>
      <c r="F223" s="45" t="s">
        <v>310</v>
      </c>
      <c r="G223" s="45" t="s">
        <v>707</v>
      </c>
      <c r="H223" s="12" t="n">
        <f aca="false">MROUND('Rate Card'!$I$15*O223*P223,10)</f>
        <v>2870</v>
      </c>
      <c r="I223" s="12" t="n">
        <f aca="false">MROUND('Rate Card'!$K$15*O223*P223,10)</f>
        <v>1440</v>
      </c>
      <c r="J223" s="12" t="n">
        <f aca="false">MROUND(H223*4*'Rate Card'!$B$47,100)</f>
        <v>10900</v>
      </c>
      <c r="K223" s="12" t="n">
        <f aca="false">MROUND(I223*4*'Rate Card'!$B$47,100)</f>
        <v>5500</v>
      </c>
      <c r="L223" s="12" t="n">
        <f aca="false">MROUND(H223*120*'Rate Card'!$B$48,500)</f>
        <v>292500</v>
      </c>
      <c r="M223" s="12" t="n">
        <f aca="false">MROUND(I223*120*'Rate Card'!$B$48,500)</f>
        <v>147000</v>
      </c>
      <c r="N223" s="14"/>
      <c r="O223" s="46" t="n">
        <v>0.82</v>
      </c>
      <c r="P223" s="46" t="n">
        <v>1</v>
      </c>
    </row>
    <row r="224" customFormat="false" ht="15" hidden="false" customHeight="true" outlineLevel="0" collapsed="false">
      <c r="A224" s="9" t="n">
        <v>209</v>
      </c>
      <c r="B224" s="43" t="s">
        <v>113</v>
      </c>
      <c r="C224" s="43" t="s">
        <v>416</v>
      </c>
      <c r="D224" s="44" t="s">
        <v>708</v>
      </c>
      <c r="E224" s="43" t="s">
        <v>709</v>
      </c>
      <c r="F224" s="45" t="s">
        <v>710</v>
      </c>
      <c r="G224" s="45" t="s">
        <v>711</v>
      </c>
      <c r="H224" s="12" t="n">
        <f aca="false">MROUND('Rate Card'!$I$15*O224*P224,10)</f>
        <v>2030</v>
      </c>
      <c r="I224" s="12" t="n">
        <f aca="false">MROUND('Rate Card'!$K$15*O224*P224,10)</f>
        <v>1020</v>
      </c>
      <c r="J224" s="12" t="n">
        <f aca="false">MROUND(H224*4*'Rate Card'!$B$47,100)</f>
        <v>7700</v>
      </c>
      <c r="K224" s="12" t="n">
        <f aca="false">MROUND(I224*4*'Rate Card'!$B$47,100)</f>
        <v>3900</v>
      </c>
      <c r="L224" s="12" t="n">
        <f aca="false">MROUND(H224*120*'Rate Card'!$B$48,500)</f>
        <v>207000</v>
      </c>
      <c r="M224" s="12" t="n">
        <f aca="false">MROUND(I224*120*'Rate Card'!$B$48,500)</f>
        <v>104000</v>
      </c>
      <c r="N224" s="14" t="s">
        <v>364</v>
      </c>
      <c r="O224" s="46" t="n">
        <v>0.58</v>
      </c>
      <c r="P224" s="46" t="n">
        <v>1</v>
      </c>
    </row>
    <row r="225" customFormat="false" ht="15" hidden="false" customHeight="true" outlineLevel="0" collapsed="false">
      <c r="A225" s="42" t="s">
        <v>712</v>
      </c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</row>
    <row r="226" customFormat="false" ht="15" hidden="false" customHeight="true" outlineLevel="0" collapsed="false">
      <c r="A226" s="9" t="n">
        <v>210</v>
      </c>
      <c r="B226" s="43" t="s">
        <v>115</v>
      </c>
      <c r="C226" s="43" t="s">
        <v>713</v>
      </c>
      <c r="D226" s="44" t="s">
        <v>714</v>
      </c>
      <c r="E226" s="43" t="s">
        <v>715</v>
      </c>
      <c r="F226" s="45" t="s">
        <v>716</v>
      </c>
      <c r="G226" s="45" t="s">
        <v>717</v>
      </c>
      <c r="H226" s="12" t="n">
        <f aca="false">MROUND('Rate Card'!$I$16*O226*P226,10)</f>
        <v>5100</v>
      </c>
      <c r="I226" s="12" t="n">
        <f aca="false">MROUND('Rate Card'!$K$16*O226*P226,10)</f>
        <v>2550</v>
      </c>
      <c r="J226" s="12" t="n">
        <f aca="false">MROUND(H226*4*'Rate Card'!$B$47,100)</f>
        <v>19400</v>
      </c>
      <c r="K226" s="12" t="n">
        <f aca="false">MROUND(I226*4*'Rate Card'!$B$47,100)</f>
        <v>9700</v>
      </c>
      <c r="L226" s="12" t="n">
        <f aca="false">MROUND(H226*120*'Rate Card'!$B$48,500)</f>
        <v>520000</v>
      </c>
      <c r="M226" s="12" t="n">
        <f aca="false">MROUND(I226*120*'Rate Card'!$B$48,500)</f>
        <v>260000</v>
      </c>
      <c r="N226" s="14" t="s">
        <v>364</v>
      </c>
      <c r="O226" s="46" t="n">
        <v>0.58</v>
      </c>
      <c r="P226" s="46" t="n">
        <v>1</v>
      </c>
    </row>
    <row r="227" customFormat="false" ht="15" hidden="false" customHeight="true" outlineLevel="0" collapsed="false">
      <c r="A227" s="9" t="n">
        <v>211</v>
      </c>
      <c r="B227" s="43" t="s">
        <v>115</v>
      </c>
      <c r="C227" s="43" t="s">
        <v>718</v>
      </c>
      <c r="D227" s="44" t="s">
        <v>719</v>
      </c>
      <c r="E227" s="43" t="s">
        <v>720</v>
      </c>
      <c r="F227" s="45" t="s">
        <v>721</v>
      </c>
      <c r="G227" s="45" t="s">
        <v>722</v>
      </c>
      <c r="H227" s="12" t="n">
        <f aca="false">MROUND('Rate Card'!$I$16*O227*P227,10)</f>
        <v>5100</v>
      </c>
      <c r="I227" s="12" t="n">
        <f aca="false">MROUND('Rate Card'!$K$16*O227*P227,10)</f>
        <v>2550</v>
      </c>
      <c r="J227" s="12" t="n">
        <f aca="false">MROUND(H227*4*'Rate Card'!$B$47,100)</f>
        <v>19400</v>
      </c>
      <c r="K227" s="12" t="n">
        <f aca="false">MROUND(I227*4*'Rate Card'!$B$47,100)</f>
        <v>9700</v>
      </c>
      <c r="L227" s="12" t="n">
        <f aca="false">MROUND(H227*120*'Rate Card'!$B$48,500)</f>
        <v>520000</v>
      </c>
      <c r="M227" s="12" t="n">
        <f aca="false">MROUND(I227*120*'Rate Card'!$B$48,500)</f>
        <v>260000</v>
      </c>
      <c r="N227" s="14" t="s">
        <v>364</v>
      </c>
      <c r="O227" s="46" t="n">
        <v>0.58</v>
      </c>
      <c r="P227" s="46" t="n">
        <v>1</v>
      </c>
    </row>
    <row r="228" customFormat="false" ht="15" hidden="false" customHeight="true" outlineLevel="0" collapsed="false">
      <c r="A228" s="42" t="s">
        <v>723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</row>
    <row r="229" customFormat="false" ht="15" hidden="false" customHeight="true" outlineLevel="0" collapsed="false">
      <c r="A229" s="9" t="n">
        <v>212</v>
      </c>
      <c r="B229" s="43" t="s">
        <v>117</v>
      </c>
      <c r="C229" s="43" t="s">
        <v>394</v>
      </c>
      <c r="D229" s="44" t="s">
        <v>724</v>
      </c>
      <c r="E229" s="43" t="s">
        <v>725</v>
      </c>
      <c r="F229" s="45" t="s">
        <v>348</v>
      </c>
      <c r="G229" s="45" t="s">
        <v>726</v>
      </c>
      <c r="H229" s="12" t="n">
        <f aca="false">MROUND('Rate Card'!$I$17*O229*P229,10)</f>
        <v>3600</v>
      </c>
      <c r="I229" s="12" t="n">
        <f aca="false">MROUND('Rate Card'!$K$17*O229*P229,10)</f>
        <v>1800</v>
      </c>
      <c r="J229" s="12" t="n">
        <f aca="false">MROUND(H229*4*'Rate Card'!$B$47,100)</f>
        <v>13700</v>
      </c>
      <c r="K229" s="12" t="n">
        <f aca="false">MROUND(I229*4*'Rate Card'!$B$47,100)</f>
        <v>6800</v>
      </c>
      <c r="L229" s="12" t="n">
        <f aca="false">MROUND(H229*120*'Rate Card'!$B$48,500)</f>
        <v>367000</v>
      </c>
      <c r="M229" s="12" t="n">
        <f aca="false">MROUND(I229*120*'Rate Card'!$B$48,500)</f>
        <v>183500</v>
      </c>
      <c r="N229" s="14" t="s">
        <v>350</v>
      </c>
      <c r="O229" s="46" t="n">
        <v>0.72</v>
      </c>
      <c r="P229" s="46" t="n">
        <v>1</v>
      </c>
    </row>
    <row r="230" customFormat="false" ht="15" hidden="false" customHeight="true" outlineLevel="0" collapsed="false">
      <c r="A230" s="9" t="n">
        <v>213</v>
      </c>
      <c r="B230" s="43" t="s">
        <v>117</v>
      </c>
      <c r="C230" s="43" t="s">
        <v>425</v>
      </c>
      <c r="D230" s="44" t="s">
        <v>727</v>
      </c>
      <c r="E230" s="43" t="s">
        <v>728</v>
      </c>
      <c r="F230" s="45" t="s">
        <v>729</v>
      </c>
      <c r="G230" s="45" t="s">
        <v>730</v>
      </c>
      <c r="H230" s="12" t="n">
        <f aca="false">MROUND('Rate Card'!$I$17*O230*P230,10)</f>
        <v>3600</v>
      </c>
      <c r="I230" s="12" t="n">
        <f aca="false">MROUND('Rate Card'!$K$17*O230*P230,10)</f>
        <v>1800</v>
      </c>
      <c r="J230" s="12" t="n">
        <f aca="false">MROUND(H230*4*'Rate Card'!$B$47,100)</f>
        <v>13700</v>
      </c>
      <c r="K230" s="12" t="n">
        <f aca="false">MROUND(I230*4*'Rate Card'!$B$47,100)</f>
        <v>6800</v>
      </c>
      <c r="L230" s="12" t="n">
        <f aca="false">MROUND(H230*120*'Rate Card'!$B$48,500)</f>
        <v>367000</v>
      </c>
      <c r="M230" s="12" t="n">
        <f aca="false">MROUND(I230*120*'Rate Card'!$B$48,500)</f>
        <v>183500</v>
      </c>
      <c r="N230" s="14" t="s">
        <v>350</v>
      </c>
      <c r="O230" s="46" t="n">
        <v>0.72</v>
      </c>
      <c r="P230" s="46" t="n">
        <v>1</v>
      </c>
    </row>
    <row r="231" customFormat="false" ht="15" hidden="false" customHeight="true" outlineLevel="0" collapsed="false">
      <c r="A231" s="9" t="n">
        <v>214</v>
      </c>
      <c r="B231" s="43" t="s">
        <v>117</v>
      </c>
      <c r="C231" s="43" t="s">
        <v>425</v>
      </c>
      <c r="D231" s="44" t="s">
        <v>731</v>
      </c>
      <c r="E231" s="43" t="s">
        <v>732</v>
      </c>
      <c r="F231" s="45" t="s">
        <v>423</v>
      </c>
      <c r="G231" s="45" t="s">
        <v>733</v>
      </c>
      <c r="H231" s="12" t="n">
        <f aca="false">MROUND('Rate Card'!$I$17*O231*P231,10)</f>
        <v>3250</v>
      </c>
      <c r="I231" s="12" t="n">
        <f aca="false">MROUND('Rate Card'!$K$17*O231*P231,10)</f>
        <v>1630</v>
      </c>
      <c r="J231" s="12" t="n">
        <f aca="false">MROUND(H231*4*'Rate Card'!$B$47,100)</f>
        <v>12400</v>
      </c>
      <c r="K231" s="12" t="n">
        <f aca="false">MROUND(I231*4*'Rate Card'!$B$47,100)</f>
        <v>6200</v>
      </c>
      <c r="L231" s="12" t="n">
        <f aca="false">MROUND(H231*120*'Rate Card'!$B$48,500)</f>
        <v>331500</v>
      </c>
      <c r="M231" s="12" t="n">
        <f aca="false">MROUND(I231*120*'Rate Card'!$B$48,500)</f>
        <v>166500</v>
      </c>
      <c r="N231" s="14" t="s">
        <v>355</v>
      </c>
      <c r="O231" s="46" t="n">
        <v>0.65</v>
      </c>
      <c r="P231" s="46" t="n">
        <v>1</v>
      </c>
    </row>
    <row r="232" customFormat="false" ht="15" hidden="false" customHeight="true" outlineLevel="0" collapsed="false">
      <c r="A232" s="9" t="n">
        <v>215</v>
      </c>
      <c r="B232" s="43" t="s">
        <v>117</v>
      </c>
      <c r="C232" s="43" t="s">
        <v>734</v>
      </c>
      <c r="D232" s="44" t="s">
        <v>735</v>
      </c>
      <c r="E232" s="43" t="s">
        <v>472</v>
      </c>
      <c r="F232" s="45" t="s">
        <v>432</v>
      </c>
      <c r="G232" s="45" t="s">
        <v>736</v>
      </c>
      <c r="H232" s="12" t="n">
        <f aca="false">MROUND('Rate Card'!$I$17*O232*P232,10)</f>
        <v>2900</v>
      </c>
      <c r="I232" s="12" t="n">
        <f aca="false">MROUND('Rate Card'!$K$17*O232*P232,10)</f>
        <v>1450</v>
      </c>
      <c r="J232" s="12" t="n">
        <f aca="false">MROUND(H232*4*'Rate Card'!$B$47,100)</f>
        <v>11000</v>
      </c>
      <c r="K232" s="12" t="n">
        <f aca="false">MROUND(I232*4*'Rate Card'!$B$47,100)</f>
        <v>5500</v>
      </c>
      <c r="L232" s="12" t="n">
        <f aca="false">MROUND(H232*120*'Rate Card'!$B$48,500)</f>
        <v>296000</v>
      </c>
      <c r="M232" s="12" t="n">
        <f aca="false">MROUND(I232*120*'Rate Card'!$B$48,500)</f>
        <v>148000</v>
      </c>
      <c r="N232" s="14" t="s">
        <v>364</v>
      </c>
      <c r="O232" s="46" t="n">
        <v>0.58</v>
      </c>
      <c r="P232" s="46" t="n">
        <v>1</v>
      </c>
    </row>
    <row r="233" customFormat="false" ht="15" hidden="false" customHeight="true" outlineLevel="0" collapsed="false">
      <c r="A233" s="42" t="s">
        <v>737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</row>
    <row r="234" customFormat="false" ht="15" hidden="false" customHeight="true" outlineLevel="0" collapsed="false">
      <c r="A234" s="9" t="n">
        <v>216</v>
      </c>
      <c r="B234" s="43" t="s">
        <v>119</v>
      </c>
      <c r="C234" s="43" t="s">
        <v>738</v>
      </c>
      <c r="D234" s="44" t="s">
        <v>739</v>
      </c>
      <c r="E234" s="43" t="s">
        <v>740</v>
      </c>
      <c r="F234" s="45" t="s">
        <v>318</v>
      </c>
      <c r="G234" s="45" t="s">
        <v>741</v>
      </c>
      <c r="H234" s="12" t="n">
        <f aca="false">MROUND('Rate Card'!$I$18*O234*P234,10)</f>
        <v>4460</v>
      </c>
      <c r="I234" s="12" t="n">
        <f aca="false">MROUND('Rate Card'!$K$18*O234*P234,10)</f>
        <v>2250</v>
      </c>
      <c r="J234" s="12" t="n">
        <f aca="false">MROUND(H234*4*'Rate Card'!$B$47,100)</f>
        <v>16900</v>
      </c>
      <c r="K234" s="12" t="n">
        <f aca="false">MROUND(I234*4*'Rate Card'!$B$47,100)</f>
        <v>8600</v>
      </c>
      <c r="L234" s="12" t="n">
        <f aca="false">MROUND(H234*120*'Rate Card'!$B$48,500)</f>
        <v>455000</v>
      </c>
      <c r="M234" s="12" t="n">
        <f aca="false">MROUND(I234*120*'Rate Card'!$B$48,500)</f>
        <v>229500</v>
      </c>
      <c r="N234" s="14"/>
      <c r="O234" s="46" t="n">
        <v>0.92</v>
      </c>
      <c r="P234" s="46" t="n">
        <v>1</v>
      </c>
    </row>
    <row r="235" customFormat="false" ht="15" hidden="false" customHeight="true" outlineLevel="0" collapsed="false">
      <c r="A235" s="9" t="n">
        <v>217</v>
      </c>
      <c r="B235" s="43" t="s">
        <v>119</v>
      </c>
      <c r="C235" s="43" t="s">
        <v>742</v>
      </c>
      <c r="D235" s="44" t="s">
        <v>743</v>
      </c>
      <c r="E235" s="43" t="s">
        <v>744</v>
      </c>
      <c r="F235" s="45" t="s">
        <v>310</v>
      </c>
      <c r="G235" s="45" t="s">
        <v>745</v>
      </c>
      <c r="H235" s="12" t="n">
        <f aca="false">MROUND('Rate Card'!$I$18*O235*P235,10)</f>
        <v>3980</v>
      </c>
      <c r="I235" s="12" t="n">
        <f aca="false">MROUND('Rate Card'!$K$18*O235*P235,10)</f>
        <v>2010</v>
      </c>
      <c r="J235" s="12" t="n">
        <f aca="false">MROUND(H235*4*'Rate Card'!$B$47,100)</f>
        <v>15100</v>
      </c>
      <c r="K235" s="12" t="n">
        <f aca="false">MROUND(I235*4*'Rate Card'!$B$47,100)</f>
        <v>7600</v>
      </c>
      <c r="L235" s="12" t="n">
        <f aca="false">MROUND(H235*120*'Rate Card'!$B$48,500)</f>
        <v>406000</v>
      </c>
      <c r="M235" s="12" t="n">
        <f aca="false">MROUND(I235*120*'Rate Card'!$B$48,500)</f>
        <v>205000</v>
      </c>
      <c r="N235" s="14"/>
      <c r="O235" s="46" t="n">
        <v>0.82</v>
      </c>
      <c r="P235" s="46" t="n">
        <v>1</v>
      </c>
    </row>
    <row r="236" customFormat="false" ht="15" hidden="false" customHeight="true" outlineLevel="0" collapsed="false">
      <c r="A236" s="9" t="n">
        <v>218</v>
      </c>
      <c r="B236" s="43" t="s">
        <v>119</v>
      </c>
      <c r="C236" s="43" t="s">
        <v>394</v>
      </c>
      <c r="D236" s="44" t="s">
        <v>746</v>
      </c>
      <c r="E236" s="43" t="s">
        <v>747</v>
      </c>
      <c r="F236" s="45" t="s">
        <v>748</v>
      </c>
      <c r="G236" s="45" t="s">
        <v>749</v>
      </c>
      <c r="H236" s="12" t="n">
        <f aca="false">MROUND('Rate Card'!$I$18*O236*P236,10)</f>
        <v>3980</v>
      </c>
      <c r="I236" s="12" t="n">
        <f aca="false">MROUND('Rate Card'!$K$18*O236*P236,10)</f>
        <v>2010</v>
      </c>
      <c r="J236" s="12" t="n">
        <f aca="false">MROUND(H236*4*'Rate Card'!$B$47,100)</f>
        <v>15100</v>
      </c>
      <c r="K236" s="12" t="n">
        <f aca="false">MROUND(I236*4*'Rate Card'!$B$47,100)</f>
        <v>7600</v>
      </c>
      <c r="L236" s="12" t="n">
        <f aca="false">MROUND(H236*120*'Rate Card'!$B$48,500)</f>
        <v>406000</v>
      </c>
      <c r="M236" s="12" t="n">
        <f aca="false">MROUND(I236*120*'Rate Card'!$B$48,500)</f>
        <v>205000</v>
      </c>
      <c r="N236" s="14"/>
      <c r="O236" s="46" t="n">
        <v>0.82</v>
      </c>
      <c r="P236" s="46" t="n">
        <v>1</v>
      </c>
    </row>
    <row r="237" customFormat="false" ht="15" hidden="false" customHeight="true" outlineLevel="0" collapsed="false">
      <c r="A237" s="9" t="n">
        <v>219</v>
      </c>
      <c r="B237" s="43" t="s">
        <v>119</v>
      </c>
      <c r="C237" s="43" t="s">
        <v>394</v>
      </c>
      <c r="D237" s="44" t="s">
        <v>750</v>
      </c>
      <c r="E237" s="43" t="s">
        <v>751</v>
      </c>
      <c r="F237" s="45" t="s">
        <v>389</v>
      </c>
      <c r="G237" s="45" t="s">
        <v>752</v>
      </c>
      <c r="H237" s="12" t="n">
        <f aca="false">MROUND('Rate Card'!$I$18*O237*P237,10)</f>
        <v>3980</v>
      </c>
      <c r="I237" s="12" t="n">
        <f aca="false">MROUND('Rate Card'!$K$18*O237*P237,10)</f>
        <v>2010</v>
      </c>
      <c r="J237" s="12" t="n">
        <f aca="false">MROUND(H237*4*'Rate Card'!$B$47,100)</f>
        <v>15100</v>
      </c>
      <c r="K237" s="12" t="n">
        <f aca="false">MROUND(I237*4*'Rate Card'!$B$47,100)</f>
        <v>7600</v>
      </c>
      <c r="L237" s="12" t="n">
        <f aca="false">MROUND(H237*120*'Rate Card'!$B$48,500)</f>
        <v>406000</v>
      </c>
      <c r="M237" s="12" t="n">
        <f aca="false">MROUND(I237*120*'Rate Card'!$B$48,500)</f>
        <v>205000</v>
      </c>
      <c r="N237" s="14"/>
      <c r="O237" s="46" t="n">
        <v>0.82</v>
      </c>
      <c r="P237" s="46" t="n">
        <v>1</v>
      </c>
    </row>
    <row r="238" customFormat="false" ht="15" hidden="false" customHeight="true" outlineLevel="0" collapsed="false">
      <c r="A238" s="9" t="n">
        <v>220</v>
      </c>
      <c r="B238" s="43" t="s">
        <v>119</v>
      </c>
      <c r="C238" s="43" t="s">
        <v>753</v>
      </c>
      <c r="D238" s="44" t="s">
        <v>754</v>
      </c>
      <c r="E238" s="43" t="s">
        <v>755</v>
      </c>
      <c r="F238" s="45" t="s">
        <v>623</v>
      </c>
      <c r="G238" s="45" t="s">
        <v>756</v>
      </c>
      <c r="H238" s="12" t="n">
        <f aca="false">MROUND('Rate Card'!$I$18*O238*P238,10)</f>
        <v>3490</v>
      </c>
      <c r="I238" s="12" t="n">
        <f aca="false">MROUND('Rate Card'!$K$18*O238*P238,10)</f>
        <v>1760</v>
      </c>
      <c r="J238" s="12" t="n">
        <f aca="false">MROUND(H238*4*'Rate Card'!$B$47,100)</f>
        <v>13300</v>
      </c>
      <c r="K238" s="12" t="n">
        <f aca="false">MROUND(I238*4*'Rate Card'!$B$47,100)</f>
        <v>6700</v>
      </c>
      <c r="L238" s="12" t="n">
        <f aca="false">MROUND(H238*120*'Rate Card'!$B$48,500)</f>
        <v>356000</v>
      </c>
      <c r="M238" s="12" t="n">
        <f aca="false">MROUND(I238*120*'Rate Card'!$B$48,500)</f>
        <v>179500</v>
      </c>
      <c r="N238" s="14" t="s">
        <v>350</v>
      </c>
      <c r="O238" s="46" t="n">
        <v>0.72</v>
      </c>
      <c r="P238" s="46" t="n">
        <v>1</v>
      </c>
    </row>
    <row r="239" customFormat="false" ht="15" hidden="false" customHeight="true" outlineLevel="0" collapsed="false">
      <c r="A239" s="9" t="n">
        <v>221</v>
      </c>
      <c r="B239" s="43" t="s">
        <v>119</v>
      </c>
      <c r="C239" s="43" t="s">
        <v>738</v>
      </c>
      <c r="D239" s="44" t="s">
        <v>757</v>
      </c>
      <c r="E239" s="43" t="s">
        <v>758</v>
      </c>
      <c r="F239" s="45" t="s">
        <v>716</v>
      </c>
      <c r="G239" s="45" t="s">
        <v>759</v>
      </c>
      <c r="H239" s="12" t="n">
        <f aca="false">MROUND('Rate Card'!$I$18*O239*P239,10)</f>
        <v>2810</v>
      </c>
      <c r="I239" s="12" t="n">
        <f aca="false">MROUND('Rate Card'!$K$18*O239*P239,10)</f>
        <v>1420</v>
      </c>
      <c r="J239" s="12" t="n">
        <f aca="false">MROUND(H239*4*'Rate Card'!$B$47,100)</f>
        <v>10700</v>
      </c>
      <c r="K239" s="12" t="n">
        <f aca="false">MROUND(I239*4*'Rate Card'!$B$47,100)</f>
        <v>5400</v>
      </c>
      <c r="L239" s="12" t="n">
        <f aca="false">MROUND(H239*120*'Rate Card'!$B$48,500)</f>
        <v>286500</v>
      </c>
      <c r="M239" s="12" t="n">
        <f aca="false">MROUND(I239*120*'Rate Card'!$B$48,500)</f>
        <v>145000</v>
      </c>
      <c r="N239" s="14" t="s">
        <v>364</v>
      </c>
      <c r="O239" s="46" t="n">
        <v>0.58</v>
      </c>
      <c r="P239" s="46" t="n">
        <v>1</v>
      </c>
    </row>
    <row r="240" customFormat="false" ht="15" hidden="false" customHeight="true" outlineLevel="0" collapsed="false">
      <c r="A240" s="9" t="n">
        <v>222</v>
      </c>
      <c r="B240" s="43" t="s">
        <v>119</v>
      </c>
      <c r="C240" s="43" t="s">
        <v>742</v>
      </c>
      <c r="D240" s="44" t="s">
        <v>760</v>
      </c>
      <c r="E240" s="43" t="s">
        <v>472</v>
      </c>
      <c r="F240" s="45" t="s">
        <v>432</v>
      </c>
      <c r="G240" s="45" t="s">
        <v>761</v>
      </c>
      <c r="H240" s="12" t="n">
        <f aca="false">MROUND('Rate Card'!$I$18*O240*P240,10)</f>
        <v>2810</v>
      </c>
      <c r="I240" s="12" t="n">
        <f aca="false">MROUND('Rate Card'!$K$18*O240*P240,10)</f>
        <v>1420</v>
      </c>
      <c r="J240" s="12" t="n">
        <f aca="false">MROUND(H240*4*'Rate Card'!$B$47,100)</f>
        <v>10700</v>
      </c>
      <c r="K240" s="12" t="n">
        <f aca="false">MROUND(I240*4*'Rate Card'!$B$47,100)</f>
        <v>5400</v>
      </c>
      <c r="L240" s="12" t="n">
        <f aca="false">MROUND(H240*120*'Rate Card'!$B$48,500)</f>
        <v>286500</v>
      </c>
      <c r="M240" s="12" t="n">
        <f aca="false">MROUND(I240*120*'Rate Card'!$B$48,500)</f>
        <v>145000</v>
      </c>
      <c r="N240" s="14" t="s">
        <v>364</v>
      </c>
      <c r="O240" s="46" t="n">
        <v>0.58</v>
      </c>
      <c r="P240" s="46" t="n">
        <v>1</v>
      </c>
    </row>
    <row r="241" customFormat="false" ht="15" hidden="false" customHeight="true" outlineLevel="0" collapsed="false">
      <c r="A241" s="9" t="n">
        <v>223</v>
      </c>
      <c r="B241" s="43" t="s">
        <v>119</v>
      </c>
      <c r="C241" s="43" t="s">
        <v>425</v>
      </c>
      <c r="D241" s="44" t="s">
        <v>762</v>
      </c>
      <c r="E241" s="43" t="s">
        <v>763</v>
      </c>
      <c r="F241" s="45" t="s">
        <v>721</v>
      </c>
      <c r="G241" s="45" t="s">
        <v>764</v>
      </c>
      <c r="H241" s="12" t="n">
        <f aca="false">MROUND('Rate Card'!$I$18*O241*P241,10)</f>
        <v>2810</v>
      </c>
      <c r="I241" s="12" t="n">
        <f aca="false">MROUND('Rate Card'!$K$18*O241*P241,10)</f>
        <v>1420</v>
      </c>
      <c r="J241" s="12" t="n">
        <f aca="false">MROUND(H241*4*'Rate Card'!$B$47,100)</f>
        <v>10700</v>
      </c>
      <c r="K241" s="12" t="n">
        <f aca="false">MROUND(I241*4*'Rate Card'!$B$47,100)</f>
        <v>5400</v>
      </c>
      <c r="L241" s="12" t="n">
        <f aca="false">MROUND(H241*120*'Rate Card'!$B$48,500)</f>
        <v>286500</v>
      </c>
      <c r="M241" s="12" t="n">
        <f aca="false">MROUND(I241*120*'Rate Card'!$B$48,500)</f>
        <v>145000</v>
      </c>
      <c r="N241" s="14" t="s">
        <v>364</v>
      </c>
      <c r="O241" s="46" t="n">
        <v>0.58</v>
      </c>
      <c r="P241" s="46" t="n">
        <v>1</v>
      </c>
    </row>
    <row r="242" customFormat="false" ht="15" hidden="false" customHeight="true" outlineLevel="0" collapsed="false">
      <c r="A242" s="42" t="s">
        <v>765</v>
      </c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</row>
    <row r="243" customFormat="false" ht="15" hidden="false" customHeight="true" outlineLevel="0" collapsed="false">
      <c r="A243" s="9" t="n">
        <v>224</v>
      </c>
      <c r="B243" s="43" t="s">
        <v>121</v>
      </c>
      <c r="C243" s="43" t="s">
        <v>606</v>
      </c>
      <c r="D243" s="44" t="s">
        <v>766</v>
      </c>
      <c r="E243" s="43" t="s">
        <v>767</v>
      </c>
      <c r="F243" s="45" t="s">
        <v>324</v>
      </c>
      <c r="G243" s="45" t="s">
        <v>768</v>
      </c>
      <c r="H243" s="12" t="n">
        <f aca="false">MROUND('Rate Card'!$I$19*O243*P243,10)</f>
        <v>8600</v>
      </c>
      <c r="I243" s="12" t="n">
        <f aca="false">MROUND('Rate Card'!$K$19*O243*P243,10)</f>
        <v>3860</v>
      </c>
      <c r="J243" s="12" t="n">
        <f aca="false">MROUND(H243*4*'Rate Card'!$B$47,100)</f>
        <v>32700</v>
      </c>
      <c r="K243" s="12" t="n">
        <f aca="false">MROUND(I243*4*'Rate Card'!$B$47,100)</f>
        <v>14700</v>
      </c>
      <c r="L243" s="12" t="n">
        <f aca="false">MROUND(H243*120*'Rate Card'!$B$48,500)</f>
        <v>877000</v>
      </c>
      <c r="M243" s="12" t="n">
        <f aca="false">MROUND(I243*120*'Rate Card'!$B$48,500)</f>
        <v>393500</v>
      </c>
      <c r="N243" s="14"/>
      <c r="O243" s="46" t="n">
        <v>0.92</v>
      </c>
      <c r="P243" s="46" t="n">
        <v>1</v>
      </c>
    </row>
    <row r="244" customFormat="false" ht="15" hidden="false" customHeight="true" outlineLevel="0" collapsed="false">
      <c r="A244" s="9" t="n">
        <v>225</v>
      </c>
      <c r="B244" s="43" t="s">
        <v>121</v>
      </c>
      <c r="C244" s="43" t="s">
        <v>753</v>
      </c>
      <c r="D244" s="44" t="s">
        <v>769</v>
      </c>
      <c r="E244" s="43" t="s">
        <v>770</v>
      </c>
      <c r="F244" s="45" t="s">
        <v>623</v>
      </c>
      <c r="G244" s="45" t="s">
        <v>771</v>
      </c>
      <c r="H244" s="12" t="n">
        <f aca="false">MROUND('Rate Card'!$I$19*O244*P244,10)</f>
        <v>6730</v>
      </c>
      <c r="I244" s="12" t="n">
        <f aca="false">MROUND('Rate Card'!$K$19*O244*P244,10)</f>
        <v>3020</v>
      </c>
      <c r="J244" s="12" t="n">
        <f aca="false">MROUND(H244*4*'Rate Card'!$B$47,100)</f>
        <v>25600</v>
      </c>
      <c r="K244" s="12" t="n">
        <f aca="false">MROUND(I244*4*'Rate Card'!$B$47,100)</f>
        <v>11500</v>
      </c>
      <c r="L244" s="12" t="n">
        <f aca="false">MROUND(H244*120*'Rate Card'!$B$48,500)</f>
        <v>686500</v>
      </c>
      <c r="M244" s="12" t="n">
        <f aca="false">MROUND(I244*120*'Rate Card'!$B$48,500)</f>
        <v>308000</v>
      </c>
      <c r="N244" s="14" t="s">
        <v>350</v>
      </c>
      <c r="O244" s="46" t="n">
        <v>0.72</v>
      </c>
      <c r="P244" s="46" t="n">
        <v>1</v>
      </c>
    </row>
    <row r="245" customFormat="false" ht="15" hidden="false" customHeight="true" outlineLevel="0" collapsed="false">
      <c r="A245" s="42" t="s">
        <v>772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</row>
    <row r="246" customFormat="false" ht="15" hidden="false" customHeight="true" outlineLevel="0" collapsed="false">
      <c r="A246" s="9" t="n">
        <v>226</v>
      </c>
      <c r="B246" s="43" t="s">
        <v>123</v>
      </c>
      <c r="C246" s="43" t="s">
        <v>773</v>
      </c>
      <c r="D246" s="44" t="s">
        <v>774</v>
      </c>
      <c r="E246" s="43" t="s">
        <v>775</v>
      </c>
      <c r="F246" s="45" t="s">
        <v>324</v>
      </c>
      <c r="G246" s="45" t="s">
        <v>776</v>
      </c>
      <c r="H246" s="12" t="n">
        <f aca="false">MROUND('Rate Card'!$I$20*O246*P246,10)</f>
        <v>1610</v>
      </c>
      <c r="I246" s="12" t="n">
        <f aca="false">MROUND('Rate Card'!$K$20*O246*P246,10)</f>
        <v>870</v>
      </c>
      <c r="J246" s="12" t="n">
        <f aca="false">MROUND(H246*4*'Rate Card'!$B$47,100)</f>
        <v>6100</v>
      </c>
      <c r="K246" s="12" t="n">
        <f aca="false">MROUND(I246*4*'Rate Card'!$B$47,100)</f>
        <v>3300</v>
      </c>
      <c r="L246" s="12" t="n">
        <f aca="false">MROUND(H246*120*'Rate Card'!$B$48,500)</f>
        <v>164000</v>
      </c>
      <c r="M246" s="12" t="n">
        <f aca="false">MROUND(I246*120*'Rate Card'!$B$48,500)</f>
        <v>88500</v>
      </c>
      <c r="N246" s="14"/>
      <c r="O246" s="46" t="n">
        <v>0.92</v>
      </c>
      <c r="P246" s="46" t="n">
        <v>1</v>
      </c>
    </row>
    <row r="247" customFormat="false" ht="15" hidden="false" customHeight="true" outlineLevel="0" collapsed="false">
      <c r="A247" s="9" t="n">
        <v>227</v>
      </c>
      <c r="B247" s="43" t="s">
        <v>123</v>
      </c>
      <c r="C247" s="43" t="s">
        <v>773</v>
      </c>
      <c r="D247" s="44" t="s">
        <v>777</v>
      </c>
      <c r="E247" s="43" t="s">
        <v>775</v>
      </c>
      <c r="F247" s="45" t="s">
        <v>324</v>
      </c>
      <c r="G247" s="45" t="s">
        <v>778</v>
      </c>
      <c r="H247" s="12" t="n">
        <f aca="false">MROUND('Rate Card'!$I$20*O247*P247,10)</f>
        <v>1610</v>
      </c>
      <c r="I247" s="12" t="n">
        <f aca="false">MROUND('Rate Card'!$K$20*O247*P247,10)</f>
        <v>870</v>
      </c>
      <c r="J247" s="12" t="n">
        <f aca="false">MROUND(H247*4*'Rate Card'!$B$47,100)</f>
        <v>6100</v>
      </c>
      <c r="K247" s="12" t="n">
        <f aca="false">MROUND(I247*4*'Rate Card'!$B$47,100)</f>
        <v>3300</v>
      </c>
      <c r="L247" s="12" t="n">
        <f aca="false">MROUND(H247*120*'Rate Card'!$B$48,500)</f>
        <v>164000</v>
      </c>
      <c r="M247" s="12" t="n">
        <f aca="false">MROUND(I247*120*'Rate Card'!$B$48,500)</f>
        <v>88500</v>
      </c>
      <c r="N247" s="14"/>
      <c r="O247" s="46" t="n">
        <v>0.92</v>
      </c>
      <c r="P247" s="46" t="n">
        <v>1</v>
      </c>
    </row>
    <row r="248" customFormat="false" ht="15" hidden="false" customHeight="true" outlineLevel="0" collapsed="false">
      <c r="A248" s="9" t="n">
        <v>228</v>
      </c>
      <c r="B248" s="43" t="s">
        <v>123</v>
      </c>
      <c r="C248" s="43" t="s">
        <v>773</v>
      </c>
      <c r="D248" s="44" t="s">
        <v>779</v>
      </c>
      <c r="E248" s="43" t="s">
        <v>775</v>
      </c>
      <c r="F248" s="45" t="s">
        <v>324</v>
      </c>
      <c r="G248" s="45" t="s">
        <v>780</v>
      </c>
      <c r="H248" s="12" t="n">
        <f aca="false">MROUND('Rate Card'!$I$20*O248*P248,10)</f>
        <v>1610</v>
      </c>
      <c r="I248" s="12" t="n">
        <f aca="false">MROUND('Rate Card'!$K$20*O248*P248,10)</f>
        <v>870</v>
      </c>
      <c r="J248" s="12" t="n">
        <f aca="false">MROUND(H248*4*'Rate Card'!$B$47,100)</f>
        <v>6100</v>
      </c>
      <c r="K248" s="12" t="n">
        <f aca="false">MROUND(I248*4*'Rate Card'!$B$47,100)</f>
        <v>3300</v>
      </c>
      <c r="L248" s="12" t="n">
        <f aca="false">MROUND(H248*120*'Rate Card'!$B$48,500)</f>
        <v>164000</v>
      </c>
      <c r="M248" s="12" t="n">
        <f aca="false">MROUND(I248*120*'Rate Card'!$B$48,500)</f>
        <v>88500</v>
      </c>
      <c r="N248" s="14"/>
      <c r="O248" s="46" t="n">
        <v>0.92</v>
      </c>
      <c r="P248" s="46" t="n">
        <v>1</v>
      </c>
    </row>
    <row r="249" customFormat="false" ht="15" hidden="false" customHeight="true" outlineLevel="0" collapsed="false">
      <c r="A249" s="9" t="n">
        <v>229</v>
      </c>
      <c r="B249" s="43" t="s">
        <v>123</v>
      </c>
      <c r="C249" s="43" t="s">
        <v>773</v>
      </c>
      <c r="D249" s="44" t="s">
        <v>781</v>
      </c>
      <c r="E249" s="43" t="s">
        <v>775</v>
      </c>
      <c r="F249" s="45" t="s">
        <v>324</v>
      </c>
      <c r="G249" s="45" t="s">
        <v>782</v>
      </c>
      <c r="H249" s="12" t="n">
        <f aca="false">MROUND('Rate Card'!$I$20*O249*P249,10)</f>
        <v>1610</v>
      </c>
      <c r="I249" s="12" t="n">
        <f aca="false">MROUND('Rate Card'!$K$20*O249*P249,10)</f>
        <v>870</v>
      </c>
      <c r="J249" s="12" t="n">
        <f aca="false">MROUND(H249*4*'Rate Card'!$B$47,100)</f>
        <v>6100</v>
      </c>
      <c r="K249" s="12" t="n">
        <f aca="false">MROUND(I249*4*'Rate Card'!$B$47,100)</f>
        <v>3300</v>
      </c>
      <c r="L249" s="12" t="n">
        <f aca="false">MROUND(H249*120*'Rate Card'!$B$48,500)</f>
        <v>164000</v>
      </c>
      <c r="M249" s="12" t="n">
        <f aca="false">MROUND(I249*120*'Rate Card'!$B$48,500)</f>
        <v>88500</v>
      </c>
      <c r="N249" s="14"/>
      <c r="O249" s="46" t="n">
        <v>0.92</v>
      </c>
      <c r="P249" s="46" t="n">
        <v>1</v>
      </c>
    </row>
    <row r="250" customFormat="false" ht="15" hidden="false" customHeight="true" outlineLevel="0" collapsed="false">
      <c r="A250" s="9" t="n">
        <v>230</v>
      </c>
      <c r="B250" s="43" t="s">
        <v>123</v>
      </c>
      <c r="C250" s="43" t="s">
        <v>773</v>
      </c>
      <c r="D250" s="44" t="s">
        <v>783</v>
      </c>
      <c r="E250" s="43" t="s">
        <v>775</v>
      </c>
      <c r="F250" s="45" t="s">
        <v>324</v>
      </c>
      <c r="G250" s="45" t="s">
        <v>784</v>
      </c>
      <c r="H250" s="12" t="n">
        <f aca="false">MROUND('Rate Card'!$I$20*O250*P250,10)</f>
        <v>1610</v>
      </c>
      <c r="I250" s="12" t="n">
        <f aca="false">MROUND('Rate Card'!$K$20*O250*P250,10)</f>
        <v>870</v>
      </c>
      <c r="J250" s="12" t="n">
        <f aca="false">MROUND(H250*4*'Rate Card'!$B$47,100)</f>
        <v>6100</v>
      </c>
      <c r="K250" s="12" t="n">
        <f aca="false">MROUND(I250*4*'Rate Card'!$B$47,100)</f>
        <v>3300</v>
      </c>
      <c r="L250" s="12" t="n">
        <f aca="false">MROUND(H250*120*'Rate Card'!$B$48,500)</f>
        <v>164000</v>
      </c>
      <c r="M250" s="12" t="n">
        <f aca="false">MROUND(I250*120*'Rate Card'!$B$48,500)</f>
        <v>88500</v>
      </c>
      <c r="N250" s="14"/>
      <c r="O250" s="46" t="n">
        <v>0.92</v>
      </c>
      <c r="P250" s="46" t="n">
        <v>1</v>
      </c>
    </row>
    <row r="251" customFormat="false" ht="15" hidden="false" customHeight="true" outlineLevel="0" collapsed="false">
      <c r="A251" s="9" t="n">
        <v>231</v>
      </c>
      <c r="B251" s="43" t="s">
        <v>123</v>
      </c>
      <c r="C251" s="43" t="s">
        <v>773</v>
      </c>
      <c r="D251" s="44" t="s">
        <v>785</v>
      </c>
      <c r="E251" s="43" t="s">
        <v>775</v>
      </c>
      <c r="F251" s="45" t="s">
        <v>324</v>
      </c>
      <c r="G251" s="45" t="s">
        <v>786</v>
      </c>
      <c r="H251" s="12" t="n">
        <f aca="false">MROUND('Rate Card'!$I$20*O251*P251,10)</f>
        <v>1610</v>
      </c>
      <c r="I251" s="12" t="n">
        <f aca="false">MROUND('Rate Card'!$K$20*O251*P251,10)</f>
        <v>870</v>
      </c>
      <c r="J251" s="12" t="n">
        <f aca="false">MROUND(H251*4*'Rate Card'!$B$47,100)</f>
        <v>6100</v>
      </c>
      <c r="K251" s="12" t="n">
        <f aca="false">MROUND(I251*4*'Rate Card'!$B$47,100)</f>
        <v>3300</v>
      </c>
      <c r="L251" s="12" t="n">
        <f aca="false">MROUND(H251*120*'Rate Card'!$B$48,500)</f>
        <v>164000</v>
      </c>
      <c r="M251" s="12" t="n">
        <f aca="false">MROUND(I251*120*'Rate Card'!$B$48,500)</f>
        <v>88500</v>
      </c>
      <c r="N251" s="14"/>
      <c r="O251" s="46" t="n">
        <v>0.92</v>
      </c>
      <c r="P251" s="46" t="n">
        <v>1</v>
      </c>
    </row>
    <row r="252" customFormat="false" ht="15" hidden="false" customHeight="true" outlineLevel="0" collapsed="false">
      <c r="A252" s="9" t="n">
        <v>232</v>
      </c>
      <c r="B252" s="43" t="s">
        <v>123</v>
      </c>
      <c r="C252" s="43" t="s">
        <v>773</v>
      </c>
      <c r="D252" s="44" t="s">
        <v>787</v>
      </c>
      <c r="E252" s="43" t="s">
        <v>788</v>
      </c>
      <c r="F252" s="45" t="s">
        <v>397</v>
      </c>
      <c r="G252" s="45" t="s">
        <v>789</v>
      </c>
      <c r="H252" s="12" t="n">
        <f aca="false">MROUND('Rate Card'!$I$20*O252*P252,10)</f>
        <v>1610</v>
      </c>
      <c r="I252" s="12" t="n">
        <f aca="false">MROUND('Rate Card'!$K$20*O252*P252,10)</f>
        <v>870</v>
      </c>
      <c r="J252" s="12" t="n">
        <f aca="false">MROUND(H252*4*'Rate Card'!$B$47,100)</f>
        <v>6100</v>
      </c>
      <c r="K252" s="12" t="n">
        <f aca="false">MROUND(I252*4*'Rate Card'!$B$47,100)</f>
        <v>3300</v>
      </c>
      <c r="L252" s="12" t="n">
        <f aca="false">MROUND(H252*120*'Rate Card'!$B$48,500)</f>
        <v>164000</v>
      </c>
      <c r="M252" s="12" t="n">
        <f aca="false">MROUND(I252*120*'Rate Card'!$B$48,500)</f>
        <v>88500</v>
      </c>
      <c r="N252" s="14"/>
      <c r="O252" s="46" t="n">
        <v>0.92</v>
      </c>
      <c r="P252" s="46" t="n">
        <v>1</v>
      </c>
    </row>
    <row r="253" customFormat="false" ht="15" hidden="false" customHeight="true" outlineLevel="0" collapsed="false">
      <c r="A253" s="9" t="n">
        <v>233</v>
      </c>
      <c r="B253" s="43" t="s">
        <v>123</v>
      </c>
      <c r="C253" s="43" t="s">
        <v>773</v>
      </c>
      <c r="D253" s="44" t="s">
        <v>790</v>
      </c>
      <c r="E253" s="43" t="s">
        <v>775</v>
      </c>
      <c r="F253" s="45" t="s">
        <v>397</v>
      </c>
      <c r="G253" s="45" t="s">
        <v>791</v>
      </c>
      <c r="H253" s="12" t="n">
        <f aca="false">MROUND('Rate Card'!$I$20*O253*P253,10)</f>
        <v>1610</v>
      </c>
      <c r="I253" s="12" t="n">
        <f aca="false">MROUND('Rate Card'!$K$20*O253*P253,10)</f>
        <v>870</v>
      </c>
      <c r="J253" s="12" t="n">
        <f aca="false">MROUND(H253*4*'Rate Card'!$B$47,100)</f>
        <v>6100</v>
      </c>
      <c r="K253" s="12" t="n">
        <f aca="false">MROUND(I253*4*'Rate Card'!$B$47,100)</f>
        <v>3300</v>
      </c>
      <c r="L253" s="12" t="n">
        <f aca="false">MROUND(H253*120*'Rate Card'!$B$48,500)</f>
        <v>164000</v>
      </c>
      <c r="M253" s="12" t="n">
        <f aca="false">MROUND(I253*120*'Rate Card'!$B$48,500)</f>
        <v>88500</v>
      </c>
      <c r="N253" s="14"/>
      <c r="O253" s="46" t="n">
        <v>0.92</v>
      </c>
      <c r="P253" s="46" t="n">
        <v>1</v>
      </c>
    </row>
    <row r="254" customFormat="false" ht="15" hidden="false" customHeight="true" outlineLevel="0" collapsed="false">
      <c r="A254" s="9" t="n">
        <v>234</v>
      </c>
      <c r="B254" s="43" t="s">
        <v>123</v>
      </c>
      <c r="C254" s="43" t="s">
        <v>792</v>
      </c>
      <c r="D254" s="44" t="s">
        <v>793</v>
      </c>
      <c r="E254" s="43" t="s">
        <v>794</v>
      </c>
      <c r="F254" s="45" t="s">
        <v>318</v>
      </c>
      <c r="G254" s="45" t="s">
        <v>795</v>
      </c>
      <c r="H254" s="12" t="n">
        <f aca="false">MROUND('Rate Card'!$I$20*O254*P254,10)</f>
        <v>1610</v>
      </c>
      <c r="I254" s="12" t="n">
        <f aca="false">MROUND('Rate Card'!$K$20*O254*P254,10)</f>
        <v>870</v>
      </c>
      <c r="J254" s="12" t="n">
        <f aca="false">MROUND(H254*4*'Rate Card'!$B$47,100)</f>
        <v>6100</v>
      </c>
      <c r="K254" s="12" t="n">
        <f aca="false">MROUND(I254*4*'Rate Card'!$B$47,100)</f>
        <v>3300</v>
      </c>
      <c r="L254" s="12" t="n">
        <f aca="false">MROUND(H254*120*'Rate Card'!$B$48,500)</f>
        <v>164000</v>
      </c>
      <c r="M254" s="12" t="n">
        <f aca="false">MROUND(I254*120*'Rate Card'!$B$48,500)</f>
        <v>88500</v>
      </c>
      <c r="N254" s="14"/>
      <c r="O254" s="46" t="n">
        <v>0.92</v>
      </c>
      <c r="P254" s="46" t="n">
        <v>1</v>
      </c>
    </row>
    <row r="255" customFormat="false" ht="15" hidden="false" customHeight="true" outlineLevel="0" collapsed="false">
      <c r="A255" s="9" t="n">
        <v>235</v>
      </c>
      <c r="B255" s="43" t="s">
        <v>123</v>
      </c>
      <c r="C255" s="43" t="s">
        <v>792</v>
      </c>
      <c r="D255" s="44" t="s">
        <v>796</v>
      </c>
      <c r="E255" s="43" t="s">
        <v>797</v>
      </c>
      <c r="F255" s="45" t="s">
        <v>315</v>
      </c>
      <c r="G255" s="45" t="s">
        <v>798</v>
      </c>
      <c r="H255" s="12" t="n">
        <f aca="false">MROUND('Rate Card'!$I$20*O255*P255,10)</f>
        <v>1610</v>
      </c>
      <c r="I255" s="12" t="n">
        <f aca="false">MROUND('Rate Card'!$K$20*O255*P255,10)</f>
        <v>870</v>
      </c>
      <c r="J255" s="12" t="n">
        <f aca="false">MROUND(H255*4*'Rate Card'!$B$47,100)</f>
        <v>6100</v>
      </c>
      <c r="K255" s="12" t="n">
        <f aca="false">MROUND(I255*4*'Rate Card'!$B$47,100)</f>
        <v>3300</v>
      </c>
      <c r="L255" s="12" t="n">
        <f aca="false">MROUND(H255*120*'Rate Card'!$B$48,500)</f>
        <v>164000</v>
      </c>
      <c r="M255" s="12" t="n">
        <f aca="false">MROUND(I255*120*'Rate Card'!$B$48,500)</f>
        <v>88500</v>
      </c>
      <c r="N255" s="14"/>
      <c r="O255" s="46" t="n">
        <v>0.92</v>
      </c>
      <c r="P255" s="46" t="n">
        <v>1</v>
      </c>
    </row>
    <row r="256" customFormat="false" ht="15" hidden="false" customHeight="true" outlineLevel="0" collapsed="false">
      <c r="A256" s="9" t="n">
        <v>236</v>
      </c>
      <c r="B256" s="43" t="s">
        <v>123</v>
      </c>
      <c r="C256" s="43" t="s">
        <v>773</v>
      </c>
      <c r="D256" s="44" t="s">
        <v>799</v>
      </c>
      <c r="E256" s="43" t="s">
        <v>775</v>
      </c>
      <c r="F256" s="45" t="s">
        <v>310</v>
      </c>
      <c r="G256" s="45" t="s">
        <v>800</v>
      </c>
      <c r="H256" s="12" t="n">
        <f aca="false">MROUND('Rate Card'!$I$20*O256*P256,10)</f>
        <v>1440</v>
      </c>
      <c r="I256" s="12" t="n">
        <f aca="false">MROUND('Rate Card'!$K$20*O256*P256,10)</f>
        <v>780</v>
      </c>
      <c r="J256" s="12" t="n">
        <f aca="false">MROUND(H256*4*'Rate Card'!$B$47,100)</f>
        <v>5500</v>
      </c>
      <c r="K256" s="12" t="n">
        <f aca="false">MROUND(I256*4*'Rate Card'!$B$47,100)</f>
        <v>3000</v>
      </c>
      <c r="L256" s="12" t="n">
        <f aca="false">MROUND(H256*120*'Rate Card'!$B$48,500)</f>
        <v>147000</v>
      </c>
      <c r="M256" s="12" t="n">
        <f aca="false">MROUND(I256*120*'Rate Card'!$B$48,500)</f>
        <v>79500</v>
      </c>
      <c r="N256" s="14"/>
      <c r="O256" s="46" t="n">
        <v>0.82</v>
      </c>
      <c r="P256" s="46" t="n">
        <v>1</v>
      </c>
    </row>
    <row r="257" customFormat="false" ht="15" hidden="false" customHeight="true" outlineLevel="0" collapsed="false">
      <c r="A257" s="9" t="n">
        <v>237</v>
      </c>
      <c r="B257" s="43" t="s">
        <v>123</v>
      </c>
      <c r="C257" s="43" t="s">
        <v>792</v>
      </c>
      <c r="D257" s="44" t="s">
        <v>801</v>
      </c>
      <c r="E257" s="43" t="s">
        <v>797</v>
      </c>
      <c r="F257" s="45" t="s">
        <v>748</v>
      </c>
      <c r="G257" s="45" t="s">
        <v>802</v>
      </c>
      <c r="H257" s="12" t="n">
        <f aca="false">MROUND('Rate Card'!$I$20*O257*P257,10)</f>
        <v>1440</v>
      </c>
      <c r="I257" s="12" t="n">
        <f aca="false">MROUND('Rate Card'!$K$20*O257*P257,10)</f>
        <v>780</v>
      </c>
      <c r="J257" s="12" t="n">
        <f aca="false">MROUND(H257*4*'Rate Card'!$B$47,100)</f>
        <v>5500</v>
      </c>
      <c r="K257" s="12" t="n">
        <f aca="false">MROUND(I257*4*'Rate Card'!$B$47,100)</f>
        <v>3000</v>
      </c>
      <c r="L257" s="12" t="n">
        <f aca="false">MROUND(H257*120*'Rate Card'!$B$48,500)</f>
        <v>147000</v>
      </c>
      <c r="M257" s="12" t="n">
        <f aca="false">MROUND(I257*120*'Rate Card'!$B$48,500)</f>
        <v>79500</v>
      </c>
      <c r="N257" s="14"/>
      <c r="O257" s="46" t="n">
        <v>0.82</v>
      </c>
      <c r="P257" s="46" t="n">
        <v>1</v>
      </c>
    </row>
    <row r="258" customFormat="false" ht="15" hidden="false" customHeight="true" outlineLevel="0" collapsed="false">
      <c r="A258" s="9" t="n">
        <v>238</v>
      </c>
      <c r="B258" s="43" t="s">
        <v>123</v>
      </c>
      <c r="C258" s="43" t="s">
        <v>420</v>
      </c>
      <c r="D258" s="44" t="s">
        <v>803</v>
      </c>
      <c r="E258" s="43" t="s">
        <v>804</v>
      </c>
      <c r="F258" s="45" t="s">
        <v>623</v>
      </c>
      <c r="G258" s="45" t="s">
        <v>805</v>
      </c>
      <c r="H258" s="12" t="n">
        <f aca="false">MROUND('Rate Card'!$I$20*O258*P258,10)</f>
        <v>1260</v>
      </c>
      <c r="I258" s="12" t="n">
        <f aca="false">MROUND('Rate Card'!$K$20*O258*P258,10)</f>
        <v>680</v>
      </c>
      <c r="J258" s="12" t="n">
        <f aca="false">MROUND(H258*4*'Rate Card'!$B$47,100)</f>
        <v>4800</v>
      </c>
      <c r="K258" s="12" t="n">
        <f aca="false">MROUND(I258*4*'Rate Card'!$B$47,100)</f>
        <v>2600</v>
      </c>
      <c r="L258" s="12" t="n">
        <f aca="false">MROUND(H258*120*'Rate Card'!$B$48,500)</f>
        <v>128500</v>
      </c>
      <c r="M258" s="12" t="n">
        <f aca="false">MROUND(I258*120*'Rate Card'!$B$48,500)</f>
        <v>69500</v>
      </c>
      <c r="N258" s="14" t="s">
        <v>350</v>
      </c>
      <c r="O258" s="46" t="n">
        <v>0.72</v>
      </c>
      <c r="P258" s="46" t="n">
        <v>1</v>
      </c>
    </row>
    <row r="259" customFormat="false" ht="15" hidden="false" customHeight="true" outlineLevel="0" collapsed="false">
      <c r="A259" s="9" t="n">
        <v>239</v>
      </c>
      <c r="B259" s="43" t="s">
        <v>123</v>
      </c>
      <c r="C259" s="43" t="s">
        <v>773</v>
      </c>
      <c r="D259" s="44" t="s">
        <v>806</v>
      </c>
      <c r="E259" s="43" t="s">
        <v>807</v>
      </c>
      <c r="F259" s="45" t="s">
        <v>623</v>
      </c>
      <c r="G259" s="45" t="s">
        <v>808</v>
      </c>
      <c r="H259" s="12" t="n">
        <f aca="false">MROUND('Rate Card'!$I$20*O259*P259,10)</f>
        <v>1260</v>
      </c>
      <c r="I259" s="12" t="n">
        <f aca="false">MROUND('Rate Card'!$K$20*O259*P259,10)</f>
        <v>680</v>
      </c>
      <c r="J259" s="12" t="n">
        <f aca="false">MROUND(H259*4*'Rate Card'!$B$47,100)</f>
        <v>4800</v>
      </c>
      <c r="K259" s="12" t="n">
        <f aca="false">MROUND(I259*4*'Rate Card'!$B$47,100)</f>
        <v>2600</v>
      </c>
      <c r="L259" s="12" t="n">
        <f aca="false">MROUND(H259*120*'Rate Card'!$B$48,500)</f>
        <v>128500</v>
      </c>
      <c r="M259" s="12" t="n">
        <f aca="false">MROUND(I259*120*'Rate Card'!$B$48,500)</f>
        <v>69500</v>
      </c>
      <c r="N259" s="14" t="s">
        <v>350</v>
      </c>
      <c r="O259" s="46" t="n">
        <v>0.72</v>
      </c>
      <c r="P259" s="46" t="n">
        <v>1</v>
      </c>
    </row>
    <row r="260" customFormat="false" ht="15" hidden="false" customHeight="true" outlineLevel="0" collapsed="false">
      <c r="A260" s="9" t="n">
        <v>240</v>
      </c>
      <c r="B260" s="43" t="s">
        <v>123</v>
      </c>
      <c r="C260" s="43" t="s">
        <v>773</v>
      </c>
      <c r="D260" s="44" t="s">
        <v>809</v>
      </c>
      <c r="E260" s="43" t="s">
        <v>807</v>
      </c>
      <c r="F260" s="45" t="s">
        <v>810</v>
      </c>
      <c r="G260" s="45" t="s">
        <v>811</v>
      </c>
      <c r="H260" s="12" t="n">
        <f aca="false">MROUND('Rate Card'!$I$20*O260*P260,10)</f>
        <v>1260</v>
      </c>
      <c r="I260" s="12" t="n">
        <f aca="false">MROUND('Rate Card'!$K$20*O260*P260,10)</f>
        <v>680</v>
      </c>
      <c r="J260" s="12" t="n">
        <f aca="false">MROUND(H260*4*'Rate Card'!$B$47,100)</f>
        <v>4800</v>
      </c>
      <c r="K260" s="12" t="n">
        <f aca="false">MROUND(I260*4*'Rate Card'!$B$47,100)</f>
        <v>2600</v>
      </c>
      <c r="L260" s="12" t="n">
        <f aca="false">MROUND(H260*120*'Rate Card'!$B$48,500)</f>
        <v>128500</v>
      </c>
      <c r="M260" s="12" t="n">
        <f aca="false">MROUND(I260*120*'Rate Card'!$B$48,500)</f>
        <v>69500</v>
      </c>
      <c r="N260" s="14" t="s">
        <v>350</v>
      </c>
      <c r="O260" s="46" t="n">
        <v>0.72</v>
      </c>
      <c r="P260" s="46" t="n">
        <v>1</v>
      </c>
    </row>
    <row r="261" customFormat="false" ht="15" hidden="false" customHeight="true" outlineLevel="0" collapsed="false">
      <c r="A261" s="9" t="n">
        <v>241</v>
      </c>
      <c r="B261" s="43" t="s">
        <v>123</v>
      </c>
      <c r="C261" s="43" t="s">
        <v>773</v>
      </c>
      <c r="D261" s="44" t="s">
        <v>812</v>
      </c>
      <c r="E261" s="43" t="s">
        <v>775</v>
      </c>
      <c r="F261" s="45" t="s">
        <v>810</v>
      </c>
      <c r="G261" s="45" t="s">
        <v>813</v>
      </c>
      <c r="H261" s="12" t="n">
        <f aca="false">MROUND('Rate Card'!$I$20*O261*P261,10)</f>
        <v>1260</v>
      </c>
      <c r="I261" s="12" t="n">
        <f aca="false">MROUND('Rate Card'!$K$20*O261*P261,10)</f>
        <v>680</v>
      </c>
      <c r="J261" s="12" t="n">
        <f aca="false">MROUND(H261*4*'Rate Card'!$B$47,100)</f>
        <v>4800</v>
      </c>
      <c r="K261" s="12" t="n">
        <f aca="false">MROUND(I261*4*'Rate Card'!$B$47,100)</f>
        <v>2600</v>
      </c>
      <c r="L261" s="12" t="n">
        <f aca="false">MROUND(H261*120*'Rate Card'!$B$48,500)</f>
        <v>128500</v>
      </c>
      <c r="M261" s="12" t="n">
        <f aca="false">MROUND(I261*120*'Rate Card'!$B$48,500)</f>
        <v>69500</v>
      </c>
      <c r="N261" s="14" t="s">
        <v>350</v>
      </c>
      <c r="O261" s="46" t="n">
        <v>0.72</v>
      </c>
      <c r="P261" s="46" t="n">
        <v>1</v>
      </c>
    </row>
    <row r="262" customFormat="false" ht="15" hidden="false" customHeight="true" outlineLevel="0" collapsed="false">
      <c r="A262" s="9" t="n">
        <v>242</v>
      </c>
      <c r="B262" s="43" t="s">
        <v>123</v>
      </c>
      <c r="C262" s="43" t="s">
        <v>773</v>
      </c>
      <c r="D262" s="44" t="s">
        <v>814</v>
      </c>
      <c r="E262" s="43" t="s">
        <v>815</v>
      </c>
      <c r="F262" s="45" t="s">
        <v>810</v>
      </c>
      <c r="G262" s="45" t="s">
        <v>816</v>
      </c>
      <c r="H262" s="12" t="n">
        <f aca="false">MROUND('Rate Card'!$I$20*O262*P262,10)</f>
        <v>1260</v>
      </c>
      <c r="I262" s="12" t="n">
        <f aca="false">MROUND('Rate Card'!$K$20*O262*P262,10)</f>
        <v>680</v>
      </c>
      <c r="J262" s="12" t="n">
        <f aca="false">MROUND(H262*4*'Rate Card'!$B$47,100)</f>
        <v>4800</v>
      </c>
      <c r="K262" s="12" t="n">
        <f aca="false">MROUND(I262*4*'Rate Card'!$B$47,100)</f>
        <v>2600</v>
      </c>
      <c r="L262" s="12" t="n">
        <f aca="false">MROUND(H262*120*'Rate Card'!$B$48,500)</f>
        <v>128500</v>
      </c>
      <c r="M262" s="12" t="n">
        <f aca="false">MROUND(I262*120*'Rate Card'!$B$48,500)</f>
        <v>69500</v>
      </c>
      <c r="N262" s="14" t="s">
        <v>350</v>
      </c>
      <c r="O262" s="46" t="n">
        <v>0.72</v>
      </c>
      <c r="P262" s="46" t="n">
        <v>1</v>
      </c>
    </row>
    <row r="263" customFormat="false" ht="15" hidden="false" customHeight="true" outlineLevel="0" collapsed="false">
      <c r="A263" s="9" t="n">
        <v>243</v>
      </c>
      <c r="B263" s="43" t="s">
        <v>123</v>
      </c>
      <c r="C263" s="43" t="s">
        <v>773</v>
      </c>
      <c r="D263" s="44" t="s">
        <v>817</v>
      </c>
      <c r="E263" s="43" t="s">
        <v>775</v>
      </c>
      <c r="F263" s="45" t="s">
        <v>729</v>
      </c>
      <c r="G263" s="45" t="s">
        <v>818</v>
      </c>
      <c r="H263" s="12" t="n">
        <f aca="false">MROUND('Rate Card'!$I$20*O263*P263,10)</f>
        <v>1260</v>
      </c>
      <c r="I263" s="12" t="n">
        <f aca="false">MROUND('Rate Card'!$K$20*O263*P263,10)</f>
        <v>680</v>
      </c>
      <c r="J263" s="12" t="n">
        <f aca="false">MROUND(H263*4*'Rate Card'!$B$47,100)</f>
        <v>4800</v>
      </c>
      <c r="K263" s="12" t="n">
        <f aca="false">MROUND(I263*4*'Rate Card'!$B$47,100)</f>
        <v>2600</v>
      </c>
      <c r="L263" s="12" t="n">
        <f aca="false">MROUND(H263*120*'Rate Card'!$B$48,500)</f>
        <v>128500</v>
      </c>
      <c r="M263" s="12" t="n">
        <f aca="false">MROUND(I263*120*'Rate Card'!$B$48,500)</f>
        <v>69500</v>
      </c>
      <c r="N263" s="14" t="s">
        <v>350</v>
      </c>
      <c r="O263" s="46" t="n">
        <v>0.72</v>
      </c>
      <c r="P263" s="46" t="n">
        <v>1</v>
      </c>
    </row>
    <row r="264" customFormat="false" ht="15" hidden="false" customHeight="true" outlineLevel="0" collapsed="false">
      <c r="A264" s="9" t="n">
        <v>244</v>
      </c>
      <c r="B264" s="43" t="s">
        <v>123</v>
      </c>
      <c r="C264" s="43" t="s">
        <v>819</v>
      </c>
      <c r="D264" s="44" t="s">
        <v>820</v>
      </c>
      <c r="E264" s="43" t="s">
        <v>821</v>
      </c>
      <c r="F264" s="45" t="s">
        <v>729</v>
      </c>
      <c r="G264" s="45" t="s">
        <v>822</v>
      </c>
      <c r="H264" s="12" t="n">
        <f aca="false">MROUND('Rate Card'!$I$20*O264*P264,10)</f>
        <v>1260</v>
      </c>
      <c r="I264" s="12" t="n">
        <f aca="false">MROUND('Rate Card'!$K$20*O264*P264,10)</f>
        <v>680</v>
      </c>
      <c r="J264" s="12" t="n">
        <f aca="false">MROUND(H264*4*'Rate Card'!$B$47,100)</f>
        <v>4800</v>
      </c>
      <c r="K264" s="12" t="n">
        <f aca="false">MROUND(I264*4*'Rate Card'!$B$47,100)</f>
        <v>2600</v>
      </c>
      <c r="L264" s="12" t="n">
        <f aca="false">MROUND(H264*120*'Rate Card'!$B$48,500)</f>
        <v>128500</v>
      </c>
      <c r="M264" s="12" t="n">
        <f aca="false">MROUND(I264*120*'Rate Card'!$B$48,500)</f>
        <v>69500</v>
      </c>
      <c r="N264" s="14" t="s">
        <v>350</v>
      </c>
      <c r="O264" s="46" t="n">
        <v>0.72</v>
      </c>
      <c r="P264" s="46" t="n">
        <v>1</v>
      </c>
    </row>
    <row r="265" customFormat="false" ht="15" hidden="false" customHeight="true" outlineLevel="0" collapsed="false">
      <c r="A265" s="9" t="n">
        <v>245</v>
      </c>
      <c r="B265" s="43" t="s">
        <v>123</v>
      </c>
      <c r="C265" s="43" t="s">
        <v>420</v>
      </c>
      <c r="D265" s="44" t="s">
        <v>823</v>
      </c>
      <c r="E265" s="43" t="s">
        <v>804</v>
      </c>
      <c r="F265" s="45" t="s">
        <v>423</v>
      </c>
      <c r="G265" s="45" t="s">
        <v>824</v>
      </c>
      <c r="H265" s="12" t="n">
        <f aca="false">MROUND('Rate Card'!$I$20*O265*P265,10)</f>
        <v>1140</v>
      </c>
      <c r="I265" s="12" t="n">
        <f aca="false">MROUND('Rate Card'!$K$20*O265*P265,10)</f>
        <v>620</v>
      </c>
      <c r="J265" s="12" t="n">
        <f aca="false">MROUND(H265*4*'Rate Card'!$B$47,100)</f>
        <v>4300</v>
      </c>
      <c r="K265" s="12" t="n">
        <f aca="false">MROUND(I265*4*'Rate Card'!$B$47,100)</f>
        <v>2400</v>
      </c>
      <c r="L265" s="12" t="n">
        <f aca="false">MROUND(H265*120*'Rate Card'!$B$48,500)</f>
        <v>116500</v>
      </c>
      <c r="M265" s="12" t="n">
        <f aca="false">MROUND(I265*120*'Rate Card'!$B$48,500)</f>
        <v>63000</v>
      </c>
      <c r="N265" s="14" t="s">
        <v>355</v>
      </c>
      <c r="O265" s="46" t="n">
        <v>0.65</v>
      </c>
      <c r="P265" s="46" t="n">
        <v>1</v>
      </c>
    </row>
    <row r="266" customFormat="false" ht="15" hidden="false" customHeight="true" outlineLevel="0" collapsed="false">
      <c r="A266" s="9" t="n">
        <v>246</v>
      </c>
      <c r="B266" s="43" t="s">
        <v>123</v>
      </c>
      <c r="C266" s="43" t="s">
        <v>420</v>
      </c>
      <c r="D266" s="44" t="s">
        <v>825</v>
      </c>
      <c r="E266" s="43" t="s">
        <v>826</v>
      </c>
      <c r="F266" s="45" t="s">
        <v>362</v>
      </c>
      <c r="G266" s="45" t="s">
        <v>827</v>
      </c>
      <c r="H266" s="12" t="n">
        <f aca="false">MROUND('Rate Card'!$I$20*O266*P266,10)</f>
        <v>1020</v>
      </c>
      <c r="I266" s="12" t="n">
        <f aca="false">MROUND('Rate Card'!$K$20*O266*P266,10)</f>
        <v>550</v>
      </c>
      <c r="J266" s="12" t="n">
        <f aca="false">MROUND(H266*4*'Rate Card'!$B$47,100)</f>
        <v>3900</v>
      </c>
      <c r="K266" s="12" t="n">
        <f aca="false">MROUND(I266*4*'Rate Card'!$B$47,100)</f>
        <v>2100</v>
      </c>
      <c r="L266" s="12" t="n">
        <f aca="false">MROUND(H266*120*'Rate Card'!$B$48,500)</f>
        <v>104000</v>
      </c>
      <c r="M266" s="12" t="n">
        <f aca="false">MROUND(I266*120*'Rate Card'!$B$48,500)</f>
        <v>56000</v>
      </c>
      <c r="N266" s="14" t="s">
        <v>364</v>
      </c>
      <c r="O266" s="46" t="n">
        <v>0.58</v>
      </c>
      <c r="P266" s="46" t="n">
        <v>1</v>
      </c>
    </row>
    <row r="267" customFormat="false" ht="15" hidden="false" customHeight="true" outlineLevel="0" collapsed="false">
      <c r="A267" s="9" t="n">
        <v>247</v>
      </c>
      <c r="B267" s="43" t="s">
        <v>123</v>
      </c>
      <c r="C267" s="43" t="s">
        <v>425</v>
      </c>
      <c r="D267" s="44" t="s">
        <v>828</v>
      </c>
      <c r="E267" s="43" t="s">
        <v>826</v>
      </c>
      <c r="F267" s="45" t="s">
        <v>829</v>
      </c>
      <c r="G267" s="45" t="s">
        <v>830</v>
      </c>
      <c r="H267" s="12" t="n">
        <f aca="false">MROUND('Rate Card'!$I$20*O267*P267,10)</f>
        <v>1020</v>
      </c>
      <c r="I267" s="12" t="n">
        <f aca="false">MROUND('Rate Card'!$K$20*O267*P267,10)</f>
        <v>550</v>
      </c>
      <c r="J267" s="12" t="n">
        <f aca="false">MROUND(H267*4*'Rate Card'!$B$47,100)</f>
        <v>3900</v>
      </c>
      <c r="K267" s="12" t="n">
        <f aca="false">MROUND(I267*4*'Rate Card'!$B$47,100)</f>
        <v>2100</v>
      </c>
      <c r="L267" s="12" t="n">
        <f aca="false">MROUND(H267*120*'Rate Card'!$B$48,500)</f>
        <v>104000</v>
      </c>
      <c r="M267" s="12" t="n">
        <f aca="false">MROUND(I267*120*'Rate Card'!$B$48,500)</f>
        <v>56000</v>
      </c>
      <c r="N267" s="14" t="s">
        <v>364</v>
      </c>
      <c r="O267" s="46" t="n">
        <v>0.58</v>
      </c>
      <c r="P267" s="46" t="n">
        <v>1</v>
      </c>
    </row>
    <row r="268" customFormat="false" ht="15" hidden="false" customHeight="true" outlineLevel="0" collapsed="false">
      <c r="A268" s="9" t="n">
        <v>248</v>
      </c>
      <c r="B268" s="43" t="s">
        <v>123</v>
      </c>
      <c r="C268" s="43" t="s">
        <v>831</v>
      </c>
      <c r="D268" s="44" t="s">
        <v>832</v>
      </c>
      <c r="E268" s="43" t="s">
        <v>826</v>
      </c>
      <c r="F268" s="45" t="s">
        <v>833</v>
      </c>
      <c r="G268" s="45" t="s">
        <v>834</v>
      </c>
      <c r="H268" s="12" t="n">
        <f aca="false">MROUND('Rate Card'!$I$20*O268*P268,10)</f>
        <v>1020</v>
      </c>
      <c r="I268" s="12" t="n">
        <f aca="false">MROUND('Rate Card'!$K$20*O268*P268,10)</f>
        <v>550</v>
      </c>
      <c r="J268" s="12" t="n">
        <f aca="false">MROUND(H268*4*'Rate Card'!$B$47,100)</f>
        <v>3900</v>
      </c>
      <c r="K268" s="12" t="n">
        <f aca="false">MROUND(I268*4*'Rate Card'!$B$47,100)</f>
        <v>2100</v>
      </c>
      <c r="L268" s="12" t="n">
        <f aca="false">MROUND(H268*120*'Rate Card'!$B$48,500)</f>
        <v>104000</v>
      </c>
      <c r="M268" s="12" t="n">
        <f aca="false">MROUND(I268*120*'Rate Card'!$B$48,500)</f>
        <v>56000</v>
      </c>
      <c r="N268" s="14" t="s">
        <v>364</v>
      </c>
      <c r="O268" s="46" t="n">
        <v>0.58</v>
      </c>
      <c r="P268" s="46" t="n">
        <v>1</v>
      </c>
    </row>
    <row r="269" customFormat="false" ht="15" hidden="false" customHeight="true" outlineLevel="0" collapsed="false">
      <c r="A269" s="9" t="n">
        <v>249</v>
      </c>
      <c r="B269" s="43" t="s">
        <v>123</v>
      </c>
      <c r="C269" s="43" t="s">
        <v>831</v>
      </c>
      <c r="D269" s="44" t="s">
        <v>835</v>
      </c>
      <c r="E269" s="43" t="s">
        <v>826</v>
      </c>
      <c r="F269" s="45" t="s">
        <v>472</v>
      </c>
      <c r="G269" s="45" t="s">
        <v>836</v>
      </c>
      <c r="H269" s="12" t="n">
        <f aca="false">MROUND('Rate Card'!$I$20*O269*P269,10)</f>
        <v>1020</v>
      </c>
      <c r="I269" s="12" t="n">
        <f aca="false">MROUND('Rate Card'!$K$20*O269*P269,10)</f>
        <v>550</v>
      </c>
      <c r="J269" s="12" t="n">
        <f aca="false">MROUND(H269*4*'Rate Card'!$B$47,100)</f>
        <v>3900</v>
      </c>
      <c r="K269" s="12" t="n">
        <f aca="false">MROUND(I269*4*'Rate Card'!$B$47,100)</f>
        <v>2100</v>
      </c>
      <c r="L269" s="12" t="n">
        <f aca="false">MROUND(H269*120*'Rate Card'!$B$48,500)</f>
        <v>104000</v>
      </c>
      <c r="M269" s="12" t="n">
        <f aca="false">MROUND(I269*120*'Rate Card'!$B$48,500)</f>
        <v>56000</v>
      </c>
      <c r="N269" s="14" t="s">
        <v>486</v>
      </c>
      <c r="O269" s="46" t="n">
        <v>0.58</v>
      </c>
      <c r="P269" s="46" t="n">
        <v>1</v>
      </c>
    </row>
    <row r="270" customFormat="false" ht="15" hidden="false" customHeight="true" outlineLevel="0" collapsed="false">
      <c r="A270" s="9" t="n">
        <v>250</v>
      </c>
      <c r="B270" s="43" t="s">
        <v>123</v>
      </c>
      <c r="C270" s="43" t="s">
        <v>773</v>
      </c>
      <c r="D270" s="44"/>
      <c r="E270" s="43" t="s">
        <v>472</v>
      </c>
      <c r="F270" s="45" t="s">
        <v>472</v>
      </c>
      <c r="G270" s="45" t="s">
        <v>786</v>
      </c>
      <c r="H270" s="12" t="n">
        <f aca="false">MROUND('Rate Card'!$I$20*O270*P270,10)</f>
        <v>1020</v>
      </c>
      <c r="I270" s="12" t="n">
        <f aca="false">MROUND('Rate Card'!$K$20*O270*P270,10)</f>
        <v>550</v>
      </c>
      <c r="J270" s="12" t="n">
        <f aca="false">MROUND(H270*4*'Rate Card'!$B$47,100)</f>
        <v>3900</v>
      </c>
      <c r="K270" s="12" t="n">
        <f aca="false">MROUND(I270*4*'Rate Card'!$B$47,100)</f>
        <v>2100</v>
      </c>
      <c r="L270" s="12" t="n">
        <f aca="false">MROUND(H270*120*'Rate Card'!$B$48,500)</f>
        <v>104000</v>
      </c>
      <c r="M270" s="12" t="n">
        <f aca="false">MROUND(I270*120*'Rate Card'!$B$48,500)</f>
        <v>56000</v>
      </c>
      <c r="N270" s="14" t="s">
        <v>486</v>
      </c>
      <c r="O270" s="46" t="n">
        <v>0.58</v>
      </c>
      <c r="P270" s="46" t="n">
        <v>1</v>
      </c>
    </row>
    <row r="271" customFormat="false" ht="15" hidden="false" customHeight="true" outlineLevel="0" collapsed="false">
      <c r="A271" s="42" t="s">
        <v>837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</row>
    <row r="272" customFormat="false" ht="15" hidden="false" customHeight="true" outlineLevel="0" collapsed="false">
      <c r="A272" s="9" t="n">
        <v>251</v>
      </c>
      <c r="B272" s="43" t="s">
        <v>125</v>
      </c>
      <c r="C272" s="43" t="s">
        <v>773</v>
      </c>
      <c r="D272" s="44"/>
      <c r="E272" s="43" t="s">
        <v>838</v>
      </c>
      <c r="F272" s="45" t="s">
        <v>348</v>
      </c>
      <c r="G272" s="45" t="s">
        <v>839</v>
      </c>
      <c r="H272" s="12" t="n">
        <f aca="false">MROUND('Rate Card'!$I$21*O272*P272,10)</f>
        <v>1150</v>
      </c>
      <c r="I272" s="12" t="n">
        <f aca="false">MROUND('Rate Card'!$K$21*O272*P272,10)</f>
        <v>650</v>
      </c>
      <c r="J272" s="12" t="n">
        <f aca="false">MROUND(H272*4*'Rate Card'!$B$47,100)</f>
        <v>4400</v>
      </c>
      <c r="K272" s="12" t="n">
        <f aca="false">MROUND(I272*4*'Rate Card'!$B$47,100)</f>
        <v>2500</v>
      </c>
      <c r="L272" s="12" t="n">
        <f aca="false">MROUND(H272*120*'Rate Card'!$B$48,500)</f>
        <v>117500</v>
      </c>
      <c r="M272" s="12" t="n">
        <f aca="false">MROUND(I272*120*'Rate Card'!$B$48,500)</f>
        <v>66500</v>
      </c>
      <c r="N272" s="14" t="s">
        <v>350</v>
      </c>
      <c r="O272" s="46" t="n">
        <v>0.72</v>
      </c>
      <c r="P272" s="46" t="n">
        <v>1</v>
      </c>
    </row>
    <row r="273" customFormat="false" ht="15" hidden="false" customHeight="true" outlineLevel="0" collapsed="false">
      <c r="A273" s="9" t="n">
        <v>252</v>
      </c>
      <c r="B273" s="43" t="s">
        <v>125</v>
      </c>
      <c r="C273" s="43" t="s">
        <v>773</v>
      </c>
      <c r="D273" s="44"/>
      <c r="E273" s="43" t="s">
        <v>840</v>
      </c>
      <c r="F273" s="45" t="s">
        <v>841</v>
      </c>
      <c r="G273" s="45" t="s">
        <v>842</v>
      </c>
      <c r="H273" s="12" t="n">
        <f aca="false">MROUND('Rate Card'!$I$21*O273*P273,10)</f>
        <v>930</v>
      </c>
      <c r="I273" s="12" t="n">
        <f aca="false">MROUND('Rate Card'!$K$21*O273*P273,10)</f>
        <v>520</v>
      </c>
      <c r="J273" s="12" t="n">
        <f aca="false">MROUND(H273*4*'Rate Card'!$B$47,100)</f>
        <v>3500</v>
      </c>
      <c r="K273" s="12" t="n">
        <f aca="false">MROUND(I273*4*'Rate Card'!$B$47,100)</f>
        <v>2000</v>
      </c>
      <c r="L273" s="12" t="n">
        <f aca="false">MROUND(H273*120*'Rate Card'!$B$48,500)</f>
        <v>95000</v>
      </c>
      <c r="M273" s="12" t="n">
        <f aca="false">MROUND(I273*120*'Rate Card'!$B$48,500)</f>
        <v>53000</v>
      </c>
      <c r="N273" s="14" t="s">
        <v>364</v>
      </c>
      <c r="O273" s="46" t="n">
        <v>0.58</v>
      </c>
      <c r="P273" s="46" t="n">
        <v>1</v>
      </c>
    </row>
    <row r="274" customFormat="false" ht="15" hidden="false" customHeight="true" outlineLevel="0" collapsed="false">
      <c r="A274" s="9" t="n">
        <v>253</v>
      </c>
      <c r="B274" s="43" t="s">
        <v>125</v>
      </c>
      <c r="C274" s="43" t="s">
        <v>773</v>
      </c>
      <c r="D274" s="44" t="s">
        <v>843</v>
      </c>
      <c r="E274" s="43" t="s">
        <v>844</v>
      </c>
      <c r="F274" s="45" t="s">
        <v>845</v>
      </c>
      <c r="G274" s="45" t="s">
        <v>846</v>
      </c>
      <c r="H274" s="12" t="n">
        <f aca="false">MROUND('Rate Card'!$I$21*O274*P274,10)</f>
        <v>930</v>
      </c>
      <c r="I274" s="12" t="n">
        <f aca="false">MROUND('Rate Card'!$K$21*O274*P274,10)</f>
        <v>520</v>
      </c>
      <c r="J274" s="12" t="n">
        <f aca="false">MROUND(H274*4*'Rate Card'!$B$47,100)</f>
        <v>3500</v>
      </c>
      <c r="K274" s="12" t="n">
        <f aca="false">MROUND(I274*4*'Rate Card'!$B$47,100)</f>
        <v>2000</v>
      </c>
      <c r="L274" s="12" t="n">
        <f aca="false">MROUND(H274*120*'Rate Card'!$B$48,500)</f>
        <v>95000</v>
      </c>
      <c r="M274" s="12" t="n">
        <f aca="false">MROUND(I274*120*'Rate Card'!$B$48,500)</f>
        <v>53000</v>
      </c>
      <c r="N274" s="14" t="s">
        <v>364</v>
      </c>
      <c r="O274" s="46" t="n">
        <v>0.58</v>
      </c>
      <c r="P274" s="46" t="n">
        <v>1</v>
      </c>
    </row>
    <row r="275" customFormat="false" ht="15" hidden="false" customHeight="true" outlineLevel="0" collapsed="false">
      <c r="A275" s="42" t="s">
        <v>847</v>
      </c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</row>
    <row r="276" customFormat="false" ht="15" hidden="false" customHeight="true" outlineLevel="0" collapsed="false">
      <c r="A276" s="9" t="n">
        <v>254</v>
      </c>
      <c r="B276" s="43" t="s">
        <v>127</v>
      </c>
      <c r="C276" s="43" t="s">
        <v>848</v>
      </c>
      <c r="D276" s="44" t="s">
        <v>849</v>
      </c>
      <c r="E276" s="43" t="s">
        <v>850</v>
      </c>
      <c r="F276" s="45" t="s">
        <v>324</v>
      </c>
      <c r="G276" s="45" t="s">
        <v>851</v>
      </c>
      <c r="H276" s="12" t="n">
        <f aca="false">MROUND('Rate Card'!$I$22*O276*P276,10)</f>
        <v>1290</v>
      </c>
      <c r="I276" s="12" t="n">
        <f aca="false">MROUND('Rate Card'!$K$22*O276*P276,10)</f>
        <v>690</v>
      </c>
      <c r="J276" s="12" t="n">
        <f aca="false">MROUND(H276*4*'Rate Card'!$B$47,100)</f>
        <v>4900</v>
      </c>
      <c r="K276" s="12" t="n">
        <f aca="false">MROUND(I276*4*'Rate Card'!$B$47,100)</f>
        <v>2600</v>
      </c>
      <c r="L276" s="12" t="n">
        <f aca="false">MROUND(H276*120*'Rate Card'!$B$48,500)</f>
        <v>131500</v>
      </c>
      <c r="M276" s="12" t="n">
        <f aca="false">MROUND(I276*120*'Rate Card'!$B$48,500)</f>
        <v>70500</v>
      </c>
      <c r="N276" s="14"/>
      <c r="O276" s="46" t="n">
        <v>0.92</v>
      </c>
      <c r="P276" s="46" t="n">
        <v>1</v>
      </c>
    </row>
    <row r="277" customFormat="false" ht="15" hidden="false" customHeight="true" outlineLevel="0" collapsed="false">
      <c r="A277" s="9" t="n">
        <v>255</v>
      </c>
      <c r="B277" s="43" t="s">
        <v>127</v>
      </c>
      <c r="C277" s="43" t="s">
        <v>425</v>
      </c>
      <c r="D277" s="44" t="s">
        <v>852</v>
      </c>
      <c r="E277" s="43" t="s">
        <v>853</v>
      </c>
      <c r="F277" s="45" t="s">
        <v>450</v>
      </c>
      <c r="G277" s="45" t="s">
        <v>854</v>
      </c>
      <c r="H277" s="12" t="n">
        <f aca="false">MROUND('Rate Card'!$I$22*O277*P277,10)</f>
        <v>1290</v>
      </c>
      <c r="I277" s="12" t="n">
        <f aca="false">MROUND('Rate Card'!$K$22*O277*P277,10)</f>
        <v>690</v>
      </c>
      <c r="J277" s="12" t="n">
        <f aca="false">MROUND(H277*4*'Rate Card'!$B$47,100)</f>
        <v>4900</v>
      </c>
      <c r="K277" s="12" t="n">
        <f aca="false">MROUND(I277*4*'Rate Card'!$B$47,100)</f>
        <v>2600</v>
      </c>
      <c r="L277" s="12" t="n">
        <f aca="false">MROUND(H277*120*'Rate Card'!$B$48,500)</f>
        <v>131500</v>
      </c>
      <c r="M277" s="12" t="n">
        <f aca="false">MROUND(I277*120*'Rate Card'!$B$48,500)</f>
        <v>70500</v>
      </c>
      <c r="N277" s="14"/>
      <c r="O277" s="46" t="n">
        <v>0.92</v>
      </c>
      <c r="P277" s="46" t="n">
        <v>1</v>
      </c>
    </row>
    <row r="278" customFormat="false" ht="15" hidden="false" customHeight="true" outlineLevel="0" collapsed="false">
      <c r="A278" s="9" t="n">
        <v>256</v>
      </c>
      <c r="B278" s="43" t="s">
        <v>127</v>
      </c>
      <c r="C278" s="43" t="s">
        <v>848</v>
      </c>
      <c r="D278" s="44" t="s">
        <v>855</v>
      </c>
      <c r="E278" s="43" t="s">
        <v>856</v>
      </c>
      <c r="F278" s="45" t="s">
        <v>397</v>
      </c>
      <c r="G278" s="45" t="s">
        <v>857</v>
      </c>
      <c r="H278" s="12" t="n">
        <f aca="false">MROUND('Rate Card'!$I$22*O278*P278,10)</f>
        <v>1290</v>
      </c>
      <c r="I278" s="12" t="n">
        <f aca="false">MROUND('Rate Card'!$K$22*O278*P278,10)</f>
        <v>690</v>
      </c>
      <c r="J278" s="12" t="n">
        <f aca="false">MROUND(H278*4*'Rate Card'!$B$47,100)</f>
        <v>4900</v>
      </c>
      <c r="K278" s="12" t="n">
        <f aca="false">MROUND(I278*4*'Rate Card'!$B$47,100)</f>
        <v>2600</v>
      </c>
      <c r="L278" s="12" t="n">
        <f aca="false">MROUND(H278*120*'Rate Card'!$B$48,500)</f>
        <v>131500</v>
      </c>
      <c r="M278" s="12" t="n">
        <f aca="false">MROUND(I278*120*'Rate Card'!$B$48,500)</f>
        <v>70500</v>
      </c>
      <c r="N278" s="14"/>
      <c r="O278" s="46" t="n">
        <v>0.92</v>
      </c>
      <c r="P278" s="46" t="n">
        <v>1</v>
      </c>
    </row>
    <row r="279" customFormat="false" ht="15" hidden="false" customHeight="true" outlineLevel="0" collapsed="false">
      <c r="A279" s="9" t="n">
        <v>257</v>
      </c>
      <c r="B279" s="43" t="s">
        <v>127</v>
      </c>
      <c r="C279" s="43" t="s">
        <v>848</v>
      </c>
      <c r="D279" s="44" t="s">
        <v>858</v>
      </c>
      <c r="E279" s="43" t="s">
        <v>850</v>
      </c>
      <c r="F279" s="45" t="s">
        <v>318</v>
      </c>
      <c r="G279" s="45" t="s">
        <v>859</v>
      </c>
      <c r="H279" s="12" t="n">
        <f aca="false">MROUND('Rate Card'!$I$22*O279*P279,10)</f>
        <v>1290</v>
      </c>
      <c r="I279" s="12" t="n">
        <f aca="false">MROUND('Rate Card'!$K$22*O279*P279,10)</f>
        <v>690</v>
      </c>
      <c r="J279" s="12" t="n">
        <f aca="false">MROUND(H279*4*'Rate Card'!$B$47,100)</f>
        <v>4900</v>
      </c>
      <c r="K279" s="12" t="n">
        <f aca="false">MROUND(I279*4*'Rate Card'!$B$47,100)</f>
        <v>2600</v>
      </c>
      <c r="L279" s="12" t="n">
        <f aca="false">MROUND(H279*120*'Rate Card'!$B$48,500)</f>
        <v>131500</v>
      </c>
      <c r="M279" s="12" t="n">
        <f aca="false">MROUND(I279*120*'Rate Card'!$B$48,500)</f>
        <v>70500</v>
      </c>
      <c r="N279" s="14"/>
      <c r="O279" s="46" t="n">
        <v>0.92</v>
      </c>
      <c r="P279" s="46" t="n">
        <v>1</v>
      </c>
    </row>
    <row r="280" customFormat="false" ht="15" hidden="false" customHeight="true" outlineLevel="0" collapsed="false">
      <c r="A280" s="9" t="n">
        <v>258</v>
      </c>
      <c r="B280" s="43" t="s">
        <v>127</v>
      </c>
      <c r="C280" s="43" t="s">
        <v>848</v>
      </c>
      <c r="D280" s="44" t="s">
        <v>860</v>
      </c>
      <c r="E280" s="43" t="s">
        <v>850</v>
      </c>
      <c r="F280" s="45" t="s">
        <v>318</v>
      </c>
      <c r="G280" s="45" t="s">
        <v>861</v>
      </c>
      <c r="H280" s="12" t="n">
        <f aca="false">MROUND('Rate Card'!$I$22*O280*P280,10)</f>
        <v>1290</v>
      </c>
      <c r="I280" s="12" t="n">
        <f aca="false">MROUND('Rate Card'!$K$22*O280*P280,10)</f>
        <v>690</v>
      </c>
      <c r="J280" s="12" t="n">
        <f aca="false">MROUND(H280*4*'Rate Card'!$B$47,100)</f>
        <v>4900</v>
      </c>
      <c r="K280" s="12" t="n">
        <f aca="false">MROUND(I280*4*'Rate Card'!$B$47,100)</f>
        <v>2600</v>
      </c>
      <c r="L280" s="12" t="n">
        <f aca="false">MROUND(H280*120*'Rate Card'!$B$48,500)</f>
        <v>131500</v>
      </c>
      <c r="M280" s="12" t="n">
        <f aca="false">MROUND(I280*120*'Rate Card'!$B$48,500)</f>
        <v>70500</v>
      </c>
      <c r="N280" s="14"/>
      <c r="O280" s="46" t="n">
        <v>0.92</v>
      </c>
      <c r="P280" s="46" t="n">
        <v>1</v>
      </c>
    </row>
    <row r="281" customFormat="false" ht="15" hidden="false" customHeight="true" outlineLevel="0" collapsed="false">
      <c r="A281" s="9" t="n">
        <v>259</v>
      </c>
      <c r="B281" s="43" t="s">
        <v>127</v>
      </c>
      <c r="C281" s="43" t="s">
        <v>848</v>
      </c>
      <c r="D281" s="44" t="s">
        <v>862</v>
      </c>
      <c r="E281" s="43" t="s">
        <v>850</v>
      </c>
      <c r="F281" s="45" t="s">
        <v>318</v>
      </c>
      <c r="G281" s="45" t="s">
        <v>863</v>
      </c>
      <c r="H281" s="12" t="n">
        <f aca="false">MROUND('Rate Card'!$I$22*O281*P281,10)</f>
        <v>1290</v>
      </c>
      <c r="I281" s="12" t="n">
        <f aca="false">MROUND('Rate Card'!$K$22*O281*P281,10)</f>
        <v>690</v>
      </c>
      <c r="J281" s="12" t="n">
        <f aca="false">MROUND(H281*4*'Rate Card'!$B$47,100)</f>
        <v>4900</v>
      </c>
      <c r="K281" s="12" t="n">
        <f aca="false">MROUND(I281*4*'Rate Card'!$B$47,100)</f>
        <v>2600</v>
      </c>
      <c r="L281" s="12" t="n">
        <f aca="false">MROUND(H281*120*'Rate Card'!$B$48,500)</f>
        <v>131500</v>
      </c>
      <c r="M281" s="12" t="n">
        <f aca="false">MROUND(I281*120*'Rate Card'!$B$48,500)</f>
        <v>70500</v>
      </c>
      <c r="N281" s="14"/>
      <c r="O281" s="46" t="n">
        <v>0.92</v>
      </c>
      <c r="P281" s="46" t="n">
        <v>1</v>
      </c>
    </row>
    <row r="282" customFormat="false" ht="15" hidden="false" customHeight="true" outlineLevel="0" collapsed="false">
      <c r="A282" s="9" t="n">
        <v>260</v>
      </c>
      <c r="B282" s="43" t="s">
        <v>127</v>
      </c>
      <c r="C282" s="43" t="s">
        <v>773</v>
      </c>
      <c r="D282" s="44" t="s">
        <v>864</v>
      </c>
      <c r="E282" s="43" t="s">
        <v>865</v>
      </c>
      <c r="F282" s="45" t="s">
        <v>428</v>
      </c>
      <c r="G282" s="45" t="s">
        <v>866</v>
      </c>
      <c r="H282" s="12" t="n">
        <f aca="false">MROUND('Rate Card'!$I$22*O282*P282,10)</f>
        <v>910</v>
      </c>
      <c r="I282" s="12" t="n">
        <f aca="false">MROUND('Rate Card'!$K$22*O282*P282,10)</f>
        <v>490</v>
      </c>
      <c r="J282" s="12" t="n">
        <f aca="false">MROUND(H282*4*'Rate Card'!$B$47,100)</f>
        <v>3500</v>
      </c>
      <c r="K282" s="12" t="n">
        <f aca="false">MROUND(I282*4*'Rate Card'!$B$47,100)</f>
        <v>1900</v>
      </c>
      <c r="L282" s="12" t="n">
        <f aca="false">MROUND(H282*120*'Rate Card'!$B$48,500)</f>
        <v>93000</v>
      </c>
      <c r="M282" s="12" t="n">
        <f aca="false">MROUND(I282*120*'Rate Card'!$B$48,500)</f>
        <v>50000</v>
      </c>
      <c r="N282" s="14" t="s">
        <v>355</v>
      </c>
      <c r="O282" s="46" t="n">
        <v>0.65</v>
      </c>
      <c r="P282" s="46" t="n">
        <v>1</v>
      </c>
    </row>
    <row r="283" customFormat="false" ht="15" hidden="false" customHeight="true" outlineLevel="0" collapsed="false">
      <c r="A283" s="9" t="n">
        <v>261</v>
      </c>
      <c r="B283" s="43" t="s">
        <v>127</v>
      </c>
      <c r="C283" s="43" t="s">
        <v>773</v>
      </c>
      <c r="D283" s="44" t="s">
        <v>867</v>
      </c>
      <c r="E283" s="43" t="s">
        <v>868</v>
      </c>
      <c r="F283" s="45" t="s">
        <v>829</v>
      </c>
      <c r="G283" s="45" t="s">
        <v>869</v>
      </c>
      <c r="H283" s="12" t="n">
        <f aca="false">MROUND('Rate Card'!$I$22*O283*P283,10)</f>
        <v>810</v>
      </c>
      <c r="I283" s="12" t="n">
        <f aca="false">MROUND('Rate Card'!$K$22*O283*P283,10)</f>
        <v>440</v>
      </c>
      <c r="J283" s="12" t="n">
        <f aca="false">MROUND(H283*4*'Rate Card'!$B$47,100)</f>
        <v>3100</v>
      </c>
      <c r="K283" s="12" t="n">
        <f aca="false">MROUND(I283*4*'Rate Card'!$B$47,100)</f>
        <v>1700</v>
      </c>
      <c r="L283" s="12" t="n">
        <f aca="false">MROUND(H283*120*'Rate Card'!$B$48,500)</f>
        <v>82500</v>
      </c>
      <c r="M283" s="12" t="n">
        <f aca="false">MROUND(I283*120*'Rate Card'!$B$48,500)</f>
        <v>45000</v>
      </c>
      <c r="N283" s="14" t="s">
        <v>364</v>
      </c>
      <c r="O283" s="46" t="n">
        <v>0.58</v>
      </c>
      <c r="P283" s="46" t="n">
        <v>1</v>
      </c>
    </row>
    <row r="284" customFormat="false" ht="15" hidden="false" customHeight="true" outlineLevel="0" collapsed="false">
      <c r="A284" s="9" t="n">
        <v>262</v>
      </c>
      <c r="B284" s="43" t="s">
        <v>127</v>
      </c>
      <c r="C284" s="43" t="s">
        <v>773</v>
      </c>
      <c r="D284" s="44" t="s">
        <v>870</v>
      </c>
      <c r="E284" s="43" t="s">
        <v>871</v>
      </c>
      <c r="F284" s="45" t="s">
        <v>829</v>
      </c>
      <c r="G284" s="45" t="s">
        <v>872</v>
      </c>
      <c r="H284" s="12" t="n">
        <f aca="false">MROUND('Rate Card'!$I$22*O284*P284,10)</f>
        <v>810</v>
      </c>
      <c r="I284" s="12" t="n">
        <f aca="false">MROUND('Rate Card'!$K$22*O284*P284,10)</f>
        <v>440</v>
      </c>
      <c r="J284" s="12" t="n">
        <f aca="false">MROUND(H284*4*'Rate Card'!$B$47,100)</f>
        <v>3100</v>
      </c>
      <c r="K284" s="12" t="n">
        <f aca="false">MROUND(I284*4*'Rate Card'!$B$47,100)</f>
        <v>1700</v>
      </c>
      <c r="L284" s="12" t="n">
        <f aca="false">MROUND(H284*120*'Rate Card'!$B$48,500)</f>
        <v>82500</v>
      </c>
      <c r="M284" s="12" t="n">
        <f aca="false">MROUND(I284*120*'Rate Card'!$B$48,500)</f>
        <v>45000</v>
      </c>
      <c r="N284" s="14" t="s">
        <v>364</v>
      </c>
      <c r="O284" s="46" t="n">
        <v>0.58</v>
      </c>
      <c r="P284" s="46" t="n">
        <v>1</v>
      </c>
    </row>
    <row r="285" customFormat="false" ht="15" hidden="false" customHeight="true" outlineLevel="0" collapsed="false">
      <c r="A285" s="9" t="n">
        <v>263</v>
      </c>
      <c r="B285" s="43" t="s">
        <v>127</v>
      </c>
      <c r="C285" s="43" t="s">
        <v>873</v>
      </c>
      <c r="D285" s="44" t="s">
        <v>874</v>
      </c>
      <c r="E285" s="43" t="s">
        <v>875</v>
      </c>
      <c r="F285" s="45" t="s">
        <v>876</v>
      </c>
      <c r="G285" s="45" t="s">
        <v>877</v>
      </c>
      <c r="H285" s="12" t="n">
        <f aca="false">MROUND('Rate Card'!$I$22*O285*P285,10)</f>
        <v>810</v>
      </c>
      <c r="I285" s="12" t="n">
        <f aca="false">MROUND('Rate Card'!$K$22*O285*P285,10)</f>
        <v>440</v>
      </c>
      <c r="J285" s="12" t="n">
        <f aca="false">MROUND(H285*4*'Rate Card'!$B$47,100)</f>
        <v>3100</v>
      </c>
      <c r="K285" s="12" t="n">
        <f aca="false">MROUND(I285*4*'Rate Card'!$B$47,100)</f>
        <v>1700</v>
      </c>
      <c r="L285" s="12" t="n">
        <f aca="false">MROUND(H285*120*'Rate Card'!$B$48,500)</f>
        <v>82500</v>
      </c>
      <c r="M285" s="12" t="n">
        <f aca="false">MROUND(I285*120*'Rate Card'!$B$48,500)</f>
        <v>45000</v>
      </c>
      <c r="N285" s="14" t="s">
        <v>364</v>
      </c>
      <c r="O285" s="46" t="n">
        <v>0.58</v>
      </c>
      <c r="P285" s="46" t="n">
        <v>1</v>
      </c>
    </row>
    <row r="286" customFormat="false" ht="15" hidden="false" customHeight="true" outlineLevel="0" collapsed="false">
      <c r="A286" s="9" t="n">
        <v>264</v>
      </c>
      <c r="B286" s="43" t="s">
        <v>127</v>
      </c>
      <c r="C286" s="43" t="s">
        <v>773</v>
      </c>
      <c r="D286" s="44" t="s">
        <v>878</v>
      </c>
      <c r="E286" s="43" t="s">
        <v>879</v>
      </c>
      <c r="F286" s="45" t="s">
        <v>880</v>
      </c>
      <c r="G286" s="45" t="s">
        <v>881</v>
      </c>
      <c r="H286" s="12" t="n">
        <f aca="false">MROUND('Rate Card'!$I$22*O286*P286,10)</f>
        <v>810</v>
      </c>
      <c r="I286" s="12" t="n">
        <f aca="false">MROUND('Rate Card'!$K$22*O286*P286,10)</f>
        <v>440</v>
      </c>
      <c r="J286" s="12" t="n">
        <f aca="false">MROUND(H286*4*'Rate Card'!$B$47,100)</f>
        <v>3100</v>
      </c>
      <c r="K286" s="12" t="n">
        <f aca="false">MROUND(I286*4*'Rate Card'!$B$47,100)</f>
        <v>1700</v>
      </c>
      <c r="L286" s="12" t="n">
        <f aca="false">MROUND(H286*120*'Rate Card'!$B$48,500)</f>
        <v>82500</v>
      </c>
      <c r="M286" s="12" t="n">
        <f aca="false">MROUND(I286*120*'Rate Card'!$B$48,500)</f>
        <v>45000</v>
      </c>
      <c r="N286" s="14" t="s">
        <v>364</v>
      </c>
      <c r="O286" s="46" t="n">
        <v>0.58</v>
      </c>
      <c r="P286" s="46" t="n">
        <v>1</v>
      </c>
    </row>
    <row r="287" customFormat="false" ht="15" hidden="false" customHeight="true" outlineLevel="0" collapsed="false">
      <c r="A287" s="42" t="s">
        <v>882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</row>
    <row r="288" customFormat="false" ht="15" hidden="false" customHeight="true" outlineLevel="0" collapsed="false">
      <c r="A288" s="9" t="n">
        <v>265</v>
      </c>
      <c r="B288" s="43" t="s">
        <v>129</v>
      </c>
      <c r="C288" s="43" t="s">
        <v>792</v>
      </c>
      <c r="D288" s="44" t="s">
        <v>883</v>
      </c>
      <c r="E288" s="43" t="s">
        <v>884</v>
      </c>
      <c r="F288" s="45" t="s">
        <v>324</v>
      </c>
      <c r="G288" s="45" t="s">
        <v>885</v>
      </c>
      <c r="H288" s="12" t="n">
        <f aca="false">MROUND('Rate Card'!$I$23*O288*P288,10)</f>
        <v>1060</v>
      </c>
      <c r="I288" s="12" t="n">
        <f aca="false">MROUND('Rate Card'!$K$23*O288*P288,10)</f>
        <v>600</v>
      </c>
      <c r="J288" s="12" t="n">
        <f aca="false">MROUND(H288*4*'Rate Card'!$B$47,100)</f>
        <v>4000</v>
      </c>
      <c r="K288" s="12" t="n">
        <f aca="false">MROUND(I288*4*'Rate Card'!$B$47,100)</f>
        <v>2300</v>
      </c>
      <c r="L288" s="12" t="n">
        <f aca="false">MROUND(H288*120*'Rate Card'!$B$48,500)</f>
        <v>108000</v>
      </c>
      <c r="M288" s="12" t="n">
        <f aca="false">MROUND(I288*120*'Rate Card'!$B$48,500)</f>
        <v>61000</v>
      </c>
      <c r="N288" s="14"/>
      <c r="O288" s="46" t="n">
        <v>0.92</v>
      </c>
      <c r="P288" s="46" t="n">
        <v>1</v>
      </c>
    </row>
    <row r="289" customFormat="false" ht="15" hidden="false" customHeight="true" outlineLevel="0" collapsed="false">
      <c r="A289" s="9" t="n">
        <v>266</v>
      </c>
      <c r="B289" s="43" t="s">
        <v>129</v>
      </c>
      <c r="C289" s="43" t="s">
        <v>792</v>
      </c>
      <c r="D289" s="44" t="s">
        <v>886</v>
      </c>
      <c r="E289" s="43" t="s">
        <v>884</v>
      </c>
      <c r="F289" s="45" t="s">
        <v>324</v>
      </c>
      <c r="G289" s="45" t="s">
        <v>887</v>
      </c>
      <c r="H289" s="12" t="n">
        <f aca="false">MROUND('Rate Card'!$I$23*O289*P289,10)</f>
        <v>1060</v>
      </c>
      <c r="I289" s="12" t="n">
        <f aca="false">MROUND('Rate Card'!$K$23*O289*P289,10)</f>
        <v>600</v>
      </c>
      <c r="J289" s="12" t="n">
        <f aca="false">MROUND(H289*4*'Rate Card'!$B$47,100)</f>
        <v>4000</v>
      </c>
      <c r="K289" s="12" t="n">
        <f aca="false">MROUND(I289*4*'Rate Card'!$B$47,100)</f>
        <v>2300</v>
      </c>
      <c r="L289" s="12" t="n">
        <f aca="false">MROUND(H289*120*'Rate Card'!$B$48,500)</f>
        <v>108000</v>
      </c>
      <c r="M289" s="12" t="n">
        <f aca="false">MROUND(I289*120*'Rate Card'!$B$48,500)</f>
        <v>61000</v>
      </c>
      <c r="N289" s="14"/>
      <c r="O289" s="46" t="n">
        <v>0.92</v>
      </c>
      <c r="P289" s="46" t="n">
        <v>1</v>
      </c>
    </row>
    <row r="290" customFormat="false" ht="15" hidden="false" customHeight="true" outlineLevel="0" collapsed="false">
      <c r="A290" s="9" t="n">
        <v>267</v>
      </c>
      <c r="B290" s="43" t="s">
        <v>129</v>
      </c>
      <c r="C290" s="43" t="s">
        <v>792</v>
      </c>
      <c r="D290" s="44" t="s">
        <v>888</v>
      </c>
      <c r="E290" s="43" t="s">
        <v>884</v>
      </c>
      <c r="F290" s="45" t="s">
        <v>324</v>
      </c>
      <c r="G290" s="45" t="s">
        <v>889</v>
      </c>
      <c r="H290" s="12" t="n">
        <f aca="false">MROUND('Rate Card'!$I$23*O290*P290,10)</f>
        <v>1060</v>
      </c>
      <c r="I290" s="12" t="n">
        <f aca="false">MROUND('Rate Card'!$K$23*O290*P290,10)</f>
        <v>600</v>
      </c>
      <c r="J290" s="12" t="n">
        <f aca="false">MROUND(H290*4*'Rate Card'!$B$47,100)</f>
        <v>4000</v>
      </c>
      <c r="K290" s="12" t="n">
        <f aca="false">MROUND(I290*4*'Rate Card'!$B$47,100)</f>
        <v>2300</v>
      </c>
      <c r="L290" s="12" t="n">
        <f aca="false">MROUND(H290*120*'Rate Card'!$B$48,500)</f>
        <v>108000</v>
      </c>
      <c r="M290" s="12" t="n">
        <f aca="false">MROUND(I290*120*'Rate Card'!$B$48,500)</f>
        <v>61000</v>
      </c>
      <c r="N290" s="14"/>
      <c r="O290" s="46" t="n">
        <v>0.92</v>
      </c>
      <c r="P290" s="46" t="n">
        <v>1</v>
      </c>
    </row>
    <row r="291" customFormat="false" ht="15" hidden="false" customHeight="true" outlineLevel="0" collapsed="false">
      <c r="A291" s="9" t="n">
        <v>268</v>
      </c>
      <c r="B291" s="43" t="s">
        <v>129</v>
      </c>
      <c r="C291" s="43" t="s">
        <v>792</v>
      </c>
      <c r="D291" s="44" t="s">
        <v>890</v>
      </c>
      <c r="E291" s="43" t="s">
        <v>884</v>
      </c>
      <c r="F291" s="45" t="s">
        <v>324</v>
      </c>
      <c r="G291" s="45" t="s">
        <v>891</v>
      </c>
      <c r="H291" s="12" t="n">
        <f aca="false">MROUND('Rate Card'!$I$23*O291*P291,10)</f>
        <v>1060</v>
      </c>
      <c r="I291" s="12" t="n">
        <f aca="false">MROUND('Rate Card'!$K$23*O291*P291,10)</f>
        <v>600</v>
      </c>
      <c r="J291" s="12" t="n">
        <f aca="false">MROUND(H291*4*'Rate Card'!$B$47,100)</f>
        <v>4000</v>
      </c>
      <c r="K291" s="12" t="n">
        <f aca="false">MROUND(I291*4*'Rate Card'!$B$47,100)</f>
        <v>2300</v>
      </c>
      <c r="L291" s="12" t="n">
        <f aca="false">MROUND(H291*120*'Rate Card'!$B$48,500)</f>
        <v>108000</v>
      </c>
      <c r="M291" s="12" t="n">
        <f aca="false">MROUND(I291*120*'Rate Card'!$B$48,500)</f>
        <v>61000</v>
      </c>
      <c r="N291" s="14"/>
      <c r="O291" s="46" t="n">
        <v>0.92</v>
      </c>
      <c r="P291" s="46" t="n">
        <v>1</v>
      </c>
    </row>
    <row r="292" customFormat="false" ht="15" hidden="false" customHeight="true" outlineLevel="0" collapsed="false">
      <c r="A292" s="9" t="n">
        <v>269</v>
      </c>
      <c r="B292" s="43" t="s">
        <v>129</v>
      </c>
      <c r="C292" s="43" t="s">
        <v>394</v>
      </c>
      <c r="D292" s="44" t="s">
        <v>892</v>
      </c>
      <c r="E292" s="43" t="s">
        <v>893</v>
      </c>
      <c r="F292" s="45" t="s">
        <v>324</v>
      </c>
      <c r="G292" s="45" t="s">
        <v>894</v>
      </c>
      <c r="H292" s="12" t="n">
        <f aca="false">MROUND('Rate Card'!$I$23*O292*P292,10)</f>
        <v>1060</v>
      </c>
      <c r="I292" s="12" t="n">
        <f aca="false">MROUND('Rate Card'!$K$23*O292*P292,10)</f>
        <v>600</v>
      </c>
      <c r="J292" s="12" t="n">
        <f aca="false">MROUND(H292*4*'Rate Card'!$B$47,100)</f>
        <v>4000</v>
      </c>
      <c r="K292" s="12" t="n">
        <f aca="false">MROUND(I292*4*'Rate Card'!$B$47,100)</f>
        <v>2300</v>
      </c>
      <c r="L292" s="12" t="n">
        <f aca="false">MROUND(H292*120*'Rate Card'!$B$48,500)</f>
        <v>108000</v>
      </c>
      <c r="M292" s="12" t="n">
        <f aca="false">MROUND(I292*120*'Rate Card'!$B$48,500)</f>
        <v>61000</v>
      </c>
      <c r="N292" s="14"/>
      <c r="O292" s="46" t="n">
        <v>0.92</v>
      </c>
      <c r="P292" s="46" t="n">
        <v>1</v>
      </c>
    </row>
    <row r="293" customFormat="false" ht="15" hidden="false" customHeight="true" outlineLevel="0" collapsed="false">
      <c r="A293" s="9" t="n">
        <v>270</v>
      </c>
      <c r="B293" s="43" t="s">
        <v>129</v>
      </c>
      <c r="C293" s="43" t="s">
        <v>394</v>
      </c>
      <c r="D293" s="44" t="s">
        <v>895</v>
      </c>
      <c r="E293" s="43" t="s">
        <v>896</v>
      </c>
      <c r="F293" s="45" t="s">
        <v>374</v>
      </c>
      <c r="G293" s="45" t="s">
        <v>897</v>
      </c>
      <c r="H293" s="12" t="n">
        <f aca="false">MROUND('Rate Card'!$I$23*O293*P293,10)</f>
        <v>940</v>
      </c>
      <c r="I293" s="12" t="n">
        <f aca="false">MROUND('Rate Card'!$K$23*O293*P293,10)</f>
        <v>530</v>
      </c>
      <c r="J293" s="12" t="n">
        <f aca="false">MROUND(H293*4*'Rate Card'!$B$47,100)</f>
        <v>3600</v>
      </c>
      <c r="K293" s="12" t="n">
        <f aca="false">MROUND(I293*4*'Rate Card'!$B$47,100)</f>
        <v>2000</v>
      </c>
      <c r="L293" s="12" t="n">
        <f aca="false">MROUND(H293*120*'Rate Card'!$B$48,500)</f>
        <v>96000</v>
      </c>
      <c r="M293" s="12" t="n">
        <f aca="false">MROUND(I293*120*'Rate Card'!$B$48,500)</f>
        <v>54000</v>
      </c>
      <c r="N293" s="14"/>
      <c r="O293" s="46" t="n">
        <v>0.82</v>
      </c>
      <c r="P293" s="46" t="n">
        <v>1</v>
      </c>
    </row>
    <row r="294" customFormat="false" ht="15" hidden="false" customHeight="true" outlineLevel="0" collapsed="false">
      <c r="A294" s="9" t="n">
        <v>271</v>
      </c>
      <c r="B294" s="43" t="s">
        <v>129</v>
      </c>
      <c r="C294" s="43" t="s">
        <v>898</v>
      </c>
      <c r="D294" s="44" t="s">
        <v>899</v>
      </c>
      <c r="E294" s="43" t="s">
        <v>900</v>
      </c>
      <c r="F294" s="45" t="s">
        <v>380</v>
      </c>
      <c r="G294" s="45" t="s">
        <v>901</v>
      </c>
      <c r="H294" s="12" t="n">
        <f aca="false">MROUND('Rate Card'!$I$23*O294*P294,10)</f>
        <v>940</v>
      </c>
      <c r="I294" s="12" t="n">
        <f aca="false">MROUND('Rate Card'!$K$23*O294*P294,10)</f>
        <v>530</v>
      </c>
      <c r="J294" s="12" t="n">
        <f aca="false">MROUND(H294*4*'Rate Card'!$B$47,100)</f>
        <v>3600</v>
      </c>
      <c r="K294" s="12" t="n">
        <f aca="false">MROUND(I294*4*'Rate Card'!$B$47,100)</f>
        <v>2000</v>
      </c>
      <c r="L294" s="12" t="n">
        <f aca="false">MROUND(H294*120*'Rate Card'!$B$48,500)</f>
        <v>96000</v>
      </c>
      <c r="M294" s="12" t="n">
        <f aca="false">MROUND(I294*120*'Rate Card'!$B$48,500)</f>
        <v>54000</v>
      </c>
      <c r="N294" s="14"/>
      <c r="O294" s="46" t="n">
        <v>0.82</v>
      </c>
      <c r="P294" s="46" t="n">
        <v>1</v>
      </c>
    </row>
    <row r="295" customFormat="false" ht="15" hidden="false" customHeight="true" outlineLevel="0" collapsed="false">
      <c r="A295" s="9" t="n">
        <v>272</v>
      </c>
      <c r="B295" s="43" t="s">
        <v>129</v>
      </c>
      <c r="C295" s="43" t="s">
        <v>394</v>
      </c>
      <c r="D295" s="44" t="s">
        <v>902</v>
      </c>
      <c r="E295" s="43" t="s">
        <v>903</v>
      </c>
      <c r="F295" s="45" t="s">
        <v>310</v>
      </c>
      <c r="G295" s="45" t="s">
        <v>904</v>
      </c>
      <c r="H295" s="12" t="n">
        <f aca="false">MROUND('Rate Card'!$I$23*O295*P295,10)</f>
        <v>940</v>
      </c>
      <c r="I295" s="12" t="n">
        <f aca="false">MROUND('Rate Card'!$K$23*O295*P295,10)</f>
        <v>530</v>
      </c>
      <c r="J295" s="12" t="n">
        <f aca="false">MROUND(H295*4*'Rate Card'!$B$47,100)</f>
        <v>3600</v>
      </c>
      <c r="K295" s="12" t="n">
        <f aca="false">MROUND(I295*4*'Rate Card'!$B$47,100)</f>
        <v>2000</v>
      </c>
      <c r="L295" s="12" t="n">
        <f aca="false">MROUND(H295*120*'Rate Card'!$B$48,500)</f>
        <v>96000</v>
      </c>
      <c r="M295" s="12" t="n">
        <f aca="false">MROUND(I295*120*'Rate Card'!$B$48,500)</f>
        <v>54000</v>
      </c>
      <c r="N295" s="14"/>
      <c r="O295" s="46" t="n">
        <v>0.82</v>
      </c>
      <c r="P295" s="46" t="n">
        <v>1</v>
      </c>
    </row>
    <row r="296" customFormat="false" ht="15" hidden="false" customHeight="true" outlineLevel="0" collapsed="false">
      <c r="A296" s="9" t="n">
        <v>273</v>
      </c>
      <c r="B296" s="43" t="s">
        <v>129</v>
      </c>
      <c r="C296" s="43" t="s">
        <v>394</v>
      </c>
      <c r="D296" s="44" t="s">
        <v>905</v>
      </c>
      <c r="E296" s="43" t="s">
        <v>903</v>
      </c>
      <c r="F296" s="45" t="s">
        <v>748</v>
      </c>
      <c r="G296" s="45" t="s">
        <v>906</v>
      </c>
      <c r="H296" s="12" t="n">
        <f aca="false">MROUND('Rate Card'!$I$23*O296*P296,10)</f>
        <v>940</v>
      </c>
      <c r="I296" s="12" t="n">
        <f aca="false">MROUND('Rate Card'!$K$23*O296*P296,10)</f>
        <v>530</v>
      </c>
      <c r="J296" s="12" t="n">
        <f aca="false">MROUND(H296*4*'Rate Card'!$B$47,100)</f>
        <v>3600</v>
      </c>
      <c r="K296" s="12" t="n">
        <f aca="false">MROUND(I296*4*'Rate Card'!$B$47,100)</f>
        <v>2000</v>
      </c>
      <c r="L296" s="12" t="n">
        <f aca="false">MROUND(H296*120*'Rate Card'!$B$48,500)</f>
        <v>96000</v>
      </c>
      <c r="M296" s="12" t="n">
        <f aca="false">MROUND(I296*120*'Rate Card'!$B$48,500)</f>
        <v>54000</v>
      </c>
      <c r="N296" s="14"/>
      <c r="O296" s="46" t="n">
        <v>0.82</v>
      </c>
      <c r="P296" s="46" t="n">
        <v>1</v>
      </c>
    </row>
    <row r="297" customFormat="false" ht="15" hidden="false" customHeight="true" outlineLevel="0" collapsed="false">
      <c r="A297" s="9" t="n">
        <v>274</v>
      </c>
      <c r="B297" s="43" t="s">
        <v>129</v>
      </c>
      <c r="C297" s="43" t="s">
        <v>394</v>
      </c>
      <c r="D297" s="44" t="s">
        <v>907</v>
      </c>
      <c r="E297" s="43" t="s">
        <v>908</v>
      </c>
      <c r="F297" s="45" t="s">
        <v>748</v>
      </c>
      <c r="G297" s="45" t="s">
        <v>909</v>
      </c>
      <c r="H297" s="12" t="n">
        <f aca="false">MROUND('Rate Card'!$I$23*O297*P297,10)</f>
        <v>940</v>
      </c>
      <c r="I297" s="12" t="n">
        <f aca="false">MROUND('Rate Card'!$K$23*O297*P297,10)</f>
        <v>530</v>
      </c>
      <c r="J297" s="12" t="n">
        <f aca="false">MROUND(H297*4*'Rate Card'!$B$47,100)</f>
        <v>3600</v>
      </c>
      <c r="K297" s="12" t="n">
        <f aca="false">MROUND(I297*4*'Rate Card'!$B$47,100)</f>
        <v>2000</v>
      </c>
      <c r="L297" s="12" t="n">
        <f aca="false">MROUND(H297*120*'Rate Card'!$B$48,500)</f>
        <v>96000</v>
      </c>
      <c r="M297" s="12" t="n">
        <f aca="false">MROUND(I297*120*'Rate Card'!$B$48,500)</f>
        <v>54000</v>
      </c>
      <c r="N297" s="14"/>
      <c r="O297" s="46" t="n">
        <v>0.82</v>
      </c>
      <c r="P297" s="46" t="n">
        <v>1</v>
      </c>
    </row>
    <row r="298" customFormat="false" ht="15" hidden="false" customHeight="true" outlineLevel="0" collapsed="false">
      <c r="A298" s="9" t="n">
        <v>275</v>
      </c>
      <c r="B298" s="43" t="s">
        <v>129</v>
      </c>
      <c r="C298" s="43" t="s">
        <v>844</v>
      </c>
      <c r="D298" s="44" t="s">
        <v>910</v>
      </c>
      <c r="E298" s="43" t="s">
        <v>908</v>
      </c>
      <c r="F298" s="45" t="s">
        <v>748</v>
      </c>
      <c r="G298" s="45" t="s">
        <v>911</v>
      </c>
      <c r="H298" s="12" t="n">
        <f aca="false">MROUND('Rate Card'!$I$23*O298*P298,10)</f>
        <v>940</v>
      </c>
      <c r="I298" s="12" t="n">
        <f aca="false">MROUND('Rate Card'!$K$23*O298*P298,10)</f>
        <v>530</v>
      </c>
      <c r="J298" s="12" t="n">
        <f aca="false">MROUND(H298*4*'Rate Card'!$B$47,100)</f>
        <v>3600</v>
      </c>
      <c r="K298" s="12" t="n">
        <f aca="false">MROUND(I298*4*'Rate Card'!$B$47,100)</f>
        <v>2000</v>
      </c>
      <c r="L298" s="12" t="n">
        <f aca="false">MROUND(H298*120*'Rate Card'!$B$48,500)</f>
        <v>96000</v>
      </c>
      <c r="M298" s="12" t="n">
        <f aca="false">MROUND(I298*120*'Rate Card'!$B$48,500)</f>
        <v>54000</v>
      </c>
      <c r="N298" s="14"/>
      <c r="O298" s="46" t="n">
        <v>0.82</v>
      </c>
      <c r="P298" s="46" t="n">
        <v>1</v>
      </c>
    </row>
    <row r="299" customFormat="false" ht="15" hidden="false" customHeight="true" outlineLevel="0" collapsed="false">
      <c r="A299" s="9" t="n">
        <v>276</v>
      </c>
      <c r="B299" s="43" t="s">
        <v>129</v>
      </c>
      <c r="C299" s="43" t="s">
        <v>394</v>
      </c>
      <c r="D299" s="44" t="s">
        <v>912</v>
      </c>
      <c r="E299" s="43" t="s">
        <v>913</v>
      </c>
      <c r="F299" s="45" t="s">
        <v>348</v>
      </c>
      <c r="G299" s="45" t="s">
        <v>914</v>
      </c>
      <c r="H299" s="12" t="n">
        <f aca="false">MROUND('Rate Card'!$I$23*O299*P299,10)</f>
        <v>830</v>
      </c>
      <c r="I299" s="12" t="n">
        <f aca="false">MROUND('Rate Card'!$K$23*O299*P299,10)</f>
        <v>470</v>
      </c>
      <c r="J299" s="12" t="n">
        <f aca="false">MROUND(H299*4*'Rate Card'!$B$47,100)</f>
        <v>3200</v>
      </c>
      <c r="K299" s="12" t="n">
        <f aca="false">MROUND(I299*4*'Rate Card'!$B$47,100)</f>
        <v>1800</v>
      </c>
      <c r="L299" s="12" t="n">
        <f aca="false">MROUND(H299*120*'Rate Card'!$B$48,500)</f>
        <v>84500</v>
      </c>
      <c r="M299" s="12" t="n">
        <f aca="false">MROUND(I299*120*'Rate Card'!$B$48,500)</f>
        <v>48000</v>
      </c>
      <c r="N299" s="14" t="s">
        <v>350</v>
      </c>
      <c r="O299" s="46" t="n">
        <v>0.72</v>
      </c>
      <c r="P299" s="46" t="n">
        <v>1</v>
      </c>
    </row>
    <row r="300" customFormat="false" ht="15" hidden="false" customHeight="true" outlineLevel="0" collapsed="false">
      <c r="A300" s="9" t="n">
        <v>277</v>
      </c>
      <c r="B300" s="43" t="s">
        <v>129</v>
      </c>
      <c r="C300" s="43" t="s">
        <v>394</v>
      </c>
      <c r="D300" s="44" t="s">
        <v>915</v>
      </c>
      <c r="E300" s="43" t="s">
        <v>903</v>
      </c>
      <c r="F300" s="45" t="n">
        <v>2012</v>
      </c>
      <c r="G300" s="45" t="s">
        <v>916</v>
      </c>
      <c r="H300" s="12" t="n">
        <f aca="false">MROUND('Rate Card'!$I$23*O300*P300,10)</f>
        <v>670</v>
      </c>
      <c r="I300" s="12" t="n">
        <f aca="false">MROUND('Rate Card'!$K$23*O300*P300,10)</f>
        <v>380</v>
      </c>
      <c r="J300" s="12" t="n">
        <f aca="false">MROUND(H300*4*'Rate Card'!$B$47,100)</f>
        <v>2500</v>
      </c>
      <c r="K300" s="12" t="n">
        <f aca="false">MROUND(I300*4*'Rate Card'!$B$47,100)</f>
        <v>1400</v>
      </c>
      <c r="L300" s="12" t="n">
        <f aca="false">MROUND(H300*120*'Rate Card'!$B$48,500)</f>
        <v>68500</v>
      </c>
      <c r="M300" s="12" t="n">
        <f aca="false">MROUND(I300*120*'Rate Card'!$B$48,500)</f>
        <v>39000</v>
      </c>
      <c r="N300" s="14" t="s">
        <v>486</v>
      </c>
      <c r="O300" s="46" t="n">
        <v>0.58</v>
      </c>
      <c r="P300" s="46" t="n">
        <v>1</v>
      </c>
    </row>
    <row r="301" customFormat="false" ht="15" hidden="false" customHeight="true" outlineLevel="0" collapsed="false">
      <c r="A301" s="42" t="s">
        <v>917</v>
      </c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</row>
    <row r="302" customFormat="false" ht="15" hidden="false" customHeight="true" outlineLevel="0" collapsed="false">
      <c r="A302" s="9" t="n">
        <v>278</v>
      </c>
      <c r="B302" s="43" t="s">
        <v>131</v>
      </c>
      <c r="C302" s="43" t="s">
        <v>394</v>
      </c>
      <c r="D302" s="44" t="s">
        <v>918</v>
      </c>
      <c r="E302" s="43" t="s">
        <v>919</v>
      </c>
      <c r="F302" s="45" t="s">
        <v>297</v>
      </c>
      <c r="G302" s="45" t="s">
        <v>920</v>
      </c>
      <c r="H302" s="12" t="n">
        <f aca="false">MROUND('Rate Card'!$I$24*O302*P302,10)</f>
        <v>3250</v>
      </c>
      <c r="I302" s="12" t="n">
        <f aca="false">MROUND('Rate Card'!$K$24*O302*P302,10)</f>
        <v>1550</v>
      </c>
      <c r="J302" s="12" t="n">
        <f aca="false">MROUND(H302*4*'Rate Card'!$B$47,100)</f>
        <v>12400</v>
      </c>
      <c r="K302" s="12" t="n">
        <f aca="false">MROUND(I302*4*'Rate Card'!$B$47,100)</f>
        <v>5900</v>
      </c>
      <c r="L302" s="12" t="n">
        <f aca="false">MROUND(H302*120*'Rate Card'!$B$48,500)</f>
        <v>331500</v>
      </c>
      <c r="M302" s="12" t="n">
        <f aca="false">MROUND(I302*120*'Rate Card'!$B$48,500)</f>
        <v>158000</v>
      </c>
      <c r="N302" s="14"/>
      <c r="O302" s="46" t="n">
        <v>1</v>
      </c>
      <c r="P302" s="46" t="n">
        <v>1</v>
      </c>
    </row>
    <row r="303" customFormat="false" ht="15" hidden="false" customHeight="true" outlineLevel="0" collapsed="false">
      <c r="A303" s="9" t="n">
        <v>279</v>
      </c>
      <c r="B303" s="43" t="s">
        <v>131</v>
      </c>
      <c r="C303" s="43" t="s">
        <v>394</v>
      </c>
      <c r="D303" s="44" t="s">
        <v>921</v>
      </c>
      <c r="E303" s="43" t="s">
        <v>919</v>
      </c>
      <c r="F303" s="45" t="s">
        <v>748</v>
      </c>
      <c r="G303" s="45" t="s">
        <v>922</v>
      </c>
      <c r="H303" s="12" t="n">
        <f aca="false">MROUND('Rate Card'!$I$24*O303*P303,10)</f>
        <v>3250</v>
      </c>
      <c r="I303" s="12" t="n">
        <f aca="false">MROUND('Rate Card'!$K$24*O303*P303,10)</f>
        <v>1550</v>
      </c>
      <c r="J303" s="12" t="n">
        <f aca="false">MROUND(H303*4*'Rate Card'!$B$47,100)</f>
        <v>12400</v>
      </c>
      <c r="K303" s="12" t="n">
        <f aca="false">MROUND(I303*4*'Rate Card'!$B$47,100)</f>
        <v>5900</v>
      </c>
      <c r="L303" s="12" t="n">
        <f aca="false">MROUND(H303*120*'Rate Card'!$B$48,500)</f>
        <v>331500</v>
      </c>
      <c r="M303" s="12" t="n">
        <f aca="false">MROUND(I303*120*'Rate Card'!$B$48,500)</f>
        <v>158000</v>
      </c>
      <c r="N303" s="14"/>
      <c r="O303" s="46" t="n">
        <v>1</v>
      </c>
      <c r="P303" s="46" t="n">
        <v>1</v>
      </c>
    </row>
    <row r="304" customFormat="false" ht="15" hidden="false" customHeight="true" outlineLevel="0" collapsed="false">
      <c r="A304" s="9" t="n">
        <v>280</v>
      </c>
      <c r="B304" s="43" t="s">
        <v>131</v>
      </c>
      <c r="C304" s="43" t="s">
        <v>394</v>
      </c>
      <c r="D304" s="44" t="s">
        <v>923</v>
      </c>
      <c r="E304" s="43" t="s">
        <v>919</v>
      </c>
      <c r="F304" s="45" t="s">
        <v>748</v>
      </c>
      <c r="G304" s="45" t="s">
        <v>924</v>
      </c>
      <c r="H304" s="12" t="n">
        <f aca="false">MROUND('Rate Card'!$I$24*O304*P304,10)</f>
        <v>3250</v>
      </c>
      <c r="I304" s="12" t="n">
        <f aca="false">MROUND('Rate Card'!$K$24*O304*P304,10)</f>
        <v>1550</v>
      </c>
      <c r="J304" s="12" t="n">
        <f aca="false">MROUND(H304*4*'Rate Card'!$B$47,100)</f>
        <v>12400</v>
      </c>
      <c r="K304" s="12" t="n">
        <f aca="false">MROUND(I304*4*'Rate Card'!$B$47,100)</f>
        <v>5900</v>
      </c>
      <c r="L304" s="12" t="n">
        <f aca="false">MROUND(H304*120*'Rate Card'!$B$48,500)</f>
        <v>331500</v>
      </c>
      <c r="M304" s="12" t="n">
        <f aca="false">MROUND(I304*120*'Rate Card'!$B$48,500)</f>
        <v>158000</v>
      </c>
      <c r="N304" s="14"/>
      <c r="O304" s="46" t="n">
        <v>1</v>
      </c>
      <c r="P304" s="46" t="n">
        <v>1</v>
      </c>
    </row>
    <row r="305" customFormat="false" ht="15" hidden="false" customHeight="true" outlineLevel="0" collapsed="false">
      <c r="A305" s="9" t="n">
        <v>281</v>
      </c>
      <c r="B305" s="43" t="s">
        <v>131</v>
      </c>
      <c r="C305" s="43" t="s">
        <v>394</v>
      </c>
      <c r="D305" s="44" t="s">
        <v>925</v>
      </c>
      <c r="E305" s="43" t="s">
        <v>919</v>
      </c>
      <c r="F305" s="45" t="s">
        <v>310</v>
      </c>
      <c r="G305" s="45" t="s">
        <v>926</v>
      </c>
      <c r="H305" s="12" t="n">
        <f aca="false">MROUND('Rate Card'!$I$24*O305*P305,10)</f>
        <v>3250</v>
      </c>
      <c r="I305" s="12" t="n">
        <f aca="false">MROUND('Rate Card'!$K$24*O305*P305,10)</f>
        <v>1550</v>
      </c>
      <c r="J305" s="12" t="n">
        <f aca="false">MROUND(H305*4*'Rate Card'!$B$47,100)</f>
        <v>12400</v>
      </c>
      <c r="K305" s="12" t="n">
        <f aca="false">MROUND(I305*4*'Rate Card'!$B$47,100)</f>
        <v>5900</v>
      </c>
      <c r="L305" s="12" t="n">
        <f aca="false">MROUND(H305*120*'Rate Card'!$B$48,500)</f>
        <v>331500</v>
      </c>
      <c r="M305" s="12" t="n">
        <f aca="false">MROUND(I305*120*'Rate Card'!$B$48,500)</f>
        <v>158000</v>
      </c>
      <c r="N305" s="14"/>
      <c r="O305" s="46" t="n">
        <v>1</v>
      </c>
      <c r="P305" s="46" t="n">
        <v>1</v>
      </c>
    </row>
    <row r="306" customFormat="false" ht="15" hidden="false" customHeight="true" outlineLevel="0" collapsed="false">
      <c r="A306" s="9" t="n">
        <v>282</v>
      </c>
      <c r="B306" s="43" t="s">
        <v>131</v>
      </c>
      <c r="C306" s="43" t="s">
        <v>394</v>
      </c>
      <c r="D306" s="44" t="s">
        <v>927</v>
      </c>
      <c r="E306" s="43" t="s">
        <v>919</v>
      </c>
      <c r="F306" s="45" t="s">
        <v>310</v>
      </c>
      <c r="G306" s="45" t="s">
        <v>928</v>
      </c>
      <c r="H306" s="12" t="n">
        <f aca="false">MROUND('Rate Card'!$I$24*O306*P306,10)</f>
        <v>3250</v>
      </c>
      <c r="I306" s="12" t="n">
        <f aca="false">MROUND('Rate Card'!$K$24*O306*P306,10)</f>
        <v>1550</v>
      </c>
      <c r="J306" s="12" t="n">
        <f aca="false">MROUND(H306*4*'Rate Card'!$B$47,100)</f>
        <v>12400</v>
      </c>
      <c r="K306" s="12" t="n">
        <f aca="false">MROUND(I306*4*'Rate Card'!$B$47,100)</f>
        <v>5900</v>
      </c>
      <c r="L306" s="12" t="n">
        <f aca="false">MROUND(H306*120*'Rate Card'!$B$48,500)</f>
        <v>331500</v>
      </c>
      <c r="M306" s="12" t="n">
        <f aca="false">MROUND(I306*120*'Rate Card'!$B$48,500)</f>
        <v>158000</v>
      </c>
      <c r="N306" s="14"/>
      <c r="O306" s="46" t="n">
        <v>1</v>
      </c>
      <c r="P306" s="46" t="n">
        <v>1</v>
      </c>
    </row>
    <row r="307" customFormat="false" ht="15" hidden="false" customHeight="true" outlineLevel="0" collapsed="false">
      <c r="A307" s="9" t="n">
        <v>283</v>
      </c>
      <c r="B307" s="43" t="s">
        <v>131</v>
      </c>
      <c r="C307" s="43" t="s">
        <v>394</v>
      </c>
      <c r="D307" s="44" t="s">
        <v>929</v>
      </c>
      <c r="E307" s="43" t="s">
        <v>919</v>
      </c>
      <c r="F307" s="45" t="s">
        <v>318</v>
      </c>
      <c r="G307" s="45" t="s">
        <v>930</v>
      </c>
      <c r="H307" s="12" t="n">
        <f aca="false">MROUND('Rate Card'!$I$24*O307*P307,10)</f>
        <v>3250</v>
      </c>
      <c r="I307" s="12" t="n">
        <f aca="false">MROUND('Rate Card'!$K$24*O307*P307,10)</f>
        <v>1550</v>
      </c>
      <c r="J307" s="12" t="n">
        <f aca="false">MROUND(H307*4*'Rate Card'!$B$47,100)</f>
        <v>12400</v>
      </c>
      <c r="K307" s="12" t="n">
        <f aca="false">MROUND(I307*4*'Rate Card'!$B$47,100)</f>
        <v>5900</v>
      </c>
      <c r="L307" s="12" t="n">
        <f aca="false">MROUND(H307*120*'Rate Card'!$B$48,500)</f>
        <v>331500</v>
      </c>
      <c r="M307" s="12" t="n">
        <f aca="false">MROUND(I307*120*'Rate Card'!$B$48,500)</f>
        <v>158000</v>
      </c>
      <c r="N307" s="14"/>
      <c r="O307" s="46" t="n">
        <v>1</v>
      </c>
      <c r="P307" s="46" t="n">
        <v>1</v>
      </c>
    </row>
    <row r="308" customFormat="false" ht="15" hidden="false" customHeight="true" outlineLevel="0" collapsed="false">
      <c r="A308" s="9" t="n">
        <v>284</v>
      </c>
      <c r="B308" s="43" t="s">
        <v>131</v>
      </c>
      <c r="C308" s="43" t="s">
        <v>394</v>
      </c>
      <c r="D308" s="44" t="s">
        <v>931</v>
      </c>
      <c r="E308" s="43" t="s">
        <v>919</v>
      </c>
      <c r="F308" s="45" t="s">
        <v>310</v>
      </c>
      <c r="G308" s="45" t="s">
        <v>932</v>
      </c>
      <c r="H308" s="12" t="n">
        <f aca="false">MROUND('Rate Card'!$I$24*O308*P308,10)</f>
        <v>3250</v>
      </c>
      <c r="I308" s="12" t="n">
        <f aca="false">MROUND('Rate Card'!$K$24*O308*P308,10)</f>
        <v>1550</v>
      </c>
      <c r="J308" s="12" t="n">
        <f aca="false">MROUND(H308*4*'Rate Card'!$B$47,100)</f>
        <v>12400</v>
      </c>
      <c r="K308" s="12" t="n">
        <f aca="false">MROUND(I308*4*'Rate Card'!$B$47,100)</f>
        <v>5900</v>
      </c>
      <c r="L308" s="12" t="n">
        <f aca="false">MROUND(H308*120*'Rate Card'!$B$48,500)</f>
        <v>331500</v>
      </c>
      <c r="M308" s="12" t="n">
        <f aca="false">MROUND(I308*120*'Rate Card'!$B$48,500)</f>
        <v>158000</v>
      </c>
      <c r="N308" s="14"/>
      <c r="O308" s="46" t="n">
        <v>1</v>
      </c>
      <c r="P308" s="46" t="n">
        <v>1</v>
      </c>
    </row>
    <row r="309" customFormat="false" ht="15" hidden="false" customHeight="true" outlineLevel="0" collapsed="false">
      <c r="A309" s="9" t="n">
        <v>285</v>
      </c>
      <c r="B309" s="43" t="s">
        <v>131</v>
      </c>
      <c r="C309" s="43" t="s">
        <v>394</v>
      </c>
      <c r="D309" s="44" t="s">
        <v>933</v>
      </c>
      <c r="E309" s="43" t="s">
        <v>919</v>
      </c>
      <c r="F309" s="45" t="s">
        <v>748</v>
      </c>
      <c r="G309" s="45" t="s">
        <v>934</v>
      </c>
      <c r="H309" s="12" t="n">
        <f aca="false">MROUND('Rate Card'!$I$24*O309*P309,10)</f>
        <v>3250</v>
      </c>
      <c r="I309" s="12" t="n">
        <f aca="false">MROUND('Rate Card'!$K$24*O309*P309,10)</f>
        <v>1550</v>
      </c>
      <c r="J309" s="12" t="n">
        <f aca="false">MROUND(H309*4*'Rate Card'!$B$47,100)</f>
        <v>12400</v>
      </c>
      <c r="K309" s="12" t="n">
        <f aca="false">MROUND(I309*4*'Rate Card'!$B$47,100)</f>
        <v>5900</v>
      </c>
      <c r="L309" s="12" t="n">
        <f aca="false">MROUND(H309*120*'Rate Card'!$B$48,500)</f>
        <v>331500</v>
      </c>
      <c r="M309" s="12" t="n">
        <f aca="false">MROUND(I309*120*'Rate Card'!$B$48,500)</f>
        <v>158000</v>
      </c>
      <c r="N309" s="14"/>
      <c r="O309" s="46" t="n">
        <v>1</v>
      </c>
      <c r="P309" s="46" t="n">
        <v>1</v>
      </c>
    </row>
    <row r="310" customFormat="false" ht="15" hidden="false" customHeight="true" outlineLevel="0" collapsed="false">
      <c r="A310" s="9" t="n">
        <v>286</v>
      </c>
      <c r="B310" s="43" t="s">
        <v>131</v>
      </c>
      <c r="C310" s="43" t="s">
        <v>394</v>
      </c>
      <c r="D310" s="44" t="s">
        <v>935</v>
      </c>
      <c r="E310" s="43" t="s">
        <v>919</v>
      </c>
      <c r="F310" s="45" t="s">
        <v>318</v>
      </c>
      <c r="G310" s="45" t="s">
        <v>936</v>
      </c>
      <c r="H310" s="12" t="n">
        <f aca="false">MROUND('Rate Card'!$I$24*O310*P310,10)</f>
        <v>3250</v>
      </c>
      <c r="I310" s="12" t="n">
        <f aca="false">MROUND('Rate Card'!$K$24*O310*P310,10)</f>
        <v>1550</v>
      </c>
      <c r="J310" s="12" t="n">
        <f aca="false">MROUND(H310*4*'Rate Card'!$B$47,100)</f>
        <v>12400</v>
      </c>
      <c r="K310" s="12" t="n">
        <f aca="false">MROUND(I310*4*'Rate Card'!$B$47,100)</f>
        <v>5900</v>
      </c>
      <c r="L310" s="12" t="n">
        <f aca="false">MROUND(H310*120*'Rate Card'!$B$48,500)</f>
        <v>331500</v>
      </c>
      <c r="M310" s="12" t="n">
        <f aca="false">MROUND(I310*120*'Rate Card'!$B$48,500)</f>
        <v>158000</v>
      </c>
      <c r="N310" s="14"/>
      <c r="O310" s="46" t="n">
        <v>1</v>
      </c>
      <c r="P310" s="46" t="n">
        <v>1</v>
      </c>
    </row>
    <row r="311" customFormat="false" ht="15" hidden="false" customHeight="true" outlineLevel="0" collapsed="false">
      <c r="A311" s="9" t="n">
        <v>287</v>
      </c>
      <c r="B311" s="43" t="s">
        <v>131</v>
      </c>
      <c r="C311" s="43" t="s">
        <v>394</v>
      </c>
      <c r="D311" s="44" t="s">
        <v>937</v>
      </c>
      <c r="E311" s="43" t="s">
        <v>919</v>
      </c>
      <c r="F311" s="45" t="s">
        <v>318</v>
      </c>
      <c r="G311" s="45" t="s">
        <v>938</v>
      </c>
      <c r="H311" s="12" t="n">
        <f aca="false">MROUND('Rate Card'!$I$24*O311*P311,10)</f>
        <v>3250</v>
      </c>
      <c r="I311" s="12" t="n">
        <f aca="false">MROUND('Rate Card'!$K$24*O311*P311,10)</f>
        <v>1550</v>
      </c>
      <c r="J311" s="12" t="n">
        <f aca="false">MROUND(H311*4*'Rate Card'!$B$47,100)</f>
        <v>12400</v>
      </c>
      <c r="K311" s="12" t="n">
        <f aca="false">MROUND(I311*4*'Rate Card'!$B$47,100)</f>
        <v>5900</v>
      </c>
      <c r="L311" s="12" t="n">
        <f aca="false">MROUND(H311*120*'Rate Card'!$B$48,500)</f>
        <v>331500</v>
      </c>
      <c r="M311" s="12" t="n">
        <f aca="false">MROUND(I311*120*'Rate Card'!$B$48,500)</f>
        <v>158000</v>
      </c>
      <c r="N311" s="14"/>
      <c r="O311" s="46" t="n">
        <v>1</v>
      </c>
      <c r="P311" s="46" t="n">
        <v>1</v>
      </c>
    </row>
    <row r="312" customFormat="false" ht="15" hidden="false" customHeight="true" outlineLevel="0" collapsed="false">
      <c r="A312" s="9" t="n">
        <v>288</v>
      </c>
      <c r="B312" s="43" t="s">
        <v>131</v>
      </c>
      <c r="C312" s="43" t="s">
        <v>394</v>
      </c>
      <c r="D312" s="44" t="s">
        <v>939</v>
      </c>
      <c r="E312" s="43" t="s">
        <v>919</v>
      </c>
      <c r="F312" s="45" t="s">
        <v>318</v>
      </c>
      <c r="G312" s="45" t="s">
        <v>940</v>
      </c>
      <c r="H312" s="12" t="n">
        <f aca="false">MROUND('Rate Card'!$I$24*O312*P312,10)</f>
        <v>3250</v>
      </c>
      <c r="I312" s="12" t="n">
        <f aca="false">MROUND('Rate Card'!$K$24*O312*P312,10)</f>
        <v>1550</v>
      </c>
      <c r="J312" s="12" t="n">
        <f aca="false">MROUND(H312*4*'Rate Card'!$B$47,100)</f>
        <v>12400</v>
      </c>
      <c r="K312" s="12" t="n">
        <f aca="false">MROUND(I312*4*'Rate Card'!$B$47,100)</f>
        <v>5900</v>
      </c>
      <c r="L312" s="12" t="n">
        <f aca="false">MROUND(H312*120*'Rate Card'!$B$48,500)</f>
        <v>331500</v>
      </c>
      <c r="M312" s="12" t="n">
        <f aca="false">MROUND(I312*120*'Rate Card'!$B$48,500)</f>
        <v>158000</v>
      </c>
      <c r="N312" s="14"/>
      <c r="O312" s="46" t="n">
        <v>1</v>
      </c>
      <c r="P312" s="46" t="n">
        <v>1</v>
      </c>
    </row>
    <row r="313" customFormat="false" ht="15" hidden="false" customHeight="true" outlineLevel="0" collapsed="false">
      <c r="A313" s="9" t="n">
        <v>289</v>
      </c>
      <c r="B313" s="43" t="s">
        <v>131</v>
      </c>
      <c r="C313" s="43" t="s">
        <v>394</v>
      </c>
      <c r="D313" s="44" t="s">
        <v>941</v>
      </c>
      <c r="E313" s="43" t="s">
        <v>919</v>
      </c>
      <c r="F313" s="45" t="s">
        <v>318</v>
      </c>
      <c r="G313" s="45" t="s">
        <v>942</v>
      </c>
      <c r="H313" s="12" t="n">
        <f aca="false">MROUND('Rate Card'!$I$24*O313*P313,10)</f>
        <v>3250</v>
      </c>
      <c r="I313" s="12" t="n">
        <f aca="false">MROUND('Rate Card'!$K$24*O313*P313,10)</f>
        <v>1550</v>
      </c>
      <c r="J313" s="12" t="n">
        <f aca="false">MROUND(H313*4*'Rate Card'!$B$47,100)</f>
        <v>12400</v>
      </c>
      <c r="K313" s="12" t="n">
        <f aca="false">MROUND(I313*4*'Rate Card'!$B$47,100)</f>
        <v>5900</v>
      </c>
      <c r="L313" s="12" t="n">
        <f aca="false">MROUND(H313*120*'Rate Card'!$B$48,500)</f>
        <v>331500</v>
      </c>
      <c r="M313" s="12" t="n">
        <f aca="false">MROUND(I313*120*'Rate Card'!$B$48,500)</f>
        <v>158000</v>
      </c>
      <c r="N313" s="14"/>
      <c r="O313" s="46" t="n">
        <v>1</v>
      </c>
      <c r="P313" s="46" t="n">
        <v>1</v>
      </c>
    </row>
    <row r="314" customFormat="false" ht="15" hidden="false" customHeight="true" outlineLevel="0" collapsed="false">
      <c r="A314" s="9" t="n">
        <v>290</v>
      </c>
      <c r="B314" s="43" t="s">
        <v>131</v>
      </c>
      <c r="C314" s="43" t="s">
        <v>394</v>
      </c>
      <c r="D314" s="44" t="s">
        <v>943</v>
      </c>
      <c r="E314" s="43" t="s">
        <v>919</v>
      </c>
      <c r="F314" s="45" t="s">
        <v>318</v>
      </c>
      <c r="G314" s="45" t="s">
        <v>944</v>
      </c>
      <c r="H314" s="12" t="n">
        <f aca="false">MROUND('Rate Card'!$I$24*O314*P314,10)</f>
        <v>3250</v>
      </c>
      <c r="I314" s="12" t="n">
        <f aca="false">MROUND('Rate Card'!$K$24*O314*P314,10)</f>
        <v>1550</v>
      </c>
      <c r="J314" s="12" t="n">
        <f aca="false">MROUND(H314*4*'Rate Card'!$B$47,100)</f>
        <v>12400</v>
      </c>
      <c r="K314" s="12" t="n">
        <f aca="false">MROUND(I314*4*'Rate Card'!$B$47,100)</f>
        <v>5900</v>
      </c>
      <c r="L314" s="12" t="n">
        <f aca="false">MROUND(H314*120*'Rate Card'!$B$48,500)</f>
        <v>331500</v>
      </c>
      <c r="M314" s="12" t="n">
        <f aca="false">MROUND(I314*120*'Rate Card'!$B$48,500)</f>
        <v>158000</v>
      </c>
      <c r="N314" s="14"/>
      <c r="O314" s="46" t="n">
        <v>1</v>
      </c>
      <c r="P314" s="46" t="n">
        <v>1</v>
      </c>
    </row>
    <row r="315" customFormat="false" ht="15" hidden="false" customHeight="true" outlineLevel="0" collapsed="false">
      <c r="A315" s="9" t="n">
        <v>291</v>
      </c>
      <c r="B315" s="43" t="s">
        <v>131</v>
      </c>
      <c r="C315" s="43" t="s">
        <v>394</v>
      </c>
      <c r="D315" s="44" t="s">
        <v>945</v>
      </c>
      <c r="E315" s="43" t="s">
        <v>919</v>
      </c>
      <c r="F315" s="45" t="s">
        <v>318</v>
      </c>
      <c r="G315" s="45" t="s">
        <v>946</v>
      </c>
      <c r="H315" s="12" t="n">
        <f aca="false">MROUND('Rate Card'!$I$24*O315*P315,10)</f>
        <v>3250</v>
      </c>
      <c r="I315" s="12" t="n">
        <f aca="false">MROUND('Rate Card'!$K$24*O315*P315,10)</f>
        <v>1550</v>
      </c>
      <c r="J315" s="12" t="n">
        <f aca="false">MROUND(H315*4*'Rate Card'!$B$47,100)</f>
        <v>12400</v>
      </c>
      <c r="K315" s="12" t="n">
        <f aca="false">MROUND(I315*4*'Rate Card'!$B$47,100)</f>
        <v>5900</v>
      </c>
      <c r="L315" s="12" t="n">
        <f aca="false">MROUND(H315*120*'Rate Card'!$B$48,500)</f>
        <v>331500</v>
      </c>
      <c r="M315" s="12" t="n">
        <f aca="false">MROUND(I315*120*'Rate Card'!$B$48,500)</f>
        <v>158000</v>
      </c>
      <c r="N315" s="14"/>
      <c r="O315" s="46" t="n">
        <v>1</v>
      </c>
      <c r="P315" s="46" t="n">
        <v>1</v>
      </c>
    </row>
    <row r="316" customFormat="false" ht="15" hidden="false" customHeight="true" outlineLevel="0" collapsed="false">
      <c r="A316" s="9" t="n">
        <v>292</v>
      </c>
      <c r="B316" s="43" t="s">
        <v>131</v>
      </c>
      <c r="C316" s="43" t="s">
        <v>394</v>
      </c>
      <c r="D316" s="44" t="s">
        <v>947</v>
      </c>
      <c r="E316" s="43" t="s">
        <v>919</v>
      </c>
      <c r="F316" s="45" t="s">
        <v>318</v>
      </c>
      <c r="G316" s="45" t="s">
        <v>948</v>
      </c>
      <c r="H316" s="12" t="n">
        <f aca="false">MROUND('Rate Card'!$I$24*O316*P316,10)</f>
        <v>3250</v>
      </c>
      <c r="I316" s="12" t="n">
        <f aca="false">MROUND('Rate Card'!$K$24*O316*P316,10)</f>
        <v>1550</v>
      </c>
      <c r="J316" s="12" t="n">
        <f aca="false">MROUND(H316*4*'Rate Card'!$B$47,100)</f>
        <v>12400</v>
      </c>
      <c r="K316" s="12" t="n">
        <f aca="false">MROUND(I316*4*'Rate Card'!$B$47,100)</f>
        <v>5900</v>
      </c>
      <c r="L316" s="12" t="n">
        <f aca="false">MROUND(H316*120*'Rate Card'!$B$48,500)</f>
        <v>331500</v>
      </c>
      <c r="M316" s="12" t="n">
        <f aca="false">MROUND(I316*120*'Rate Card'!$B$48,500)</f>
        <v>158000</v>
      </c>
      <c r="N316" s="14"/>
      <c r="O316" s="46" t="n">
        <v>1</v>
      </c>
      <c r="P316" s="46" t="n">
        <v>1</v>
      </c>
    </row>
    <row r="317" customFormat="false" ht="15" hidden="false" customHeight="true" outlineLevel="0" collapsed="false">
      <c r="A317" s="9" t="n">
        <v>293</v>
      </c>
      <c r="B317" s="43" t="s">
        <v>131</v>
      </c>
      <c r="C317" s="43" t="s">
        <v>394</v>
      </c>
      <c r="D317" s="44" t="s">
        <v>949</v>
      </c>
      <c r="E317" s="43" t="s">
        <v>919</v>
      </c>
      <c r="F317" s="45" t="s">
        <v>318</v>
      </c>
      <c r="G317" s="45" t="s">
        <v>950</v>
      </c>
      <c r="H317" s="12" t="n">
        <f aca="false">MROUND('Rate Card'!$I$24*O317*P317,10)</f>
        <v>3250</v>
      </c>
      <c r="I317" s="12" t="n">
        <f aca="false">MROUND('Rate Card'!$K$24*O317*P317,10)</f>
        <v>1550</v>
      </c>
      <c r="J317" s="12" t="n">
        <f aca="false">MROUND(H317*4*'Rate Card'!$B$47,100)</f>
        <v>12400</v>
      </c>
      <c r="K317" s="12" t="n">
        <f aca="false">MROUND(I317*4*'Rate Card'!$B$47,100)</f>
        <v>5900</v>
      </c>
      <c r="L317" s="12" t="n">
        <f aca="false">MROUND(H317*120*'Rate Card'!$B$48,500)</f>
        <v>331500</v>
      </c>
      <c r="M317" s="12" t="n">
        <f aca="false">MROUND(I317*120*'Rate Card'!$B$48,500)</f>
        <v>158000</v>
      </c>
      <c r="N317" s="14"/>
      <c r="O317" s="46" t="n">
        <v>1</v>
      </c>
      <c r="P317" s="46" t="n">
        <v>1</v>
      </c>
    </row>
    <row r="318" customFormat="false" ht="15" hidden="false" customHeight="true" outlineLevel="0" collapsed="false">
      <c r="A318" s="9" t="n">
        <v>294</v>
      </c>
      <c r="B318" s="43" t="s">
        <v>131</v>
      </c>
      <c r="C318" s="43" t="s">
        <v>394</v>
      </c>
      <c r="D318" s="44" t="s">
        <v>951</v>
      </c>
      <c r="E318" s="43" t="s">
        <v>919</v>
      </c>
      <c r="F318" s="45" t="s">
        <v>450</v>
      </c>
      <c r="G318" s="45" t="s">
        <v>952</v>
      </c>
      <c r="H318" s="12" t="n">
        <f aca="false">MROUND('Rate Card'!$I$24*O318*P318,10)</f>
        <v>3250</v>
      </c>
      <c r="I318" s="12" t="n">
        <f aca="false">MROUND('Rate Card'!$K$24*O318*P318,10)</f>
        <v>1550</v>
      </c>
      <c r="J318" s="12" t="n">
        <f aca="false">MROUND(H318*4*'Rate Card'!$B$47,100)</f>
        <v>12400</v>
      </c>
      <c r="K318" s="12" t="n">
        <f aca="false">MROUND(I318*4*'Rate Card'!$B$47,100)</f>
        <v>5900</v>
      </c>
      <c r="L318" s="12" t="n">
        <f aca="false">MROUND(H318*120*'Rate Card'!$B$48,500)</f>
        <v>331500</v>
      </c>
      <c r="M318" s="12" t="n">
        <f aca="false">MROUND(I318*120*'Rate Card'!$B$48,500)</f>
        <v>158000</v>
      </c>
      <c r="N318" s="14"/>
      <c r="O318" s="46" t="n">
        <v>1</v>
      </c>
      <c r="P318" s="46" t="n">
        <v>1</v>
      </c>
    </row>
    <row r="319" customFormat="false" ht="15" hidden="false" customHeight="true" outlineLevel="0" collapsed="false">
      <c r="A319" s="9" t="n">
        <v>295</v>
      </c>
      <c r="B319" s="43" t="s">
        <v>131</v>
      </c>
      <c r="C319" s="43" t="s">
        <v>394</v>
      </c>
      <c r="D319" s="44" t="s">
        <v>953</v>
      </c>
      <c r="E319" s="43" t="s">
        <v>919</v>
      </c>
      <c r="F319" s="45" t="s">
        <v>450</v>
      </c>
      <c r="G319" s="45" t="s">
        <v>954</v>
      </c>
      <c r="H319" s="12" t="n">
        <f aca="false">MROUND('Rate Card'!$I$24*O319*P319,10)</f>
        <v>3250</v>
      </c>
      <c r="I319" s="12" t="n">
        <f aca="false">MROUND('Rate Card'!$K$24*O319*P319,10)</f>
        <v>1550</v>
      </c>
      <c r="J319" s="12" t="n">
        <f aca="false">MROUND(H319*4*'Rate Card'!$B$47,100)</f>
        <v>12400</v>
      </c>
      <c r="K319" s="12" t="n">
        <f aca="false">MROUND(I319*4*'Rate Card'!$B$47,100)</f>
        <v>5900</v>
      </c>
      <c r="L319" s="12" t="n">
        <f aca="false">MROUND(H319*120*'Rate Card'!$B$48,500)</f>
        <v>331500</v>
      </c>
      <c r="M319" s="12" t="n">
        <f aca="false">MROUND(I319*120*'Rate Card'!$B$48,500)</f>
        <v>158000</v>
      </c>
      <c r="N319" s="14"/>
      <c r="O319" s="46" t="n">
        <v>1</v>
      </c>
      <c r="P319" s="46" t="n">
        <v>1</v>
      </c>
    </row>
    <row r="320" customFormat="false" ht="15" hidden="false" customHeight="true" outlineLevel="0" collapsed="false">
      <c r="A320" s="9" t="n">
        <v>296</v>
      </c>
      <c r="B320" s="43" t="s">
        <v>131</v>
      </c>
      <c r="C320" s="43" t="s">
        <v>394</v>
      </c>
      <c r="D320" s="44" t="s">
        <v>955</v>
      </c>
      <c r="E320" s="43" t="s">
        <v>919</v>
      </c>
      <c r="F320" s="45" t="s">
        <v>450</v>
      </c>
      <c r="G320" s="45" t="s">
        <v>956</v>
      </c>
      <c r="H320" s="12" t="n">
        <f aca="false">MROUND('Rate Card'!$I$24*O320*P320,10)</f>
        <v>3250</v>
      </c>
      <c r="I320" s="12" t="n">
        <f aca="false">MROUND('Rate Card'!$K$24*O320*P320,10)</f>
        <v>1550</v>
      </c>
      <c r="J320" s="12" t="n">
        <f aca="false">MROUND(H320*4*'Rate Card'!$B$47,100)</f>
        <v>12400</v>
      </c>
      <c r="K320" s="12" t="n">
        <f aca="false">MROUND(I320*4*'Rate Card'!$B$47,100)</f>
        <v>5900</v>
      </c>
      <c r="L320" s="12" t="n">
        <f aca="false">MROUND(H320*120*'Rate Card'!$B$48,500)</f>
        <v>331500</v>
      </c>
      <c r="M320" s="12" t="n">
        <f aca="false">MROUND(I320*120*'Rate Card'!$B$48,500)</f>
        <v>158000</v>
      </c>
      <c r="N320" s="14"/>
      <c r="O320" s="46" t="n">
        <v>1</v>
      </c>
      <c r="P320" s="46" t="n">
        <v>1</v>
      </c>
    </row>
    <row r="321" customFormat="false" ht="15" hidden="false" customHeight="true" outlineLevel="0" collapsed="false">
      <c r="A321" s="9" t="n">
        <v>297</v>
      </c>
      <c r="B321" s="43" t="s">
        <v>131</v>
      </c>
      <c r="C321" s="43" t="s">
        <v>394</v>
      </c>
      <c r="D321" s="44" t="s">
        <v>957</v>
      </c>
      <c r="E321" s="43" t="s">
        <v>919</v>
      </c>
      <c r="F321" s="45" t="s">
        <v>318</v>
      </c>
      <c r="G321" s="45" t="s">
        <v>958</v>
      </c>
      <c r="H321" s="12" t="n">
        <f aca="false">MROUND('Rate Card'!$I$24*O321*P321,10)</f>
        <v>3250</v>
      </c>
      <c r="I321" s="12" t="n">
        <f aca="false">MROUND('Rate Card'!$K$24*O321*P321,10)</f>
        <v>1550</v>
      </c>
      <c r="J321" s="12" t="n">
        <f aca="false">MROUND(H321*4*'Rate Card'!$B$47,100)</f>
        <v>12400</v>
      </c>
      <c r="K321" s="12" t="n">
        <f aca="false">MROUND(I321*4*'Rate Card'!$B$47,100)</f>
        <v>5900</v>
      </c>
      <c r="L321" s="12" t="n">
        <f aca="false">MROUND(H321*120*'Rate Card'!$B$48,500)</f>
        <v>331500</v>
      </c>
      <c r="M321" s="12" t="n">
        <f aca="false">MROUND(I321*120*'Rate Card'!$B$48,500)</f>
        <v>158000</v>
      </c>
      <c r="N321" s="14"/>
      <c r="O321" s="46" t="n">
        <v>1</v>
      </c>
      <c r="P321" s="46" t="n">
        <v>1</v>
      </c>
    </row>
    <row r="322" customFormat="false" ht="15" hidden="false" customHeight="true" outlineLevel="0" collapsed="false">
      <c r="A322" s="9" t="n">
        <v>298</v>
      </c>
      <c r="B322" s="43" t="s">
        <v>131</v>
      </c>
      <c r="C322" s="43" t="s">
        <v>394</v>
      </c>
      <c r="D322" s="44" t="s">
        <v>959</v>
      </c>
      <c r="E322" s="43" t="s">
        <v>919</v>
      </c>
      <c r="F322" s="45" t="s">
        <v>318</v>
      </c>
      <c r="G322" s="45" t="s">
        <v>960</v>
      </c>
      <c r="H322" s="12" t="n">
        <f aca="false">MROUND('Rate Card'!$I$24*O322*P322,10)</f>
        <v>3250</v>
      </c>
      <c r="I322" s="12" t="n">
        <f aca="false">MROUND('Rate Card'!$K$24*O322*P322,10)</f>
        <v>1550</v>
      </c>
      <c r="J322" s="12" t="n">
        <f aca="false">MROUND(H322*4*'Rate Card'!$B$47,100)</f>
        <v>12400</v>
      </c>
      <c r="K322" s="12" t="n">
        <f aca="false">MROUND(I322*4*'Rate Card'!$B$47,100)</f>
        <v>5900</v>
      </c>
      <c r="L322" s="12" t="n">
        <f aca="false">MROUND(H322*120*'Rate Card'!$B$48,500)</f>
        <v>331500</v>
      </c>
      <c r="M322" s="12" t="n">
        <f aca="false">MROUND(I322*120*'Rate Card'!$B$48,500)</f>
        <v>158000</v>
      </c>
      <c r="N322" s="14"/>
      <c r="O322" s="46" t="n">
        <v>1</v>
      </c>
      <c r="P322" s="46" t="n">
        <v>1</v>
      </c>
    </row>
    <row r="323" customFormat="false" ht="15" hidden="false" customHeight="true" outlineLevel="0" collapsed="false">
      <c r="A323" s="9" t="n">
        <v>299</v>
      </c>
      <c r="B323" s="43" t="s">
        <v>131</v>
      </c>
      <c r="C323" s="43" t="s">
        <v>394</v>
      </c>
      <c r="D323" s="44" t="s">
        <v>961</v>
      </c>
      <c r="E323" s="43" t="s">
        <v>919</v>
      </c>
      <c r="F323" s="45" t="s">
        <v>450</v>
      </c>
      <c r="G323" s="45" t="s">
        <v>962</v>
      </c>
      <c r="H323" s="12" t="n">
        <f aca="false">MROUND('Rate Card'!$I$24*O323*P323,10)</f>
        <v>3250</v>
      </c>
      <c r="I323" s="12" t="n">
        <f aca="false">MROUND('Rate Card'!$K$24*O323*P323,10)</f>
        <v>1550</v>
      </c>
      <c r="J323" s="12" t="n">
        <f aca="false">MROUND(H323*4*'Rate Card'!$B$47,100)</f>
        <v>12400</v>
      </c>
      <c r="K323" s="12" t="n">
        <f aca="false">MROUND(I323*4*'Rate Card'!$B$47,100)</f>
        <v>5900</v>
      </c>
      <c r="L323" s="12" t="n">
        <f aca="false">MROUND(H323*120*'Rate Card'!$B$48,500)</f>
        <v>331500</v>
      </c>
      <c r="M323" s="12" t="n">
        <f aca="false">MROUND(I323*120*'Rate Card'!$B$48,500)</f>
        <v>158000</v>
      </c>
      <c r="N323" s="14"/>
      <c r="O323" s="46" t="n">
        <v>1</v>
      </c>
      <c r="P323" s="46" t="n">
        <v>1</v>
      </c>
    </row>
    <row r="324" customFormat="false" ht="15" hidden="false" customHeight="true" outlineLevel="0" collapsed="false">
      <c r="A324" s="9" t="n">
        <v>300</v>
      </c>
      <c r="B324" s="43" t="s">
        <v>131</v>
      </c>
      <c r="C324" s="43" t="s">
        <v>394</v>
      </c>
      <c r="D324" s="44" t="s">
        <v>963</v>
      </c>
      <c r="E324" s="43" t="s">
        <v>919</v>
      </c>
      <c r="F324" s="45" t="s">
        <v>450</v>
      </c>
      <c r="G324" s="45" t="s">
        <v>964</v>
      </c>
      <c r="H324" s="12" t="n">
        <f aca="false">MROUND('Rate Card'!$I$24*O324*P324,10)</f>
        <v>3250</v>
      </c>
      <c r="I324" s="12" t="n">
        <f aca="false">MROUND('Rate Card'!$K$24*O324*P324,10)</f>
        <v>1550</v>
      </c>
      <c r="J324" s="12" t="n">
        <f aca="false">MROUND(H324*4*'Rate Card'!$B$47,100)</f>
        <v>12400</v>
      </c>
      <c r="K324" s="12" t="n">
        <f aca="false">MROUND(I324*4*'Rate Card'!$B$47,100)</f>
        <v>5900</v>
      </c>
      <c r="L324" s="12" t="n">
        <f aca="false">MROUND(H324*120*'Rate Card'!$B$48,500)</f>
        <v>331500</v>
      </c>
      <c r="M324" s="12" t="n">
        <f aca="false">MROUND(I324*120*'Rate Card'!$B$48,500)</f>
        <v>158000</v>
      </c>
      <c r="N324" s="14"/>
      <c r="O324" s="46" t="n">
        <v>1</v>
      </c>
      <c r="P324" s="46" t="n">
        <v>1</v>
      </c>
    </row>
    <row r="325" customFormat="false" ht="15" hidden="false" customHeight="true" outlineLevel="0" collapsed="false">
      <c r="A325" s="9" t="n">
        <v>301</v>
      </c>
      <c r="B325" s="43" t="s">
        <v>131</v>
      </c>
      <c r="C325" s="43" t="s">
        <v>394</v>
      </c>
      <c r="D325" s="44" t="s">
        <v>965</v>
      </c>
      <c r="E325" s="43" t="s">
        <v>919</v>
      </c>
      <c r="F325" s="45" t="s">
        <v>450</v>
      </c>
      <c r="G325" s="45" t="s">
        <v>966</v>
      </c>
      <c r="H325" s="12" t="n">
        <f aca="false">MROUND('Rate Card'!$I$24*O325*P325,10)</f>
        <v>3250</v>
      </c>
      <c r="I325" s="12" t="n">
        <f aca="false">MROUND('Rate Card'!$K$24*O325*P325,10)</f>
        <v>1550</v>
      </c>
      <c r="J325" s="12" t="n">
        <f aca="false">MROUND(H325*4*'Rate Card'!$B$47,100)</f>
        <v>12400</v>
      </c>
      <c r="K325" s="12" t="n">
        <f aca="false">MROUND(I325*4*'Rate Card'!$B$47,100)</f>
        <v>5900</v>
      </c>
      <c r="L325" s="12" t="n">
        <f aca="false">MROUND(H325*120*'Rate Card'!$B$48,500)</f>
        <v>331500</v>
      </c>
      <c r="M325" s="12" t="n">
        <f aca="false">MROUND(I325*120*'Rate Card'!$B$48,500)</f>
        <v>158000</v>
      </c>
      <c r="N325" s="14"/>
      <c r="O325" s="46" t="n">
        <v>1</v>
      </c>
      <c r="P325" s="46" t="n">
        <v>1</v>
      </c>
    </row>
    <row r="326" customFormat="false" ht="15" hidden="false" customHeight="true" outlineLevel="0" collapsed="false">
      <c r="A326" s="9" t="n">
        <v>302</v>
      </c>
      <c r="B326" s="43" t="s">
        <v>131</v>
      </c>
      <c r="C326" s="43" t="s">
        <v>394</v>
      </c>
      <c r="D326" s="44" t="s">
        <v>967</v>
      </c>
      <c r="E326" s="43" t="s">
        <v>919</v>
      </c>
      <c r="F326" s="45" t="s">
        <v>450</v>
      </c>
      <c r="G326" s="45" t="s">
        <v>968</v>
      </c>
      <c r="H326" s="12" t="n">
        <f aca="false">MROUND('Rate Card'!$I$24*O326*P326,10)</f>
        <v>3250</v>
      </c>
      <c r="I326" s="12" t="n">
        <f aca="false">MROUND('Rate Card'!$K$24*O326*P326,10)</f>
        <v>1550</v>
      </c>
      <c r="J326" s="12" t="n">
        <f aca="false">MROUND(H326*4*'Rate Card'!$B$47,100)</f>
        <v>12400</v>
      </c>
      <c r="K326" s="12" t="n">
        <f aca="false">MROUND(I326*4*'Rate Card'!$B$47,100)</f>
        <v>5900</v>
      </c>
      <c r="L326" s="12" t="n">
        <f aca="false">MROUND(H326*120*'Rate Card'!$B$48,500)</f>
        <v>331500</v>
      </c>
      <c r="M326" s="12" t="n">
        <f aca="false">MROUND(I326*120*'Rate Card'!$B$48,500)</f>
        <v>158000</v>
      </c>
      <c r="N326" s="14"/>
      <c r="O326" s="46" t="n">
        <v>1</v>
      </c>
      <c r="P326" s="46" t="n">
        <v>1</v>
      </c>
    </row>
    <row r="327" customFormat="false" ht="15" hidden="false" customHeight="true" outlineLevel="0" collapsed="false">
      <c r="A327" s="9" t="n">
        <v>303</v>
      </c>
      <c r="B327" s="43" t="s">
        <v>131</v>
      </c>
      <c r="C327" s="43" t="s">
        <v>394</v>
      </c>
      <c r="D327" s="44" t="s">
        <v>969</v>
      </c>
      <c r="E327" s="43" t="s">
        <v>919</v>
      </c>
      <c r="F327" s="45" t="s">
        <v>450</v>
      </c>
      <c r="G327" s="45" t="s">
        <v>970</v>
      </c>
      <c r="H327" s="12" t="n">
        <f aca="false">MROUND('Rate Card'!$I$24*O327*P327,10)</f>
        <v>3250</v>
      </c>
      <c r="I327" s="12" t="n">
        <f aca="false">MROUND('Rate Card'!$K$24*O327*P327,10)</f>
        <v>1550</v>
      </c>
      <c r="J327" s="12" t="n">
        <f aca="false">MROUND(H327*4*'Rate Card'!$B$47,100)</f>
        <v>12400</v>
      </c>
      <c r="K327" s="12" t="n">
        <f aca="false">MROUND(I327*4*'Rate Card'!$B$47,100)</f>
        <v>5900</v>
      </c>
      <c r="L327" s="12" t="n">
        <f aca="false">MROUND(H327*120*'Rate Card'!$B$48,500)</f>
        <v>331500</v>
      </c>
      <c r="M327" s="12" t="n">
        <f aca="false">MROUND(I327*120*'Rate Card'!$B$48,500)</f>
        <v>158000</v>
      </c>
      <c r="N327" s="14"/>
      <c r="O327" s="46" t="n">
        <v>1</v>
      </c>
      <c r="P327" s="46" t="n">
        <v>1</v>
      </c>
    </row>
    <row r="328" customFormat="false" ht="15" hidden="false" customHeight="true" outlineLevel="0" collapsed="false">
      <c r="A328" s="9" t="n">
        <v>304</v>
      </c>
      <c r="B328" s="43" t="s">
        <v>131</v>
      </c>
      <c r="C328" s="43" t="s">
        <v>394</v>
      </c>
      <c r="D328" s="44" t="s">
        <v>971</v>
      </c>
      <c r="E328" s="43" t="s">
        <v>919</v>
      </c>
      <c r="F328" s="45" t="s">
        <v>450</v>
      </c>
      <c r="G328" s="45" t="s">
        <v>972</v>
      </c>
      <c r="H328" s="12" t="n">
        <f aca="false">MROUND('Rate Card'!$I$24*O328*P328,10)</f>
        <v>3250</v>
      </c>
      <c r="I328" s="12" t="n">
        <f aca="false">MROUND('Rate Card'!$K$24*O328*P328,10)</f>
        <v>1550</v>
      </c>
      <c r="J328" s="12" t="n">
        <f aca="false">MROUND(H328*4*'Rate Card'!$B$47,100)</f>
        <v>12400</v>
      </c>
      <c r="K328" s="12" t="n">
        <f aca="false">MROUND(I328*4*'Rate Card'!$B$47,100)</f>
        <v>5900</v>
      </c>
      <c r="L328" s="12" t="n">
        <f aca="false">MROUND(H328*120*'Rate Card'!$B$48,500)</f>
        <v>331500</v>
      </c>
      <c r="M328" s="12" t="n">
        <f aca="false">MROUND(I328*120*'Rate Card'!$B$48,500)</f>
        <v>158000</v>
      </c>
      <c r="N328" s="14"/>
      <c r="O328" s="46" t="n">
        <v>1</v>
      </c>
      <c r="P328" s="46" t="n">
        <v>1</v>
      </c>
    </row>
    <row r="329" customFormat="false" ht="15" hidden="false" customHeight="true" outlineLevel="0" collapsed="false">
      <c r="A329" s="9" t="n">
        <v>305</v>
      </c>
      <c r="B329" s="43" t="s">
        <v>131</v>
      </c>
      <c r="C329" s="43" t="s">
        <v>394</v>
      </c>
      <c r="D329" s="44" t="s">
        <v>973</v>
      </c>
      <c r="E329" s="43" t="s">
        <v>919</v>
      </c>
      <c r="F329" s="45" t="s">
        <v>450</v>
      </c>
      <c r="G329" s="45" t="s">
        <v>974</v>
      </c>
      <c r="H329" s="12" t="n">
        <f aca="false">MROUND('Rate Card'!$I$24*O329*P329,10)</f>
        <v>3250</v>
      </c>
      <c r="I329" s="12" t="n">
        <f aca="false">MROUND('Rate Card'!$K$24*O329*P329,10)</f>
        <v>1550</v>
      </c>
      <c r="J329" s="12" t="n">
        <f aca="false">MROUND(H329*4*'Rate Card'!$B$47,100)</f>
        <v>12400</v>
      </c>
      <c r="K329" s="12" t="n">
        <f aca="false">MROUND(I329*4*'Rate Card'!$B$47,100)</f>
        <v>5900</v>
      </c>
      <c r="L329" s="12" t="n">
        <f aca="false">MROUND(H329*120*'Rate Card'!$B$48,500)</f>
        <v>331500</v>
      </c>
      <c r="M329" s="12" t="n">
        <f aca="false">MROUND(I329*120*'Rate Card'!$B$48,500)</f>
        <v>158000</v>
      </c>
      <c r="N329" s="14"/>
      <c r="O329" s="46" t="n">
        <v>1</v>
      </c>
      <c r="P329" s="46" t="n">
        <v>1</v>
      </c>
    </row>
    <row r="330" customFormat="false" ht="15" hidden="false" customHeight="true" outlineLevel="0" collapsed="false">
      <c r="A330" s="9" t="n">
        <v>306</v>
      </c>
      <c r="B330" s="43" t="s">
        <v>131</v>
      </c>
      <c r="C330" s="43" t="s">
        <v>394</v>
      </c>
      <c r="D330" s="44" t="s">
        <v>975</v>
      </c>
      <c r="E330" s="43" t="s">
        <v>396</v>
      </c>
      <c r="F330" s="45" t="s">
        <v>450</v>
      </c>
      <c r="G330" s="45" t="s">
        <v>976</v>
      </c>
      <c r="H330" s="12" t="n">
        <f aca="false">MROUND('Rate Card'!$I$24*O330*P330,10)</f>
        <v>2990</v>
      </c>
      <c r="I330" s="12" t="n">
        <f aca="false">MROUND('Rate Card'!$K$24*O330*P330,10)</f>
        <v>1430</v>
      </c>
      <c r="J330" s="12" t="n">
        <f aca="false">MROUND(H330*4*'Rate Card'!$B$47,100)</f>
        <v>11400</v>
      </c>
      <c r="K330" s="12" t="n">
        <f aca="false">MROUND(I330*4*'Rate Card'!$B$47,100)</f>
        <v>5400</v>
      </c>
      <c r="L330" s="12" t="n">
        <f aca="false">MROUND(H330*120*'Rate Card'!$B$48,500)</f>
        <v>305000</v>
      </c>
      <c r="M330" s="12" t="n">
        <f aca="false">MROUND(I330*120*'Rate Card'!$B$48,500)</f>
        <v>146000</v>
      </c>
      <c r="N330" s="14"/>
      <c r="O330" s="46" t="n">
        <v>0.92</v>
      </c>
      <c r="P330" s="46" t="n">
        <v>1</v>
      </c>
    </row>
    <row r="331" customFormat="false" ht="15" hidden="false" customHeight="true" outlineLevel="0" collapsed="false">
      <c r="A331" s="9" t="n">
        <v>307</v>
      </c>
      <c r="B331" s="43" t="s">
        <v>131</v>
      </c>
      <c r="C331" s="43" t="s">
        <v>394</v>
      </c>
      <c r="D331" s="44" t="s">
        <v>977</v>
      </c>
      <c r="E331" s="43" t="s">
        <v>396</v>
      </c>
      <c r="F331" s="45" t="s">
        <v>450</v>
      </c>
      <c r="G331" s="45" t="s">
        <v>978</v>
      </c>
      <c r="H331" s="12" t="n">
        <f aca="false">MROUND('Rate Card'!$I$24*O331*P331,10)</f>
        <v>2990</v>
      </c>
      <c r="I331" s="12" t="n">
        <f aca="false">MROUND('Rate Card'!$K$24*O331*P331,10)</f>
        <v>1430</v>
      </c>
      <c r="J331" s="12" t="n">
        <f aca="false">MROUND(H331*4*'Rate Card'!$B$47,100)</f>
        <v>11400</v>
      </c>
      <c r="K331" s="12" t="n">
        <f aca="false">MROUND(I331*4*'Rate Card'!$B$47,100)</f>
        <v>5400</v>
      </c>
      <c r="L331" s="12" t="n">
        <f aca="false">MROUND(H331*120*'Rate Card'!$B$48,500)</f>
        <v>305000</v>
      </c>
      <c r="M331" s="12" t="n">
        <f aca="false">MROUND(I331*120*'Rate Card'!$B$48,500)</f>
        <v>146000</v>
      </c>
      <c r="N331" s="14"/>
      <c r="O331" s="46" t="n">
        <v>0.92</v>
      </c>
      <c r="P331" s="46" t="n">
        <v>1</v>
      </c>
    </row>
    <row r="332" customFormat="false" ht="15" hidden="false" customHeight="true" outlineLevel="0" collapsed="false">
      <c r="A332" s="9" t="n">
        <v>308</v>
      </c>
      <c r="B332" s="43" t="s">
        <v>131</v>
      </c>
      <c r="C332" s="43" t="s">
        <v>394</v>
      </c>
      <c r="D332" s="44" t="s">
        <v>979</v>
      </c>
      <c r="E332" s="43" t="s">
        <v>396</v>
      </c>
      <c r="F332" s="45" t="s">
        <v>450</v>
      </c>
      <c r="G332" s="45" t="s">
        <v>980</v>
      </c>
      <c r="H332" s="12" t="n">
        <f aca="false">MROUND('Rate Card'!$I$24*O332*P332,10)</f>
        <v>2990</v>
      </c>
      <c r="I332" s="12" t="n">
        <f aca="false">MROUND('Rate Card'!$K$24*O332*P332,10)</f>
        <v>1430</v>
      </c>
      <c r="J332" s="12" t="n">
        <f aca="false">MROUND(H332*4*'Rate Card'!$B$47,100)</f>
        <v>11400</v>
      </c>
      <c r="K332" s="12" t="n">
        <f aca="false">MROUND(I332*4*'Rate Card'!$B$47,100)</f>
        <v>5400</v>
      </c>
      <c r="L332" s="12" t="n">
        <f aca="false">MROUND(H332*120*'Rate Card'!$B$48,500)</f>
        <v>305000</v>
      </c>
      <c r="M332" s="12" t="n">
        <f aca="false">MROUND(I332*120*'Rate Card'!$B$48,500)</f>
        <v>146000</v>
      </c>
      <c r="N332" s="14"/>
      <c r="O332" s="46" t="n">
        <v>0.92</v>
      </c>
      <c r="P332" s="46" t="n">
        <v>1</v>
      </c>
    </row>
    <row r="333" customFormat="false" ht="15" hidden="false" customHeight="true" outlineLevel="0" collapsed="false">
      <c r="A333" s="9" t="n">
        <v>309</v>
      </c>
      <c r="B333" s="43" t="s">
        <v>131</v>
      </c>
      <c r="C333" s="43" t="s">
        <v>394</v>
      </c>
      <c r="D333" s="44" t="s">
        <v>981</v>
      </c>
      <c r="E333" s="43" t="s">
        <v>396</v>
      </c>
      <c r="F333" s="45" t="s">
        <v>297</v>
      </c>
      <c r="G333" s="45" t="s">
        <v>982</v>
      </c>
      <c r="H333" s="12" t="n">
        <f aca="false">MROUND('Rate Card'!$I$24*O333*P333,10)</f>
        <v>2990</v>
      </c>
      <c r="I333" s="12" t="n">
        <f aca="false">MROUND('Rate Card'!$K$24*O333*P333,10)</f>
        <v>1430</v>
      </c>
      <c r="J333" s="12" t="n">
        <f aca="false">MROUND(H333*4*'Rate Card'!$B$47,100)</f>
        <v>11400</v>
      </c>
      <c r="K333" s="12" t="n">
        <f aca="false">MROUND(I333*4*'Rate Card'!$B$47,100)</f>
        <v>5400</v>
      </c>
      <c r="L333" s="12" t="n">
        <f aca="false">MROUND(H333*120*'Rate Card'!$B$48,500)</f>
        <v>305000</v>
      </c>
      <c r="M333" s="12" t="n">
        <f aca="false">MROUND(I333*120*'Rate Card'!$B$48,500)</f>
        <v>146000</v>
      </c>
      <c r="N333" s="14"/>
      <c r="O333" s="46" t="n">
        <v>0.92</v>
      </c>
      <c r="P333" s="46" t="n">
        <v>1</v>
      </c>
    </row>
    <row r="334" customFormat="false" ht="15" hidden="false" customHeight="true" outlineLevel="0" collapsed="false">
      <c r="A334" s="9" t="n">
        <v>310</v>
      </c>
      <c r="B334" s="43" t="s">
        <v>131</v>
      </c>
      <c r="C334" s="43" t="s">
        <v>394</v>
      </c>
      <c r="D334" s="44" t="s">
        <v>983</v>
      </c>
      <c r="E334" s="43" t="s">
        <v>919</v>
      </c>
      <c r="F334" s="45" t="s">
        <v>450</v>
      </c>
      <c r="G334" s="45" t="s">
        <v>984</v>
      </c>
      <c r="H334" s="12" t="n">
        <f aca="false">MROUND('Rate Card'!$I$24*O334*P334,10)</f>
        <v>2990</v>
      </c>
      <c r="I334" s="12" t="n">
        <f aca="false">MROUND('Rate Card'!$K$24*O334*P334,10)</f>
        <v>1430</v>
      </c>
      <c r="J334" s="12" t="n">
        <f aca="false">MROUND(H334*4*'Rate Card'!$B$47,100)</f>
        <v>11400</v>
      </c>
      <c r="K334" s="12" t="n">
        <f aca="false">MROUND(I334*4*'Rate Card'!$B$47,100)</f>
        <v>5400</v>
      </c>
      <c r="L334" s="12" t="n">
        <f aca="false">MROUND(H334*120*'Rate Card'!$B$48,500)</f>
        <v>305000</v>
      </c>
      <c r="M334" s="12" t="n">
        <f aca="false">MROUND(I334*120*'Rate Card'!$B$48,500)</f>
        <v>146000</v>
      </c>
      <c r="N334" s="14"/>
      <c r="O334" s="46" t="n">
        <v>0.92</v>
      </c>
      <c r="P334" s="46" t="n">
        <v>1</v>
      </c>
    </row>
    <row r="335" customFormat="false" ht="15" hidden="false" customHeight="true" outlineLevel="0" collapsed="false">
      <c r="A335" s="9" t="n">
        <v>311</v>
      </c>
      <c r="B335" s="43" t="s">
        <v>131</v>
      </c>
      <c r="C335" s="43" t="s">
        <v>394</v>
      </c>
      <c r="D335" s="44" t="s">
        <v>985</v>
      </c>
      <c r="E335" s="43" t="s">
        <v>986</v>
      </c>
      <c r="F335" s="45" t="s">
        <v>450</v>
      </c>
      <c r="G335" s="45" t="s">
        <v>987</v>
      </c>
      <c r="H335" s="12" t="n">
        <f aca="false">MROUND('Rate Card'!$I$24*O335*P335,10)</f>
        <v>2990</v>
      </c>
      <c r="I335" s="12" t="n">
        <f aca="false">MROUND('Rate Card'!$K$24*O335*P335,10)</f>
        <v>1430</v>
      </c>
      <c r="J335" s="12" t="n">
        <f aca="false">MROUND(H335*4*'Rate Card'!$B$47,100)</f>
        <v>11400</v>
      </c>
      <c r="K335" s="12" t="n">
        <f aca="false">MROUND(I335*4*'Rate Card'!$B$47,100)</f>
        <v>5400</v>
      </c>
      <c r="L335" s="12" t="n">
        <f aca="false">MROUND(H335*120*'Rate Card'!$B$48,500)</f>
        <v>305000</v>
      </c>
      <c r="M335" s="12" t="n">
        <f aca="false">MROUND(I335*120*'Rate Card'!$B$48,500)</f>
        <v>146000</v>
      </c>
      <c r="N335" s="14"/>
      <c r="O335" s="46" t="n">
        <v>0.92</v>
      </c>
      <c r="P335" s="46" t="n">
        <v>1</v>
      </c>
    </row>
    <row r="336" customFormat="false" ht="15" hidden="false" customHeight="true" outlineLevel="0" collapsed="false">
      <c r="A336" s="9" t="n">
        <v>312</v>
      </c>
      <c r="B336" s="43" t="s">
        <v>131</v>
      </c>
      <c r="C336" s="43" t="s">
        <v>394</v>
      </c>
      <c r="D336" s="44" t="s">
        <v>988</v>
      </c>
      <c r="E336" s="43" t="s">
        <v>986</v>
      </c>
      <c r="F336" s="45" t="s">
        <v>297</v>
      </c>
      <c r="G336" s="45" t="s">
        <v>989</v>
      </c>
      <c r="H336" s="12" t="n">
        <f aca="false">MROUND('Rate Card'!$I$24*O336*P336,10)</f>
        <v>2990</v>
      </c>
      <c r="I336" s="12" t="n">
        <f aca="false">MROUND('Rate Card'!$K$24*O336*P336,10)</f>
        <v>1430</v>
      </c>
      <c r="J336" s="12" t="n">
        <f aca="false">MROUND(H336*4*'Rate Card'!$B$47,100)</f>
        <v>11400</v>
      </c>
      <c r="K336" s="12" t="n">
        <f aca="false">MROUND(I336*4*'Rate Card'!$B$47,100)</f>
        <v>5400</v>
      </c>
      <c r="L336" s="12" t="n">
        <f aca="false">MROUND(H336*120*'Rate Card'!$B$48,500)</f>
        <v>305000</v>
      </c>
      <c r="M336" s="12" t="n">
        <f aca="false">MROUND(I336*120*'Rate Card'!$B$48,500)</f>
        <v>146000</v>
      </c>
      <c r="N336" s="14"/>
      <c r="O336" s="46" t="n">
        <v>0.92</v>
      </c>
      <c r="P336" s="46" t="n">
        <v>1</v>
      </c>
    </row>
    <row r="337" customFormat="false" ht="15" hidden="false" customHeight="true" outlineLevel="0" collapsed="false">
      <c r="A337" s="9" t="n">
        <v>313</v>
      </c>
      <c r="B337" s="43" t="s">
        <v>131</v>
      </c>
      <c r="C337" s="43" t="s">
        <v>394</v>
      </c>
      <c r="D337" s="44" t="s">
        <v>990</v>
      </c>
      <c r="E337" s="43" t="s">
        <v>986</v>
      </c>
      <c r="F337" s="45" t="s">
        <v>297</v>
      </c>
      <c r="G337" s="45" t="s">
        <v>991</v>
      </c>
      <c r="H337" s="12" t="n">
        <f aca="false">MROUND('Rate Card'!$I$24*O337*P337,10)</f>
        <v>2990</v>
      </c>
      <c r="I337" s="12" t="n">
        <f aca="false">MROUND('Rate Card'!$K$24*O337*P337,10)</f>
        <v>1430</v>
      </c>
      <c r="J337" s="12" t="n">
        <f aca="false">MROUND(H337*4*'Rate Card'!$B$47,100)</f>
        <v>11400</v>
      </c>
      <c r="K337" s="12" t="n">
        <f aca="false">MROUND(I337*4*'Rate Card'!$B$47,100)</f>
        <v>5400</v>
      </c>
      <c r="L337" s="12" t="n">
        <f aca="false">MROUND(H337*120*'Rate Card'!$B$48,500)</f>
        <v>305000</v>
      </c>
      <c r="M337" s="12" t="n">
        <f aca="false">MROUND(I337*120*'Rate Card'!$B$48,500)</f>
        <v>146000</v>
      </c>
      <c r="N337" s="14"/>
      <c r="O337" s="46" t="n">
        <v>0.92</v>
      </c>
      <c r="P337" s="46" t="n">
        <v>1</v>
      </c>
    </row>
    <row r="338" customFormat="false" ht="15" hidden="false" customHeight="true" outlineLevel="0" collapsed="false">
      <c r="A338" s="9" t="n">
        <v>314</v>
      </c>
      <c r="B338" s="43" t="s">
        <v>131</v>
      </c>
      <c r="C338" s="43" t="s">
        <v>394</v>
      </c>
      <c r="D338" s="44" t="s">
        <v>992</v>
      </c>
      <c r="E338" s="43" t="s">
        <v>986</v>
      </c>
      <c r="F338" s="45" t="s">
        <v>297</v>
      </c>
      <c r="G338" s="45" t="s">
        <v>993</v>
      </c>
      <c r="H338" s="12" t="n">
        <f aca="false">MROUND('Rate Card'!$I$24*O338*P338,10)</f>
        <v>2990</v>
      </c>
      <c r="I338" s="12" t="n">
        <f aca="false">MROUND('Rate Card'!$K$24*O338*P338,10)</f>
        <v>1430</v>
      </c>
      <c r="J338" s="12" t="n">
        <f aca="false">MROUND(H338*4*'Rate Card'!$B$47,100)</f>
        <v>11400</v>
      </c>
      <c r="K338" s="12" t="n">
        <f aca="false">MROUND(I338*4*'Rate Card'!$B$47,100)</f>
        <v>5400</v>
      </c>
      <c r="L338" s="12" t="n">
        <f aca="false">MROUND(H338*120*'Rate Card'!$B$48,500)</f>
        <v>305000</v>
      </c>
      <c r="M338" s="12" t="n">
        <f aca="false">MROUND(I338*120*'Rate Card'!$B$48,500)</f>
        <v>146000</v>
      </c>
      <c r="N338" s="14"/>
      <c r="O338" s="46" t="n">
        <v>0.92</v>
      </c>
      <c r="P338" s="46" t="n">
        <v>1</v>
      </c>
    </row>
    <row r="339" customFormat="false" ht="15" hidden="false" customHeight="true" outlineLevel="0" collapsed="false">
      <c r="A339" s="9" t="n">
        <v>315</v>
      </c>
      <c r="B339" s="43" t="s">
        <v>131</v>
      </c>
      <c r="C339" s="43" t="s">
        <v>394</v>
      </c>
      <c r="D339" s="44" t="s">
        <v>994</v>
      </c>
      <c r="E339" s="43" t="s">
        <v>986</v>
      </c>
      <c r="F339" s="45" t="s">
        <v>297</v>
      </c>
      <c r="G339" s="45" t="s">
        <v>995</v>
      </c>
      <c r="H339" s="12" t="n">
        <f aca="false">MROUND('Rate Card'!$I$24*O339*P339,10)</f>
        <v>2990</v>
      </c>
      <c r="I339" s="12" t="n">
        <f aca="false">MROUND('Rate Card'!$K$24*O339*P339,10)</f>
        <v>1430</v>
      </c>
      <c r="J339" s="12" t="n">
        <f aca="false">MROUND(H339*4*'Rate Card'!$B$47,100)</f>
        <v>11400</v>
      </c>
      <c r="K339" s="12" t="n">
        <f aca="false">MROUND(I339*4*'Rate Card'!$B$47,100)</f>
        <v>5400</v>
      </c>
      <c r="L339" s="12" t="n">
        <f aca="false">MROUND(H339*120*'Rate Card'!$B$48,500)</f>
        <v>305000</v>
      </c>
      <c r="M339" s="12" t="n">
        <f aca="false">MROUND(I339*120*'Rate Card'!$B$48,500)</f>
        <v>146000</v>
      </c>
      <c r="N339" s="14"/>
      <c r="O339" s="46" t="n">
        <v>0.92</v>
      </c>
      <c r="P339" s="46" t="n">
        <v>1</v>
      </c>
    </row>
    <row r="340" customFormat="false" ht="15" hidden="false" customHeight="true" outlineLevel="0" collapsed="false">
      <c r="A340" s="9" t="n">
        <v>316</v>
      </c>
      <c r="B340" s="43" t="s">
        <v>131</v>
      </c>
      <c r="C340" s="43" t="s">
        <v>394</v>
      </c>
      <c r="D340" s="44" t="s">
        <v>996</v>
      </c>
      <c r="E340" s="43" t="s">
        <v>986</v>
      </c>
      <c r="F340" s="45" t="s">
        <v>297</v>
      </c>
      <c r="G340" s="45" t="s">
        <v>997</v>
      </c>
      <c r="H340" s="12" t="n">
        <f aca="false">MROUND('Rate Card'!$I$24*O340*P340,10)</f>
        <v>2990</v>
      </c>
      <c r="I340" s="12" t="n">
        <f aca="false">MROUND('Rate Card'!$K$24*O340*P340,10)</f>
        <v>1430</v>
      </c>
      <c r="J340" s="12" t="n">
        <f aca="false">MROUND(H340*4*'Rate Card'!$B$47,100)</f>
        <v>11400</v>
      </c>
      <c r="K340" s="12" t="n">
        <f aca="false">MROUND(I340*4*'Rate Card'!$B$47,100)</f>
        <v>5400</v>
      </c>
      <c r="L340" s="12" t="n">
        <f aca="false">MROUND(H340*120*'Rate Card'!$B$48,500)</f>
        <v>305000</v>
      </c>
      <c r="M340" s="12" t="n">
        <f aca="false">MROUND(I340*120*'Rate Card'!$B$48,500)</f>
        <v>146000</v>
      </c>
      <c r="N340" s="14"/>
      <c r="O340" s="46" t="n">
        <v>0.92</v>
      </c>
      <c r="P340" s="46" t="n">
        <v>1</v>
      </c>
    </row>
    <row r="341" customFormat="false" ht="15" hidden="false" customHeight="true" outlineLevel="0" collapsed="false">
      <c r="A341" s="9" t="n">
        <v>317</v>
      </c>
      <c r="B341" s="43" t="s">
        <v>131</v>
      </c>
      <c r="C341" s="43" t="s">
        <v>394</v>
      </c>
      <c r="D341" s="44" t="s">
        <v>998</v>
      </c>
      <c r="E341" s="43" t="s">
        <v>986</v>
      </c>
      <c r="F341" s="45" t="s">
        <v>297</v>
      </c>
      <c r="G341" s="45" t="s">
        <v>999</v>
      </c>
      <c r="H341" s="12" t="n">
        <f aca="false">MROUND('Rate Card'!$I$24*O341*P341,10)</f>
        <v>2990</v>
      </c>
      <c r="I341" s="12" t="n">
        <f aca="false">MROUND('Rate Card'!$K$24*O341*P341,10)</f>
        <v>1430</v>
      </c>
      <c r="J341" s="12" t="n">
        <f aca="false">MROUND(H341*4*'Rate Card'!$B$47,100)</f>
        <v>11400</v>
      </c>
      <c r="K341" s="12" t="n">
        <f aca="false">MROUND(I341*4*'Rate Card'!$B$47,100)</f>
        <v>5400</v>
      </c>
      <c r="L341" s="12" t="n">
        <f aca="false">MROUND(H341*120*'Rate Card'!$B$48,500)</f>
        <v>305000</v>
      </c>
      <c r="M341" s="12" t="n">
        <f aca="false">MROUND(I341*120*'Rate Card'!$B$48,500)</f>
        <v>146000</v>
      </c>
      <c r="N341" s="14"/>
      <c r="O341" s="46" t="n">
        <v>0.92</v>
      </c>
      <c r="P341" s="46" t="n">
        <v>1</v>
      </c>
    </row>
    <row r="342" customFormat="false" ht="15" hidden="false" customHeight="true" outlineLevel="0" collapsed="false">
      <c r="A342" s="9" t="n">
        <v>318</v>
      </c>
      <c r="B342" s="43" t="s">
        <v>131</v>
      </c>
      <c r="C342" s="43" t="s">
        <v>394</v>
      </c>
      <c r="D342" s="44" t="s">
        <v>1000</v>
      </c>
      <c r="E342" s="43" t="s">
        <v>986</v>
      </c>
      <c r="F342" s="45" t="s">
        <v>297</v>
      </c>
      <c r="G342" s="45" t="s">
        <v>1001</v>
      </c>
      <c r="H342" s="12" t="n">
        <f aca="false">MROUND('Rate Card'!$I$24*O342*P342,10)</f>
        <v>2990</v>
      </c>
      <c r="I342" s="12" t="n">
        <f aca="false">MROUND('Rate Card'!$K$24*O342*P342,10)</f>
        <v>1430</v>
      </c>
      <c r="J342" s="12" t="n">
        <f aca="false">MROUND(H342*4*'Rate Card'!$B$47,100)</f>
        <v>11400</v>
      </c>
      <c r="K342" s="12" t="n">
        <f aca="false">MROUND(I342*4*'Rate Card'!$B$47,100)</f>
        <v>5400</v>
      </c>
      <c r="L342" s="12" t="n">
        <f aca="false">MROUND(H342*120*'Rate Card'!$B$48,500)</f>
        <v>305000</v>
      </c>
      <c r="M342" s="12" t="n">
        <f aca="false">MROUND(I342*120*'Rate Card'!$B$48,500)</f>
        <v>146000</v>
      </c>
      <c r="N342" s="14"/>
      <c r="O342" s="46" t="n">
        <v>0.92</v>
      </c>
      <c r="P342" s="46" t="n">
        <v>1</v>
      </c>
    </row>
    <row r="343" customFormat="false" ht="15" hidden="false" customHeight="true" outlineLevel="0" collapsed="false">
      <c r="A343" s="9" t="n">
        <v>319</v>
      </c>
      <c r="B343" s="43" t="s">
        <v>131</v>
      </c>
      <c r="C343" s="43" t="s">
        <v>394</v>
      </c>
      <c r="D343" s="44" t="s">
        <v>1002</v>
      </c>
      <c r="E343" s="43" t="s">
        <v>986</v>
      </c>
      <c r="F343" s="45" t="s">
        <v>297</v>
      </c>
      <c r="G343" s="45" t="s">
        <v>1003</v>
      </c>
      <c r="H343" s="12" t="n">
        <f aca="false">MROUND('Rate Card'!$I$24*O343*P343,10)</f>
        <v>2990</v>
      </c>
      <c r="I343" s="12" t="n">
        <f aca="false">MROUND('Rate Card'!$K$24*O343*P343,10)</f>
        <v>1430</v>
      </c>
      <c r="J343" s="12" t="n">
        <f aca="false">MROUND(H343*4*'Rate Card'!$B$47,100)</f>
        <v>11400</v>
      </c>
      <c r="K343" s="12" t="n">
        <f aca="false">MROUND(I343*4*'Rate Card'!$B$47,100)</f>
        <v>5400</v>
      </c>
      <c r="L343" s="12" t="n">
        <f aca="false">MROUND(H343*120*'Rate Card'!$B$48,500)</f>
        <v>305000</v>
      </c>
      <c r="M343" s="12" t="n">
        <f aca="false">MROUND(I343*120*'Rate Card'!$B$48,500)</f>
        <v>146000</v>
      </c>
      <c r="N343" s="14"/>
      <c r="O343" s="46" t="n">
        <v>0.92</v>
      </c>
      <c r="P343" s="46" t="n">
        <v>1</v>
      </c>
    </row>
    <row r="344" customFormat="false" ht="15" hidden="false" customHeight="true" outlineLevel="0" collapsed="false">
      <c r="A344" s="9" t="n">
        <v>320</v>
      </c>
      <c r="B344" s="43" t="s">
        <v>131</v>
      </c>
      <c r="C344" s="43" t="s">
        <v>394</v>
      </c>
      <c r="D344" s="44" t="s">
        <v>1004</v>
      </c>
      <c r="E344" s="43" t="s">
        <v>986</v>
      </c>
      <c r="F344" s="45" t="s">
        <v>297</v>
      </c>
      <c r="G344" s="45" t="s">
        <v>1005</v>
      </c>
      <c r="H344" s="12" t="n">
        <f aca="false">MROUND('Rate Card'!$I$24*O344*P344,10)</f>
        <v>2990</v>
      </c>
      <c r="I344" s="12" t="n">
        <f aca="false">MROUND('Rate Card'!$K$24*O344*P344,10)</f>
        <v>1430</v>
      </c>
      <c r="J344" s="12" t="n">
        <f aca="false">MROUND(H344*4*'Rate Card'!$B$47,100)</f>
        <v>11400</v>
      </c>
      <c r="K344" s="12" t="n">
        <f aca="false">MROUND(I344*4*'Rate Card'!$B$47,100)</f>
        <v>5400</v>
      </c>
      <c r="L344" s="12" t="n">
        <f aca="false">MROUND(H344*120*'Rate Card'!$B$48,500)</f>
        <v>305000</v>
      </c>
      <c r="M344" s="12" t="n">
        <f aca="false">MROUND(I344*120*'Rate Card'!$B$48,500)</f>
        <v>146000</v>
      </c>
      <c r="N344" s="14"/>
      <c r="O344" s="46" t="n">
        <v>0.92</v>
      </c>
      <c r="P344" s="46" t="n">
        <v>1</v>
      </c>
    </row>
    <row r="345" customFormat="false" ht="15" hidden="false" customHeight="true" outlineLevel="0" collapsed="false">
      <c r="A345" s="9" t="n">
        <v>321</v>
      </c>
      <c r="B345" s="43" t="s">
        <v>131</v>
      </c>
      <c r="C345" s="43" t="s">
        <v>394</v>
      </c>
      <c r="D345" s="44" t="s">
        <v>1006</v>
      </c>
      <c r="E345" s="43" t="s">
        <v>986</v>
      </c>
      <c r="F345" s="45" t="s">
        <v>297</v>
      </c>
      <c r="G345" s="45" t="s">
        <v>1007</v>
      </c>
      <c r="H345" s="12" t="n">
        <f aca="false">MROUND('Rate Card'!$I$24*O345*P345,10)</f>
        <v>2990</v>
      </c>
      <c r="I345" s="12" t="n">
        <f aca="false">MROUND('Rate Card'!$K$24*O345*P345,10)</f>
        <v>1430</v>
      </c>
      <c r="J345" s="12" t="n">
        <f aca="false">MROUND(H345*4*'Rate Card'!$B$47,100)</f>
        <v>11400</v>
      </c>
      <c r="K345" s="12" t="n">
        <f aca="false">MROUND(I345*4*'Rate Card'!$B$47,100)</f>
        <v>5400</v>
      </c>
      <c r="L345" s="12" t="n">
        <f aca="false">MROUND(H345*120*'Rate Card'!$B$48,500)</f>
        <v>305000</v>
      </c>
      <c r="M345" s="12" t="n">
        <f aca="false">MROUND(I345*120*'Rate Card'!$B$48,500)</f>
        <v>146000</v>
      </c>
      <c r="N345" s="14"/>
      <c r="O345" s="46" t="n">
        <v>0.92</v>
      </c>
      <c r="P345" s="46" t="n">
        <v>1</v>
      </c>
    </row>
    <row r="346" customFormat="false" ht="15" hidden="false" customHeight="true" outlineLevel="0" collapsed="false">
      <c r="A346" s="9" t="n">
        <v>322</v>
      </c>
      <c r="B346" s="43" t="s">
        <v>131</v>
      </c>
      <c r="C346" s="43" t="s">
        <v>394</v>
      </c>
      <c r="D346" s="44" t="s">
        <v>1008</v>
      </c>
      <c r="E346" s="43" t="s">
        <v>1009</v>
      </c>
      <c r="F346" s="45" t="s">
        <v>397</v>
      </c>
      <c r="G346" s="45" t="s">
        <v>1010</v>
      </c>
      <c r="H346" s="12" t="n">
        <f aca="false">MROUND('Rate Card'!$I$24*O346*P346,10)</f>
        <v>2990</v>
      </c>
      <c r="I346" s="12" t="n">
        <f aca="false">MROUND('Rate Card'!$K$24*O346*P346,10)</f>
        <v>1430</v>
      </c>
      <c r="J346" s="12" t="n">
        <f aca="false">MROUND(H346*4*'Rate Card'!$B$47,100)</f>
        <v>11400</v>
      </c>
      <c r="K346" s="12" t="n">
        <f aca="false">MROUND(I346*4*'Rate Card'!$B$47,100)</f>
        <v>5400</v>
      </c>
      <c r="L346" s="12" t="n">
        <f aca="false">MROUND(H346*120*'Rate Card'!$B$48,500)</f>
        <v>305000</v>
      </c>
      <c r="M346" s="12" t="n">
        <f aca="false">MROUND(I346*120*'Rate Card'!$B$48,500)</f>
        <v>146000</v>
      </c>
      <c r="N346" s="14"/>
      <c r="O346" s="46" t="n">
        <v>0.92</v>
      </c>
      <c r="P346" s="46" t="n">
        <v>1</v>
      </c>
    </row>
    <row r="347" customFormat="false" ht="15" hidden="false" customHeight="true" outlineLevel="0" collapsed="false">
      <c r="A347" s="9" t="n">
        <v>323</v>
      </c>
      <c r="B347" s="43" t="s">
        <v>131</v>
      </c>
      <c r="C347" s="43" t="s">
        <v>394</v>
      </c>
      <c r="D347" s="44" t="s">
        <v>1011</v>
      </c>
      <c r="E347" s="43" t="s">
        <v>1012</v>
      </c>
      <c r="F347" s="45" t="s">
        <v>318</v>
      </c>
      <c r="G347" s="45" t="s">
        <v>1013</v>
      </c>
      <c r="H347" s="12" t="n">
        <f aca="false">MROUND('Rate Card'!$I$24*O347*P347,10)</f>
        <v>2990</v>
      </c>
      <c r="I347" s="12" t="n">
        <f aca="false">MROUND('Rate Card'!$K$24*O347*P347,10)</f>
        <v>1430</v>
      </c>
      <c r="J347" s="12" t="n">
        <f aca="false">MROUND(H347*4*'Rate Card'!$B$47,100)</f>
        <v>11400</v>
      </c>
      <c r="K347" s="12" t="n">
        <f aca="false">MROUND(I347*4*'Rate Card'!$B$47,100)</f>
        <v>5400</v>
      </c>
      <c r="L347" s="12" t="n">
        <f aca="false">MROUND(H347*120*'Rate Card'!$B$48,500)</f>
        <v>305000</v>
      </c>
      <c r="M347" s="12" t="n">
        <f aca="false">MROUND(I347*120*'Rate Card'!$B$48,500)</f>
        <v>146000</v>
      </c>
      <c r="N347" s="14"/>
      <c r="O347" s="46" t="n">
        <v>0.92</v>
      </c>
      <c r="P347" s="46" t="n">
        <v>1</v>
      </c>
    </row>
    <row r="348" customFormat="false" ht="15" hidden="false" customHeight="true" outlineLevel="0" collapsed="false">
      <c r="A348" s="9" t="n">
        <v>324</v>
      </c>
      <c r="B348" s="43" t="s">
        <v>131</v>
      </c>
      <c r="C348" s="43" t="s">
        <v>394</v>
      </c>
      <c r="D348" s="44" t="s">
        <v>1014</v>
      </c>
      <c r="E348" s="43" t="s">
        <v>1012</v>
      </c>
      <c r="F348" s="45" t="s">
        <v>297</v>
      </c>
      <c r="G348" s="45" t="s">
        <v>1015</v>
      </c>
      <c r="H348" s="12" t="n">
        <f aca="false">MROUND('Rate Card'!$I$24*O348*P348,10)</f>
        <v>2990</v>
      </c>
      <c r="I348" s="12" t="n">
        <f aca="false">MROUND('Rate Card'!$K$24*O348*P348,10)</f>
        <v>1430</v>
      </c>
      <c r="J348" s="12" t="n">
        <f aca="false">MROUND(H348*4*'Rate Card'!$B$47,100)</f>
        <v>11400</v>
      </c>
      <c r="K348" s="12" t="n">
        <f aca="false">MROUND(I348*4*'Rate Card'!$B$47,100)</f>
        <v>5400</v>
      </c>
      <c r="L348" s="12" t="n">
        <f aca="false">MROUND(H348*120*'Rate Card'!$B$48,500)</f>
        <v>305000</v>
      </c>
      <c r="M348" s="12" t="n">
        <f aca="false">MROUND(I348*120*'Rate Card'!$B$48,500)</f>
        <v>146000</v>
      </c>
      <c r="N348" s="14"/>
      <c r="O348" s="46" t="n">
        <v>0.92</v>
      </c>
      <c r="P348" s="46" t="n">
        <v>1</v>
      </c>
    </row>
    <row r="349" customFormat="false" ht="15" hidden="false" customHeight="true" outlineLevel="0" collapsed="false">
      <c r="A349" s="9" t="n">
        <v>325</v>
      </c>
      <c r="B349" s="43" t="s">
        <v>131</v>
      </c>
      <c r="C349" s="43" t="s">
        <v>394</v>
      </c>
      <c r="D349" s="44" t="s">
        <v>1016</v>
      </c>
      <c r="E349" s="43" t="s">
        <v>1012</v>
      </c>
      <c r="F349" s="45" t="s">
        <v>297</v>
      </c>
      <c r="G349" s="45" t="s">
        <v>1017</v>
      </c>
      <c r="H349" s="12" t="n">
        <f aca="false">MROUND('Rate Card'!$I$24*O349*P349,10)</f>
        <v>2990</v>
      </c>
      <c r="I349" s="12" t="n">
        <f aca="false">MROUND('Rate Card'!$K$24*O349*P349,10)</f>
        <v>1430</v>
      </c>
      <c r="J349" s="12" t="n">
        <f aca="false">MROUND(H349*4*'Rate Card'!$B$47,100)</f>
        <v>11400</v>
      </c>
      <c r="K349" s="12" t="n">
        <f aca="false">MROUND(I349*4*'Rate Card'!$B$47,100)</f>
        <v>5400</v>
      </c>
      <c r="L349" s="12" t="n">
        <f aca="false">MROUND(H349*120*'Rate Card'!$B$48,500)</f>
        <v>305000</v>
      </c>
      <c r="M349" s="12" t="n">
        <f aca="false">MROUND(I349*120*'Rate Card'!$B$48,500)</f>
        <v>146000</v>
      </c>
      <c r="N349" s="14"/>
      <c r="O349" s="46" t="n">
        <v>0.92</v>
      </c>
      <c r="P349" s="46" t="n">
        <v>1</v>
      </c>
    </row>
    <row r="350" customFormat="false" ht="15" hidden="false" customHeight="true" outlineLevel="0" collapsed="false">
      <c r="A350" s="9" t="n">
        <v>326</v>
      </c>
      <c r="B350" s="43" t="s">
        <v>131</v>
      </c>
      <c r="C350" s="43" t="s">
        <v>394</v>
      </c>
      <c r="D350" s="44" t="s">
        <v>1018</v>
      </c>
      <c r="E350" s="43" t="s">
        <v>1012</v>
      </c>
      <c r="F350" s="45" t="s">
        <v>297</v>
      </c>
      <c r="G350" s="45" t="s">
        <v>1019</v>
      </c>
      <c r="H350" s="12" t="n">
        <f aca="false">MROUND('Rate Card'!$I$24*O350*P350,10)</f>
        <v>2990</v>
      </c>
      <c r="I350" s="12" t="n">
        <f aca="false">MROUND('Rate Card'!$K$24*O350*P350,10)</f>
        <v>1430</v>
      </c>
      <c r="J350" s="12" t="n">
        <f aca="false">MROUND(H350*4*'Rate Card'!$B$47,100)</f>
        <v>11400</v>
      </c>
      <c r="K350" s="12" t="n">
        <f aca="false">MROUND(I350*4*'Rate Card'!$B$47,100)</f>
        <v>5400</v>
      </c>
      <c r="L350" s="12" t="n">
        <f aca="false">MROUND(H350*120*'Rate Card'!$B$48,500)</f>
        <v>305000</v>
      </c>
      <c r="M350" s="12" t="n">
        <f aca="false">MROUND(I350*120*'Rate Card'!$B$48,500)</f>
        <v>146000</v>
      </c>
      <c r="N350" s="14"/>
      <c r="O350" s="46" t="n">
        <v>0.92</v>
      </c>
      <c r="P350" s="46" t="n">
        <v>1</v>
      </c>
    </row>
    <row r="351" customFormat="false" ht="15" hidden="false" customHeight="true" outlineLevel="0" collapsed="false">
      <c r="A351" s="9" t="n">
        <v>327</v>
      </c>
      <c r="B351" s="43" t="s">
        <v>131</v>
      </c>
      <c r="C351" s="43" t="s">
        <v>394</v>
      </c>
      <c r="D351" s="44" t="s">
        <v>1020</v>
      </c>
      <c r="E351" s="43" t="s">
        <v>1012</v>
      </c>
      <c r="F351" s="45" t="s">
        <v>297</v>
      </c>
      <c r="G351" s="45" t="s">
        <v>1021</v>
      </c>
      <c r="H351" s="12" t="n">
        <f aca="false">MROUND('Rate Card'!$I$24*O351*P351,10)</f>
        <v>2990</v>
      </c>
      <c r="I351" s="12" t="n">
        <f aca="false">MROUND('Rate Card'!$K$24*O351*P351,10)</f>
        <v>1430</v>
      </c>
      <c r="J351" s="12" t="n">
        <f aca="false">MROUND(H351*4*'Rate Card'!$B$47,100)</f>
        <v>11400</v>
      </c>
      <c r="K351" s="12" t="n">
        <f aca="false">MROUND(I351*4*'Rate Card'!$B$47,100)</f>
        <v>5400</v>
      </c>
      <c r="L351" s="12" t="n">
        <f aca="false">MROUND(H351*120*'Rate Card'!$B$48,500)</f>
        <v>305000</v>
      </c>
      <c r="M351" s="12" t="n">
        <f aca="false">MROUND(I351*120*'Rate Card'!$B$48,500)</f>
        <v>146000</v>
      </c>
      <c r="N351" s="14"/>
      <c r="O351" s="46" t="n">
        <v>0.92</v>
      </c>
      <c r="P351" s="46" t="n">
        <v>1</v>
      </c>
    </row>
    <row r="352" customFormat="false" ht="15" hidden="false" customHeight="true" outlineLevel="0" collapsed="false">
      <c r="A352" s="9" t="n">
        <v>328</v>
      </c>
      <c r="B352" s="43" t="s">
        <v>131</v>
      </c>
      <c r="C352" s="43" t="s">
        <v>394</v>
      </c>
      <c r="D352" s="44" t="s">
        <v>1022</v>
      </c>
      <c r="E352" s="43" t="s">
        <v>1012</v>
      </c>
      <c r="F352" s="45" t="s">
        <v>297</v>
      </c>
      <c r="G352" s="45" t="s">
        <v>1023</v>
      </c>
      <c r="H352" s="12" t="n">
        <f aca="false">MROUND('Rate Card'!$I$24*O352*P352,10)</f>
        <v>2990</v>
      </c>
      <c r="I352" s="12" t="n">
        <f aca="false">MROUND('Rate Card'!$K$24*O352*P352,10)</f>
        <v>1430</v>
      </c>
      <c r="J352" s="12" t="n">
        <f aca="false">MROUND(H352*4*'Rate Card'!$B$47,100)</f>
        <v>11400</v>
      </c>
      <c r="K352" s="12" t="n">
        <f aca="false">MROUND(I352*4*'Rate Card'!$B$47,100)</f>
        <v>5400</v>
      </c>
      <c r="L352" s="12" t="n">
        <f aca="false">MROUND(H352*120*'Rate Card'!$B$48,500)</f>
        <v>305000</v>
      </c>
      <c r="M352" s="12" t="n">
        <f aca="false">MROUND(I352*120*'Rate Card'!$B$48,500)</f>
        <v>146000</v>
      </c>
      <c r="N352" s="14"/>
      <c r="O352" s="46" t="n">
        <v>0.92</v>
      </c>
      <c r="P352" s="46" t="n">
        <v>1</v>
      </c>
    </row>
    <row r="353" customFormat="false" ht="15" hidden="false" customHeight="true" outlineLevel="0" collapsed="false">
      <c r="A353" s="9" t="n">
        <v>329</v>
      </c>
      <c r="B353" s="43" t="s">
        <v>131</v>
      </c>
      <c r="C353" s="43" t="s">
        <v>394</v>
      </c>
      <c r="D353" s="44" t="s">
        <v>1024</v>
      </c>
      <c r="E353" s="43" t="s">
        <v>1012</v>
      </c>
      <c r="F353" s="45" t="s">
        <v>297</v>
      </c>
      <c r="G353" s="45" t="s">
        <v>1025</v>
      </c>
      <c r="H353" s="12" t="n">
        <f aca="false">MROUND('Rate Card'!$I$24*O353*P353,10)</f>
        <v>2990</v>
      </c>
      <c r="I353" s="12" t="n">
        <f aca="false">MROUND('Rate Card'!$K$24*O353*P353,10)</f>
        <v>1430</v>
      </c>
      <c r="J353" s="12" t="n">
        <f aca="false">MROUND(H353*4*'Rate Card'!$B$47,100)</f>
        <v>11400</v>
      </c>
      <c r="K353" s="12" t="n">
        <f aca="false">MROUND(I353*4*'Rate Card'!$B$47,100)</f>
        <v>5400</v>
      </c>
      <c r="L353" s="12" t="n">
        <f aca="false">MROUND(H353*120*'Rate Card'!$B$48,500)</f>
        <v>305000</v>
      </c>
      <c r="M353" s="12" t="n">
        <f aca="false">MROUND(I353*120*'Rate Card'!$B$48,500)</f>
        <v>146000</v>
      </c>
      <c r="N353" s="14"/>
      <c r="O353" s="46" t="n">
        <v>0.92</v>
      </c>
      <c r="P353" s="46" t="n">
        <v>1</v>
      </c>
    </row>
    <row r="354" customFormat="false" ht="15" hidden="false" customHeight="true" outlineLevel="0" collapsed="false">
      <c r="A354" s="9" t="n">
        <v>330</v>
      </c>
      <c r="B354" s="43" t="s">
        <v>131</v>
      </c>
      <c r="C354" s="43" t="s">
        <v>394</v>
      </c>
      <c r="D354" s="44" t="s">
        <v>1026</v>
      </c>
      <c r="E354" s="43" t="s">
        <v>1012</v>
      </c>
      <c r="F354" s="45" t="s">
        <v>297</v>
      </c>
      <c r="G354" s="45" t="s">
        <v>1027</v>
      </c>
      <c r="H354" s="12" t="n">
        <f aca="false">MROUND('Rate Card'!$I$24*O354*P354,10)</f>
        <v>2990</v>
      </c>
      <c r="I354" s="12" t="n">
        <f aca="false">MROUND('Rate Card'!$K$24*O354*P354,10)</f>
        <v>1430</v>
      </c>
      <c r="J354" s="12" t="n">
        <f aca="false">MROUND(H354*4*'Rate Card'!$B$47,100)</f>
        <v>11400</v>
      </c>
      <c r="K354" s="12" t="n">
        <f aca="false">MROUND(I354*4*'Rate Card'!$B$47,100)</f>
        <v>5400</v>
      </c>
      <c r="L354" s="12" t="n">
        <f aca="false">MROUND(H354*120*'Rate Card'!$B$48,500)</f>
        <v>305000</v>
      </c>
      <c r="M354" s="12" t="n">
        <f aca="false">MROUND(I354*120*'Rate Card'!$B$48,500)</f>
        <v>146000</v>
      </c>
      <c r="N354" s="14"/>
      <c r="O354" s="46" t="n">
        <v>0.92</v>
      </c>
      <c r="P354" s="46" t="n">
        <v>1</v>
      </c>
    </row>
    <row r="355" customFormat="false" ht="15" hidden="false" customHeight="true" outlineLevel="0" collapsed="false">
      <c r="A355" s="9" t="n">
        <v>331</v>
      </c>
      <c r="B355" s="43" t="s">
        <v>131</v>
      </c>
      <c r="C355" s="43" t="s">
        <v>394</v>
      </c>
      <c r="D355" s="44" t="s">
        <v>1028</v>
      </c>
      <c r="E355" s="43" t="s">
        <v>1012</v>
      </c>
      <c r="F355" s="45" t="s">
        <v>297</v>
      </c>
      <c r="G355" s="45" t="s">
        <v>1029</v>
      </c>
      <c r="H355" s="12" t="n">
        <f aca="false">MROUND('Rate Card'!$I$24*O355*P355,10)</f>
        <v>2990</v>
      </c>
      <c r="I355" s="12" t="n">
        <f aca="false">MROUND('Rate Card'!$K$24*O355*P355,10)</f>
        <v>1430</v>
      </c>
      <c r="J355" s="12" t="n">
        <f aca="false">MROUND(H355*4*'Rate Card'!$B$47,100)</f>
        <v>11400</v>
      </c>
      <c r="K355" s="12" t="n">
        <f aca="false">MROUND(I355*4*'Rate Card'!$B$47,100)</f>
        <v>5400</v>
      </c>
      <c r="L355" s="12" t="n">
        <f aca="false">MROUND(H355*120*'Rate Card'!$B$48,500)</f>
        <v>305000</v>
      </c>
      <c r="M355" s="12" t="n">
        <f aca="false">MROUND(I355*120*'Rate Card'!$B$48,500)</f>
        <v>146000</v>
      </c>
      <c r="N355" s="14"/>
      <c r="O355" s="46" t="n">
        <v>0.92</v>
      </c>
      <c r="P355" s="46" t="n">
        <v>1</v>
      </c>
    </row>
    <row r="356" customFormat="false" ht="15" hidden="false" customHeight="true" outlineLevel="0" collapsed="false">
      <c r="A356" s="9" t="n">
        <v>332</v>
      </c>
      <c r="B356" s="43" t="s">
        <v>131</v>
      </c>
      <c r="C356" s="43" t="s">
        <v>394</v>
      </c>
      <c r="D356" s="44" t="s">
        <v>1030</v>
      </c>
      <c r="E356" s="43" t="s">
        <v>1012</v>
      </c>
      <c r="F356" s="45" t="s">
        <v>297</v>
      </c>
      <c r="G356" s="45" t="s">
        <v>1031</v>
      </c>
      <c r="H356" s="12" t="n">
        <f aca="false">MROUND('Rate Card'!$I$24*O356*P356,10)</f>
        <v>2990</v>
      </c>
      <c r="I356" s="12" t="n">
        <f aca="false">MROUND('Rate Card'!$K$24*O356*P356,10)</f>
        <v>1430</v>
      </c>
      <c r="J356" s="12" t="n">
        <f aca="false">MROUND(H356*4*'Rate Card'!$B$47,100)</f>
        <v>11400</v>
      </c>
      <c r="K356" s="12" t="n">
        <f aca="false">MROUND(I356*4*'Rate Card'!$B$47,100)</f>
        <v>5400</v>
      </c>
      <c r="L356" s="12" t="n">
        <f aca="false">MROUND(H356*120*'Rate Card'!$B$48,500)</f>
        <v>305000</v>
      </c>
      <c r="M356" s="12" t="n">
        <f aca="false">MROUND(I356*120*'Rate Card'!$B$48,500)</f>
        <v>146000</v>
      </c>
      <c r="N356" s="14"/>
      <c r="O356" s="46" t="n">
        <v>0.92</v>
      </c>
      <c r="P356" s="46" t="n">
        <v>1</v>
      </c>
    </row>
    <row r="357" customFormat="false" ht="15" hidden="false" customHeight="true" outlineLevel="0" collapsed="false">
      <c r="A357" s="9" t="n">
        <v>333</v>
      </c>
      <c r="B357" s="43" t="s">
        <v>131</v>
      </c>
      <c r="C357" s="43" t="s">
        <v>394</v>
      </c>
      <c r="D357" s="44" t="s">
        <v>1032</v>
      </c>
      <c r="E357" s="43" t="s">
        <v>986</v>
      </c>
      <c r="F357" s="45" t="s">
        <v>318</v>
      </c>
      <c r="G357" s="45" t="s">
        <v>1033</v>
      </c>
      <c r="H357" s="12" t="n">
        <f aca="false">MROUND('Rate Card'!$I$24*O357*P357,10)</f>
        <v>2990</v>
      </c>
      <c r="I357" s="12" t="n">
        <f aca="false">MROUND('Rate Card'!$K$24*O357*P357,10)</f>
        <v>1430</v>
      </c>
      <c r="J357" s="12" t="n">
        <f aca="false">MROUND(H357*4*'Rate Card'!$B$47,100)</f>
        <v>11400</v>
      </c>
      <c r="K357" s="12" t="n">
        <f aca="false">MROUND(I357*4*'Rate Card'!$B$47,100)</f>
        <v>5400</v>
      </c>
      <c r="L357" s="12" t="n">
        <f aca="false">MROUND(H357*120*'Rate Card'!$B$48,500)</f>
        <v>305000</v>
      </c>
      <c r="M357" s="12" t="n">
        <f aca="false">MROUND(I357*120*'Rate Card'!$B$48,500)</f>
        <v>146000</v>
      </c>
      <c r="N357" s="14"/>
      <c r="O357" s="46" t="n">
        <v>0.92</v>
      </c>
      <c r="P357" s="46" t="n">
        <v>1</v>
      </c>
    </row>
    <row r="358" customFormat="false" ht="15" hidden="false" customHeight="true" outlineLevel="0" collapsed="false">
      <c r="A358" s="9" t="n">
        <v>334</v>
      </c>
      <c r="B358" s="43" t="s">
        <v>131</v>
      </c>
      <c r="C358" s="43" t="s">
        <v>394</v>
      </c>
      <c r="D358" s="44" t="s">
        <v>1034</v>
      </c>
      <c r="E358" s="43" t="s">
        <v>986</v>
      </c>
      <c r="F358" s="45" t="s">
        <v>297</v>
      </c>
      <c r="G358" s="45" t="s">
        <v>1035</v>
      </c>
      <c r="H358" s="12" t="n">
        <f aca="false">MROUND('Rate Card'!$I$24*O358*P358,10)</f>
        <v>2990</v>
      </c>
      <c r="I358" s="12" t="n">
        <f aca="false">MROUND('Rate Card'!$K$24*O358*P358,10)</f>
        <v>1430</v>
      </c>
      <c r="J358" s="12" t="n">
        <f aca="false">MROUND(H358*4*'Rate Card'!$B$47,100)</f>
        <v>11400</v>
      </c>
      <c r="K358" s="12" t="n">
        <f aca="false">MROUND(I358*4*'Rate Card'!$B$47,100)</f>
        <v>5400</v>
      </c>
      <c r="L358" s="12" t="n">
        <f aca="false">MROUND(H358*120*'Rate Card'!$B$48,500)</f>
        <v>305000</v>
      </c>
      <c r="M358" s="12" t="n">
        <f aca="false">MROUND(I358*120*'Rate Card'!$B$48,500)</f>
        <v>146000</v>
      </c>
      <c r="N358" s="14"/>
      <c r="O358" s="46" t="n">
        <v>0.92</v>
      </c>
      <c r="P358" s="46" t="n">
        <v>1</v>
      </c>
    </row>
    <row r="359" customFormat="false" ht="15" hidden="false" customHeight="true" outlineLevel="0" collapsed="false">
      <c r="A359" s="9" t="n">
        <v>335</v>
      </c>
      <c r="B359" s="43" t="s">
        <v>131</v>
      </c>
      <c r="C359" s="43" t="s">
        <v>394</v>
      </c>
      <c r="D359" s="44" t="s">
        <v>1036</v>
      </c>
      <c r="E359" s="43" t="s">
        <v>986</v>
      </c>
      <c r="F359" s="45" t="s">
        <v>297</v>
      </c>
      <c r="G359" s="45" t="s">
        <v>1037</v>
      </c>
      <c r="H359" s="12" t="n">
        <f aca="false">MROUND('Rate Card'!$I$24*O359*P359,10)</f>
        <v>2990</v>
      </c>
      <c r="I359" s="12" t="n">
        <f aca="false">MROUND('Rate Card'!$K$24*O359*P359,10)</f>
        <v>1430</v>
      </c>
      <c r="J359" s="12" t="n">
        <f aca="false">MROUND(H359*4*'Rate Card'!$B$47,100)</f>
        <v>11400</v>
      </c>
      <c r="K359" s="12" t="n">
        <f aca="false">MROUND(I359*4*'Rate Card'!$B$47,100)</f>
        <v>5400</v>
      </c>
      <c r="L359" s="12" t="n">
        <f aca="false">MROUND(H359*120*'Rate Card'!$B$48,500)</f>
        <v>305000</v>
      </c>
      <c r="M359" s="12" t="n">
        <f aca="false">MROUND(I359*120*'Rate Card'!$B$48,500)</f>
        <v>146000</v>
      </c>
      <c r="N359" s="14"/>
      <c r="O359" s="46" t="n">
        <v>0.92</v>
      </c>
      <c r="P359" s="46" t="n">
        <v>1</v>
      </c>
    </row>
    <row r="360" customFormat="false" ht="15" hidden="false" customHeight="true" outlineLevel="0" collapsed="false">
      <c r="A360" s="9" t="n">
        <v>336</v>
      </c>
      <c r="B360" s="43" t="s">
        <v>131</v>
      </c>
      <c r="C360" s="43" t="s">
        <v>738</v>
      </c>
      <c r="D360" s="44" t="s">
        <v>1038</v>
      </c>
      <c r="E360" s="43" t="s">
        <v>1039</v>
      </c>
      <c r="F360" s="45" t="s">
        <v>380</v>
      </c>
      <c r="G360" s="45" t="s">
        <v>1040</v>
      </c>
      <c r="H360" s="12" t="n">
        <f aca="false">MROUND('Rate Card'!$I$24*O360*P360,10)</f>
        <v>2670</v>
      </c>
      <c r="I360" s="12" t="n">
        <f aca="false">MROUND('Rate Card'!$K$24*O360*P360,10)</f>
        <v>1270</v>
      </c>
      <c r="J360" s="12" t="n">
        <f aca="false">MROUND(H360*4*'Rate Card'!$B$47,100)</f>
        <v>10100</v>
      </c>
      <c r="K360" s="12" t="n">
        <f aca="false">MROUND(I360*4*'Rate Card'!$B$47,100)</f>
        <v>4800</v>
      </c>
      <c r="L360" s="12" t="n">
        <f aca="false">MROUND(H360*120*'Rate Card'!$B$48,500)</f>
        <v>272500</v>
      </c>
      <c r="M360" s="12" t="n">
        <f aca="false">MROUND(I360*120*'Rate Card'!$B$48,500)</f>
        <v>129500</v>
      </c>
      <c r="N360" s="14"/>
      <c r="O360" s="46" t="n">
        <v>0.82</v>
      </c>
      <c r="P360" s="46" t="n">
        <v>1</v>
      </c>
    </row>
    <row r="361" customFormat="false" ht="15" hidden="false" customHeight="true" outlineLevel="0" collapsed="false">
      <c r="A361" s="9" t="n">
        <v>337</v>
      </c>
      <c r="B361" s="43" t="s">
        <v>131</v>
      </c>
      <c r="C361" s="43" t="s">
        <v>394</v>
      </c>
      <c r="D361" s="44" t="s">
        <v>1041</v>
      </c>
      <c r="E361" s="43" t="s">
        <v>1039</v>
      </c>
      <c r="F361" s="45" t="s">
        <v>380</v>
      </c>
      <c r="G361" s="45" t="s">
        <v>1042</v>
      </c>
      <c r="H361" s="12" t="n">
        <f aca="false">MROUND('Rate Card'!$I$24*O361*P361,10)</f>
        <v>2670</v>
      </c>
      <c r="I361" s="12" t="n">
        <f aca="false">MROUND('Rate Card'!$K$24*O361*P361,10)</f>
        <v>1270</v>
      </c>
      <c r="J361" s="12" t="n">
        <f aca="false">MROUND(H361*4*'Rate Card'!$B$47,100)</f>
        <v>10100</v>
      </c>
      <c r="K361" s="12" t="n">
        <f aca="false">MROUND(I361*4*'Rate Card'!$B$47,100)</f>
        <v>4800</v>
      </c>
      <c r="L361" s="12" t="n">
        <f aca="false">MROUND(H361*120*'Rate Card'!$B$48,500)</f>
        <v>272500</v>
      </c>
      <c r="M361" s="12" t="n">
        <f aca="false">MROUND(I361*120*'Rate Card'!$B$48,500)</f>
        <v>129500</v>
      </c>
      <c r="N361" s="14"/>
      <c r="O361" s="46" t="n">
        <v>0.82</v>
      </c>
      <c r="P361" s="46" t="n">
        <v>1</v>
      </c>
    </row>
    <row r="362" customFormat="false" ht="15" hidden="false" customHeight="true" outlineLevel="0" collapsed="false">
      <c r="A362" s="9" t="n">
        <v>338</v>
      </c>
      <c r="B362" s="43" t="s">
        <v>131</v>
      </c>
      <c r="C362" s="43" t="s">
        <v>738</v>
      </c>
      <c r="D362" s="44" t="s">
        <v>1043</v>
      </c>
      <c r="E362" s="43" t="s">
        <v>1044</v>
      </c>
      <c r="F362" s="45" t="s">
        <v>310</v>
      </c>
      <c r="G362" s="45" t="s">
        <v>1045</v>
      </c>
      <c r="H362" s="12" t="n">
        <f aca="false">MROUND('Rate Card'!$I$24*O362*P362,10)</f>
        <v>2670</v>
      </c>
      <c r="I362" s="12" t="n">
        <f aca="false">MROUND('Rate Card'!$K$24*O362*P362,10)</f>
        <v>1270</v>
      </c>
      <c r="J362" s="12" t="n">
        <f aca="false">MROUND(H362*4*'Rate Card'!$B$47,100)</f>
        <v>10100</v>
      </c>
      <c r="K362" s="12" t="n">
        <f aca="false">MROUND(I362*4*'Rate Card'!$B$47,100)</f>
        <v>4800</v>
      </c>
      <c r="L362" s="12" t="n">
        <f aca="false">MROUND(H362*120*'Rate Card'!$B$48,500)</f>
        <v>272500</v>
      </c>
      <c r="M362" s="12" t="n">
        <f aca="false">MROUND(I362*120*'Rate Card'!$B$48,500)</f>
        <v>129500</v>
      </c>
      <c r="N362" s="14"/>
      <c r="O362" s="46" t="n">
        <v>0.82</v>
      </c>
      <c r="P362" s="46" t="n">
        <v>1</v>
      </c>
    </row>
    <row r="363" customFormat="false" ht="15" hidden="false" customHeight="true" outlineLevel="0" collapsed="false">
      <c r="A363" s="9" t="n">
        <v>339</v>
      </c>
      <c r="B363" s="43" t="s">
        <v>131</v>
      </c>
      <c r="C363" s="43" t="s">
        <v>738</v>
      </c>
      <c r="D363" s="44" t="s">
        <v>1046</v>
      </c>
      <c r="E363" s="43" t="s">
        <v>1044</v>
      </c>
      <c r="F363" s="45" t="s">
        <v>423</v>
      </c>
      <c r="G363" s="45" t="s">
        <v>1047</v>
      </c>
      <c r="H363" s="12" t="n">
        <f aca="false">MROUND('Rate Card'!$I$24*O363*P363,10)</f>
        <v>2670</v>
      </c>
      <c r="I363" s="12" t="n">
        <f aca="false">MROUND('Rate Card'!$K$24*O363*P363,10)</f>
        <v>1270</v>
      </c>
      <c r="J363" s="12" t="n">
        <f aca="false">MROUND(H363*4*'Rate Card'!$B$47,100)</f>
        <v>10100</v>
      </c>
      <c r="K363" s="12" t="n">
        <f aca="false">MROUND(I363*4*'Rate Card'!$B$47,100)</f>
        <v>4800</v>
      </c>
      <c r="L363" s="12" t="n">
        <f aca="false">MROUND(H363*120*'Rate Card'!$B$48,500)</f>
        <v>272500</v>
      </c>
      <c r="M363" s="12" t="n">
        <f aca="false">MROUND(I363*120*'Rate Card'!$B$48,500)</f>
        <v>129500</v>
      </c>
      <c r="N363" s="14"/>
      <c r="O363" s="46" t="n">
        <v>0.82</v>
      </c>
      <c r="P363" s="46" t="n">
        <v>1</v>
      </c>
    </row>
    <row r="364" customFormat="false" ht="15" hidden="false" customHeight="true" outlineLevel="0" collapsed="false">
      <c r="A364" s="9" t="n">
        <v>340</v>
      </c>
      <c r="B364" s="43" t="s">
        <v>131</v>
      </c>
      <c r="C364" s="43" t="s">
        <v>738</v>
      </c>
      <c r="D364" s="44" t="s">
        <v>1048</v>
      </c>
      <c r="E364" s="43" t="s">
        <v>1044</v>
      </c>
      <c r="F364" s="45" t="s">
        <v>310</v>
      </c>
      <c r="G364" s="45" t="s">
        <v>1049</v>
      </c>
      <c r="H364" s="12" t="n">
        <f aca="false">MROUND('Rate Card'!$I$24*O364*P364,10)</f>
        <v>2670</v>
      </c>
      <c r="I364" s="12" t="n">
        <f aca="false">MROUND('Rate Card'!$K$24*O364*P364,10)</f>
        <v>1270</v>
      </c>
      <c r="J364" s="12" t="n">
        <f aca="false">MROUND(H364*4*'Rate Card'!$B$47,100)</f>
        <v>10100</v>
      </c>
      <c r="K364" s="12" t="n">
        <f aca="false">MROUND(I364*4*'Rate Card'!$B$47,100)</f>
        <v>4800</v>
      </c>
      <c r="L364" s="12" t="n">
        <f aca="false">MROUND(H364*120*'Rate Card'!$B$48,500)</f>
        <v>272500</v>
      </c>
      <c r="M364" s="12" t="n">
        <f aca="false">MROUND(I364*120*'Rate Card'!$B$48,500)</f>
        <v>129500</v>
      </c>
      <c r="N364" s="14"/>
      <c r="O364" s="46" t="n">
        <v>0.82</v>
      </c>
      <c r="P364" s="46" t="n">
        <v>1</v>
      </c>
    </row>
    <row r="365" customFormat="false" ht="15" hidden="false" customHeight="true" outlineLevel="0" collapsed="false">
      <c r="A365" s="9" t="n">
        <v>341</v>
      </c>
      <c r="B365" s="43" t="s">
        <v>131</v>
      </c>
      <c r="C365" s="43" t="s">
        <v>738</v>
      </c>
      <c r="D365" s="44" t="s">
        <v>1050</v>
      </c>
      <c r="E365" s="43" t="s">
        <v>1051</v>
      </c>
      <c r="F365" s="45" t="s">
        <v>310</v>
      </c>
      <c r="G365" s="45" t="s">
        <v>1052</v>
      </c>
      <c r="H365" s="12" t="n">
        <f aca="false">MROUND('Rate Card'!$I$24*O365*P365,10)</f>
        <v>2670</v>
      </c>
      <c r="I365" s="12" t="n">
        <f aca="false">MROUND('Rate Card'!$K$24*O365*P365,10)</f>
        <v>1270</v>
      </c>
      <c r="J365" s="12" t="n">
        <f aca="false">MROUND(H365*4*'Rate Card'!$B$47,100)</f>
        <v>10100</v>
      </c>
      <c r="K365" s="12" t="n">
        <f aca="false">MROUND(I365*4*'Rate Card'!$B$47,100)</f>
        <v>4800</v>
      </c>
      <c r="L365" s="12" t="n">
        <f aca="false">MROUND(H365*120*'Rate Card'!$B$48,500)</f>
        <v>272500</v>
      </c>
      <c r="M365" s="12" t="n">
        <f aca="false">MROUND(I365*120*'Rate Card'!$B$48,500)</f>
        <v>129500</v>
      </c>
      <c r="N365" s="14"/>
      <c r="O365" s="46" t="n">
        <v>0.82</v>
      </c>
      <c r="P365" s="46" t="n">
        <v>1</v>
      </c>
    </row>
    <row r="366" customFormat="false" ht="15" hidden="false" customHeight="true" outlineLevel="0" collapsed="false">
      <c r="A366" s="9" t="n">
        <v>342</v>
      </c>
      <c r="B366" s="43" t="s">
        <v>131</v>
      </c>
      <c r="C366" s="43" t="s">
        <v>738</v>
      </c>
      <c r="D366" s="44" t="s">
        <v>1053</v>
      </c>
      <c r="E366" s="43" t="s">
        <v>1051</v>
      </c>
      <c r="F366" s="45" t="s">
        <v>310</v>
      </c>
      <c r="G366" s="45" t="s">
        <v>1054</v>
      </c>
      <c r="H366" s="12" t="n">
        <f aca="false">MROUND('Rate Card'!$I$24*O366*P366,10)</f>
        <v>2670</v>
      </c>
      <c r="I366" s="12" t="n">
        <f aca="false">MROUND('Rate Card'!$K$24*O366*P366,10)</f>
        <v>1270</v>
      </c>
      <c r="J366" s="12" t="n">
        <f aca="false">MROUND(H366*4*'Rate Card'!$B$47,100)</f>
        <v>10100</v>
      </c>
      <c r="K366" s="12" t="n">
        <f aca="false">MROUND(I366*4*'Rate Card'!$B$47,100)</f>
        <v>4800</v>
      </c>
      <c r="L366" s="12" t="n">
        <f aca="false">MROUND(H366*120*'Rate Card'!$B$48,500)</f>
        <v>272500</v>
      </c>
      <c r="M366" s="12" t="n">
        <f aca="false">MROUND(I366*120*'Rate Card'!$B$48,500)</f>
        <v>129500</v>
      </c>
      <c r="N366" s="14"/>
      <c r="O366" s="46" t="n">
        <v>0.82</v>
      </c>
      <c r="P366" s="46" t="n">
        <v>1</v>
      </c>
    </row>
    <row r="367" customFormat="false" ht="15" hidden="false" customHeight="true" outlineLevel="0" collapsed="false">
      <c r="A367" s="9" t="n">
        <v>343</v>
      </c>
      <c r="B367" s="43" t="s">
        <v>131</v>
      </c>
      <c r="C367" s="43" t="s">
        <v>394</v>
      </c>
      <c r="D367" s="44" t="s">
        <v>1055</v>
      </c>
      <c r="E367" s="43" t="s">
        <v>1039</v>
      </c>
      <c r="F367" s="45" t="s">
        <v>310</v>
      </c>
      <c r="G367" s="45" t="s">
        <v>1056</v>
      </c>
      <c r="H367" s="12" t="n">
        <f aca="false">MROUND('Rate Card'!$I$24*O367*P367,10)</f>
        <v>2670</v>
      </c>
      <c r="I367" s="12" t="n">
        <f aca="false">MROUND('Rate Card'!$K$24*O367*P367,10)</f>
        <v>1270</v>
      </c>
      <c r="J367" s="12" t="n">
        <f aca="false">MROUND(H367*4*'Rate Card'!$B$47,100)</f>
        <v>10100</v>
      </c>
      <c r="K367" s="12" t="n">
        <f aca="false">MROUND(I367*4*'Rate Card'!$B$47,100)</f>
        <v>4800</v>
      </c>
      <c r="L367" s="12" t="n">
        <f aca="false">MROUND(H367*120*'Rate Card'!$B$48,500)</f>
        <v>272500</v>
      </c>
      <c r="M367" s="12" t="n">
        <f aca="false">MROUND(I367*120*'Rate Card'!$B$48,500)</f>
        <v>129500</v>
      </c>
      <c r="N367" s="14"/>
      <c r="O367" s="46" t="n">
        <v>0.82</v>
      </c>
      <c r="P367" s="46" t="n">
        <v>1</v>
      </c>
    </row>
    <row r="368" customFormat="false" ht="15" hidden="false" customHeight="true" outlineLevel="0" collapsed="false">
      <c r="A368" s="9" t="n">
        <v>344</v>
      </c>
      <c r="B368" s="43" t="s">
        <v>131</v>
      </c>
      <c r="C368" s="43" t="s">
        <v>394</v>
      </c>
      <c r="D368" s="44" t="s">
        <v>1057</v>
      </c>
      <c r="E368" s="43" t="s">
        <v>1039</v>
      </c>
      <c r="F368" s="45" t="s">
        <v>297</v>
      </c>
      <c r="G368" s="45" t="s">
        <v>1058</v>
      </c>
      <c r="H368" s="12" t="n">
        <f aca="false">MROUND('Rate Card'!$I$24*O368*P368,10)</f>
        <v>2670</v>
      </c>
      <c r="I368" s="12" t="n">
        <f aca="false">MROUND('Rate Card'!$K$24*O368*P368,10)</f>
        <v>1270</v>
      </c>
      <c r="J368" s="12" t="n">
        <f aca="false">MROUND(H368*4*'Rate Card'!$B$47,100)</f>
        <v>10100</v>
      </c>
      <c r="K368" s="12" t="n">
        <f aca="false">MROUND(I368*4*'Rate Card'!$B$47,100)</f>
        <v>4800</v>
      </c>
      <c r="L368" s="12" t="n">
        <f aca="false">MROUND(H368*120*'Rate Card'!$B$48,500)</f>
        <v>272500</v>
      </c>
      <c r="M368" s="12" t="n">
        <f aca="false">MROUND(I368*120*'Rate Card'!$B$48,500)</f>
        <v>129500</v>
      </c>
      <c r="N368" s="14"/>
      <c r="O368" s="46" t="n">
        <v>0.82</v>
      </c>
      <c r="P368" s="46" t="n">
        <v>1</v>
      </c>
    </row>
    <row r="369" customFormat="false" ht="15" hidden="false" customHeight="true" outlineLevel="0" collapsed="false">
      <c r="A369" s="9" t="n">
        <v>345</v>
      </c>
      <c r="B369" s="43" t="s">
        <v>131</v>
      </c>
      <c r="C369" s="43" t="s">
        <v>394</v>
      </c>
      <c r="D369" s="44" t="s">
        <v>1059</v>
      </c>
      <c r="E369" s="43" t="s">
        <v>1060</v>
      </c>
      <c r="F369" s="45" t="s">
        <v>310</v>
      </c>
      <c r="G369" s="45" t="s">
        <v>1061</v>
      </c>
      <c r="H369" s="12" t="n">
        <f aca="false">MROUND('Rate Card'!$I$24*O369*P369,10)</f>
        <v>2670</v>
      </c>
      <c r="I369" s="12" t="n">
        <f aca="false">MROUND('Rate Card'!$K$24*O369*P369,10)</f>
        <v>1270</v>
      </c>
      <c r="J369" s="12" t="n">
        <f aca="false">MROUND(H369*4*'Rate Card'!$B$47,100)</f>
        <v>10100</v>
      </c>
      <c r="K369" s="12" t="n">
        <f aca="false">MROUND(I369*4*'Rate Card'!$B$47,100)</f>
        <v>4800</v>
      </c>
      <c r="L369" s="12" t="n">
        <f aca="false">MROUND(H369*120*'Rate Card'!$B$48,500)</f>
        <v>272500</v>
      </c>
      <c r="M369" s="12" t="n">
        <f aca="false">MROUND(I369*120*'Rate Card'!$B$48,500)</f>
        <v>129500</v>
      </c>
      <c r="N369" s="14"/>
      <c r="O369" s="46" t="n">
        <v>0.82</v>
      </c>
      <c r="P369" s="46" t="n">
        <v>1</v>
      </c>
    </row>
    <row r="370" customFormat="false" ht="15" hidden="false" customHeight="true" outlineLevel="0" collapsed="false">
      <c r="A370" s="9" t="n">
        <v>346</v>
      </c>
      <c r="B370" s="43" t="s">
        <v>131</v>
      </c>
      <c r="C370" s="43" t="s">
        <v>394</v>
      </c>
      <c r="D370" s="44" t="s">
        <v>1062</v>
      </c>
      <c r="E370" s="43" t="s">
        <v>1060</v>
      </c>
      <c r="F370" s="45" t="s">
        <v>297</v>
      </c>
      <c r="G370" s="45" t="s">
        <v>1063</v>
      </c>
      <c r="H370" s="12" t="n">
        <f aca="false">MROUND('Rate Card'!$I$24*O370*P370,10)</f>
        <v>2670</v>
      </c>
      <c r="I370" s="12" t="n">
        <f aca="false">MROUND('Rate Card'!$K$24*O370*P370,10)</f>
        <v>1270</v>
      </c>
      <c r="J370" s="12" t="n">
        <f aca="false">MROUND(H370*4*'Rate Card'!$B$47,100)</f>
        <v>10100</v>
      </c>
      <c r="K370" s="12" t="n">
        <f aca="false">MROUND(I370*4*'Rate Card'!$B$47,100)</f>
        <v>4800</v>
      </c>
      <c r="L370" s="12" t="n">
        <f aca="false">MROUND(H370*120*'Rate Card'!$B$48,500)</f>
        <v>272500</v>
      </c>
      <c r="M370" s="12" t="n">
        <f aca="false">MROUND(I370*120*'Rate Card'!$B$48,500)</f>
        <v>129500</v>
      </c>
      <c r="N370" s="14"/>
      <c r="O370" s="46" t="n">
        <v>0.82</v>
      </c>
      <c r="P370" s="46" t="n">
        <v>1</v>
      </c>
    </row>
    <row r="371" customFormat="false" ht="15" hidden="false" customHeight="true" outlineLevel="0" collapsed="false">
      <c r="A371" s="9" t="n">
        <v>347</v>
      </c>
      <c r="B371" s="43" t="s">
        <v>131</v>
      </c>
      <c r="C371" s="43" t="s">
        <v>394</v>
      </c>
      <c r="D371" s="44" t="s">
        <v>1064</v>
      </c>
      <c r="E371" s="43" t="s">
        <v>1012</v>
      </c>
      <c r="F371" s="45" t="s">
        <v>310</v>
      </c>
      <c r="G371" s="45" t="s">
        <v>1065</v>
      </c>
      <c r="H371" s="12" t="n">
        <f aca="false">MROUND('Rate Card'!$I$24*O371*P371,10)</f>
        <v>2670</v>
      </c>
      <c r="I371" s="12" t="n">
        <f aca="false">MROUND('Rate Card'!$K$24*O371*P371,10)</f>
        <v>1270</v>
      </c>
      <c r="J371" s="12" t="n">
        <f aca="false">MROUND(H371*4*'Rate Card'!$B$47,100)</f>
        <v>10100</v>
      </c>
      <c r="K371" s="12" t="n">
        <f aca="false">MROUND(I371*4*'Rate Card'!$B$47,100)</f>
        <v>4800</v>
      </c>
      <c r="L371" s="12" t="n">
        <f aca="false">MROUND(H371*120*'Rate Card'!$B$48,500)</f>
        <v>272500</v>
      </c>
      <c r="M371" s="12" t="n">
        <f aca="false">MROUND(I371*120*'Rate Card'!$B$48,500)</f>
        <v>129500</v>
      </c>
      <c r="N371" s="14"/>
      <c r="O371" s="46" t="n">
        <v>0.82</v>
      </c>
      <c r="P371" s="46" t="n">
        <v>1</v>
      </c>
    </row>
    <row r="372" customFormat="false" ht="15" hidden="false" customHeight="true" outlineLevel="0" collapsed="false">
      <c r="A372" s="9" t="n">
        <v>348</v>
      </c>
      <c r="B372" s="43" t="s">
        <v>131</v>
      </c>
      <c r="C372" s="43" t="s">
        <v>394</v>
      </c>
      <c r="D372" s="44"/>
      <c r="E372" s="43" t="s">
        <v>1012</v>
      </c>
      <c r="F372" s="45" t="s">
        <v>310</v>
      </c>
      <c r="G372" s="45" t="s">
        <v>932</v>
      </c>
      <c r="H372" s="12" t="n">
        <f aca="false">MROUND('Rate Card'!$I$24*O372*P372,10)</f>
        <v>2670</v>
      </c>
      <c r="I372" s="12" t="n">
        <f aca="false">MROUND('Rate Card'!$K$24*O372*P372,10)</f>
        <v>1270</v>
      </c>
      <c r="J372" s="12" t="n">
        <f aca="false">MROUND(H372*4*'Rate Card'!$B$47,100)</f>
        <v>10100</v>
      </c>
      <c r="K372" s="12" t="n">
        <f aca="false">MROUND(I372*4*'Rate Card'!$B$47,100)</f>
        <v>4800</v>
      </c>
      <c r="L372" s="12" t="n">
        <f aca="false">MROUND(H372*120*'Rate Card'!$B$48,500)</f>
        <v>272500</v>
      </c>
      <c r="M372" s="12" t="n">
        <f aca="false">MROUND(I372*120*'Rate Card'!$B$48,500)</f>
        <v>129500</v>
      </c>
      <c r="N372" s="14"/>
      <c r="O372" s="46" t="n">
        <v>0.82</v>
      </c>
      <c r="P372" s="46" t="n">
        <v>1</v>
      </c>
    </row>
    <row r="373" customFormat="false" ht="15" hidden="false" customHeight="true" outlineLevel="0" collapsed="false">
      <c r="A373" s="9" t="n">
        <v>349</v>
      </c>
      <c r="B373" s="43" t="s">
        <v>131</v>
      </c>
      <c r="C373" s="43" t="s">
        <v>738</v>
      </c>
      <c r="D373" s="44" t="s">
        <v>1066</v>
      </c>
      <c r="E373" s="43" t="s">
        <v>1051</v>
      </c>
      <c r="F373" s="45" t="s">
        <v>748</v>
      </c>
      <c r="G373" s="45" t="s">
        <v>1067</v>
      </c>
      <c r="H373" s="12" t="n">
        <f aca="false">MROUND('Rate Card'!$I$24*O373*P373,10)</f>
        <v>2670</v>
      </c>
      <c r="I373" s="12" t="n">
        <f aca="false">MROUND('Rate Card'!$K$24*O373*P373,10)</f>
        <v>1270</v>
      </c>
      <c r="J373" s="12" t="n">
        <f aca="false">MROUND(H373*4*'Rate Card'!$B$47,100)</f>
        <v>10100</v>
      </c>
      <c r="K373" s="12" t="n">
        <f aca="false">MROUND(I373*4*'Rate Card'!$B$47,100)</f>
        <v>4800</v>
      </c>
      <c r="L373" s="12" t="n">
        <f aca="false">MROUND(H373*120*'Rate Card'!$B$48,500)</f>
        <v>272500</v>
      </c>
      <c r="M373" s="12" t="n">
        <f aca="false">MROUND(I373*120*'Rate Card'!$B$48,500)</f>
        <v>129500</v>
      </c>
      <c r="N373" s="14"/>
      <c r="O373" s="46" t="n">
        <v>0.82</v>
      </c>
      <c r="P373" s="46" t="n">
        <v>1</v>
      </c>
    </row>
    <row r="374" customFormat="false" ht="15" hidden="false" customHeight="true" outlineLevel="0" collapsed="false">
      <c r="A374" s="9" t="n">
        <v>350</v>
      </c>
      <c r="B374" s="43" t="s">
        <v>131</v>
      </c>
      <c r="C374" s="43" t="s">
        <v>404</v>
      </c>
      <c r="D374" s="44" t="s">
        <v>1068</v>
      </c>
      <c r="E374" s="43" t="s">
        <v>1069</v>
      </c>
      <c r="F374" s="45" t="s">
        <v>748</v>
      </c>
      <c r="G374" s="45" t="s">
        <v>1070</v>
      </c>
      <c r="H374" s="12" t="n">
        <f aca="false">MROUND('Rate Card'!$I$24*O374*P374,10)</f>
        <v>2670</v>
      </c>
      <c r="I374" s="12" t="n">
        <f aca="false">MROUND('Rate Card'!$K$24*O374*P374,10)</f>
        <v>1270</v>
      </c>
      <c r="J374" s="12" t="n">
        <f aca="false">MROUND(H374*4*'Rate Card'!$B$47,100)</f>
        <v>10100</v>
      </c>
      <c r="K374" s="12" t="n">
        <f aca="false">MROUND(I374*4*'Rate Card'!$B$47,100)</f>
        <v>4800</v>
      </c>
      <c r="L374" s="12" t="n">
        <f aca="false">MROUND(H374*120*'Rate Card'!$B$48,500)</f>
        <v>272500</v>
      </c>
      <c r="M374" s="12" t="n">
        <f aca="false">MROUND(I374*120*'Rate Card'!$B$48,500)</f>
        <v>129500</v>
      </c>
      <c r="N374" s="14"/>
      <c r="O374" s="46" t="n">
        <v>0.82</v>
      </c>
      <c r="P374" s="46" t="n">
        <v>1</v>
      </c>
    </row>
    <row r="375" customFormat="false" ht="15" hidden="false" customHeight="true" outlineLevel="0" collapsed="false">
      <c r="A375" s="9" t="n">
        <v>351</v>
      </c>
      <c r="B375" s="43" t="s">
        <v>131</v>
      </c>
      <c r="C375" s="43" t="s">
        <v>404</v>
      </c>
      <c r="D375" s="44" t="s">
        <v>1071</v>
      </c>
      <c r="E375" s="43" t="s">
        <v>1069</v>
      </c>
      <c r="F375" s="45" t="s">
        <v>748</v>
      </c>
      <c r="G375" s="45" t="s">
        <v>1072</v>
      </c>
      <c r="H375" s="12" t="n">
        <f aca="false">MROUND('Rate Card'!$I$24*O375*P375,10)</f>
        <v>2670</v>
      </c>
      <c r="I375" s="12" t="n">
        <f aca="false">MROUND('Rate Card'!$K$24*O375*P375,10)</f>
        <v>1270</v>
      </c>
      <c r="J375" s="12" t="n">
        <f aca="false">MROUND(H375*4*'Rate Card'!$B$47,100)</f>
        <v>10100</v>
      </c>
      <c r="K375" s="12" t="n">
        <f aca="false">MROUND(I375*4*'Rate Card'!$B$47,100)</f>
        <v>4800</v>
      </c>
      <c r="L375" s="12" t="n">
        <f aca="false">MROUND(H375*120*'Rate Card'!$B$48,500)</f>
        <v>272500</v>
      </c>
      <c r="M375" s="12" t="n">
        <f aca="false">MROUND(I375*120*'Rate Card'!$B$48,500)</f>
        <v>129500</v>
      </c>
      <c r="N375" s="14"/>
      <c r="O375" s="46" t="n">
        <v>0.82</v>
      </c>
      <c r="P375" s="46" t="n">
        <v>1</v>
      </c>
    </row>
    <row r="376" customFormat="false" ht="15" hidden="false" customHeight="true" outlineLevel="0" collapsed="false">
      <c r="A376" s="9" t="n">
        <v>352</v>
      </c>
      <c r="B376" s="43" t="s">
        <v>131</v>
      </c>
      <c r="C376" s="43" t="s">
        <v>404</v>
      </c>
      <c r="D376" s="44" t="s">
        <v>1073</v>
      </c>
      <c r="E376" s="43" t="s">
        <v>1069</v>
      </c>
      <c r="F376" s="45" t="s">
        <v>748</v>
      </c>
      <c r="G376" s="45" t="s">
        <v>1074</v>
      </c>
      <c r="H376" s="12" t="n">
        <f aca="false">MROUND('Rate Card'!$I$24*O376*P376,10)</f>
        <v>2670</v>
      </c>
      <c r="I376" s="12" t="n">
        <f aca="false">MROUND('Rate Card'!$K$24*O376*P376,10)</f>
        <v>1270</v>
      </c>
      <c r="J376" s="12" t="n">
        <f aca="false">MROUND(H376*4*'Rate Card'!$B$47,100)</f>
        <v>10100</v>
      </c>
      <c r="K376" s="12" t="n">
        <f aca="false">MROUND(I376*4*'Rate Card'!$B$47,100)</f>
        <v>4800</v>
      </c>
      <c r="L376" s="12" t="n">
        <f aca="false">MROUND(H376*120*'Rate Card'!$B$48,500)</f>
        <v>272500</v>
      </c>
      <c r="M376" s="12" t="n">
        <f aca="false">MROUND(I376*120*'Rate Card'!$B$48,500)</f>
        <v>129500</v>
      </c>
      <c r="N376" s="14"/>
      <c r="O376" s="46" t="n">
        <v>0.82</v>
      </c>
      <c r="P376" s="46" t="n">
        <v>1</v>
      </c>
    </row>
    <row r="377" customFormat="false" ht="15" hidden="false" customHeight="true" outlineLevel="0" collapsed="false">
      <c r="A377" s="9" t="n">
        <v>353</v>
      </c>
      <c r="B377" s="43" t="s">
        <v>131</v>
      </c>
      <c r="C377" s="43" t="s">
        <v>404</v>
      </c>
      <c r="D377" s="44" t="s">
        <v>1075</v>
      </c>
      <c r="E377" s="43" t="s">
        <v>1069</v>
      </c>
      <c r="F377" s="45" t="s">
        <v>748</v>
      </c>
      <c r="G377" s="45" t="s">
        <v>1076</v>
      </c>
      <c r="H377" s="12" t="n">
        <f aca="false">MROUND('Rate Card'!$I$24*O377*P377,10)</f>
        <v>2670</v>
      </c>
      <c r="I377" s="12" t="n">
        <f aca="false">MROUND('Rate Card'!$K$24*O377*P377,10)</f>
        <v>1270</v>
      </c>
      <c r="J377" s="12" t="n">
        <f aca="false">MROUND(H377*4*'Rate Card'!$B$47,100)</f>
        <v>10100</v>
      </c>
      <c r="K377" s="12" t="n">
        <f aca="false">MROUND(I377*4*'Rate Card'!$B$47,100)</f>
        <v>4800</v>
      </c>
      <c r="L377" s="12" t="n">
        <f aca="false">MROUND(H377*120*'Rate Card'!$B$48,500)</f>
        <v>272500</v>
      </c>
      <c r="M377" s="12" t="n">
        <f aca="false">MROUND(I377*120*'Rate Card'!$B$48,500)</f>
        <v>129500</v>
      </c>
      <c r="N377" s="14"/>
      <c r="O377" s="46" t="n">
        <v>0.82</v>
      </c>
      <c r="P377" s="46" t="n">
        <v>1</v>
      </c>
    </row>
    <row r="378" customFormat="false" ht="15" hidden="false" customHeight="true" outlineLevel="0" collapsed="false">
      <c r="A378" s="9" t="n">
        <v>354</v>
      </c>
      <c r="B378" s="43" t="s">
        <v>131</v>
      </c>
      <c r="C378" s="43" t="s">
        <v>394</v>
      </c>
      <c r="D378" s="44" t="s">
        <v>1077</v>
      </c>
      <c r="E378" s="43" t="s">
        <v>1012</v>
      </c>
      <c r="F378" s="45" t="s">
        <v>748</v>
      </c>
      <c r="G378" s="45" t="s">
        <v>1078</v>
      </c>
      <c r="H378" s="12" t="n">
        <f aca="false">MROUND('Rate Card'!$I$24*O378*P378,10)</f>
        <v>2670</v>
      </c>
      <c r="I378" s="12" t="n">
        <f aca="false">MROUND('Rate Card'!$K$24*O378*P378,10)</f>
        <v>1270</v>
      </c>
      <c r="J378" s="12" t="n">
        <f aca="false">MROUND(H378*4*'Rate Card'!$B$47,100)</f>
        <v>10100</v>
      </c>
      <c r="K378" s="12" t="n">
        <f aca="false">MROUND(I378*4*'Rate Card'!$B$47,100)</f>
        <v>4800</v>
      </c>
      <c r="L378" s="12" t="n">
        <f aca="false">MROUND(H378*120*'Rate Card'!$B$48,500)</f>
        <v>272500</v>
      </c>
      <c r="M378" s="12" t="n">
        <f aca="false">MROUND(I378*120*'Rate Card'!$B$48,500)</f>
        <v>129500</v>
      </c>
      <c r="N378" s="14"/>
      <c r="O378" s="46" t="n">
        <v>0.82</v>
      </c>
      <c r="P378" s="46" t="n">
        <v>1</v>
      </c>
    </row>
    <row r="379" customFormat="false" ht="15" hidden="false" customHeight="true" outlineLevel="0" collapsed="false">
      <c r="A379" s="9" t="n">
        <v>355</v>
      </c>
      <c r="B379" s="43" t="s">
        <v>131</v>
      </c>
      <c r="C379" s="43" t="s">
        <v>394</v>
      </c>
      <c r="D379" s="44"/>
      <c r="E379" s="43" t="s">
        <v>1012</v>
      </c>
      <c r="F379" s="45" t="s">
        <v>748</v>
      </c>
      <c r="G379" s="45" t="s">
        <v>922</v>
      </c>
      <c r="H379" s="12" t="n">
        <f aca="false">MROUND('Rate Card'!$I$24*O379*P379,10)</f>
        <v>2670</v>
      </c>
      <c r="I379" s="12" t="n">
        <f aca="false">MROUND('Rate Card'!$K$24*O379*P379,10)</f>
        <v>1270</v>
      </c>
      <c r="J379" s="12" t="n">
        <f aca="false">MROUND(H379*4*'Rate Card'!$B$47,100)</f>
        <v>10100</v>
      </c>
      <c r="K379" s="12" t="n">
        <f aca="false">MROUND(I379*4*'Rate Card'!$B$47,100)</f>
        <v>4800</v>
      </c>
      <c r="L379" s="12" t="n">
        <f aca="false">MROUND(H379*120*'Rate Card'!$B$48,500)</f>
        <v>272500</v>
      </c>
      <c r="M379" s="12" t="n">
        <f aca="false">MROUND(I379*120*'Rate Card'!$B$48,500)</f>
        <v>129500</v>
      </c>
      <c r="N379" s="14"/>
      <c r="O379" s="46" t="n">
        <v>0.82</v>
      </c>
      <c r="P379" s="46" t="n">
        <v>1</v>
      </c>
    </row>
    <row r="380" customFormat="false" ht="15" hidden="false" customHeight="true" outlineLevel="0" collapsed="false">
      <c r="A380" s="9" t="n">
        <v>356</v>
      </c>
      <c r="B380" s="43" t="s">
        <v>131</v>
      </c>
      <c r="C380" s="43" t="s">
        <v>394</v>
      </c>
      <c r="D380" s="44"/>
      <c r="E380" s="43" t="s">
        <v>1012</v>
      </c>
      <c r="F380" s="45" t="s">
        <v>748</v>
      </c>
      <c r="G380" s="45" t="s">
        <v>924</v>
      </c>
      <c r="H380" s="12" t="n">
        <f aca="false">MROUND('Rate Card'!$I$24*O380*P380,10)</f>
        <v>2670</v>
      </c>
      <c r="I380" s="12" t="n">
        <f aca="false">MROUND('Rate Card'!$K$24*O380*P380,10)</f>
        <v>1270</v>
      </c>
      <c r="J380" s="12" t="n">
        <f aca="false">MROUND(H380*4*'Rate Card'!$B$47,100)</f>
        <v>10100</v>
      </c>
      <c r="K380" s="12" t="n">
        <f aca="false">MROUND(I380*4*'Rate Card'!$B$47,100)</f>
        <v>4800</v>
      </c>
      <c r="L380" s="12" t="n">
        <f aca="false">MROUND(H380*120*'Rate Card'!$B$48,500)</f>
        <v>272500</v>
      </c>
      <c r="M380" s="12" t="n">
        <f aca="false">MROUND(I380*120*'Rate Card'!$B$48,500)</f>
        <v>129500</v>
      </c>
      <c r="N380" s="14"/>
      <c r="O380" s="46" t="n">
        <v>0.82</v>
      </c>
      <c r="P380" s="46" t="n">
        <v>1</v>
      </c>
    </row>
    <row r="381" customFormat="false" ht="15" hidden="false" customHeight="true" outlineLevel="0" collapsed="false">
      <c r="A381" s="9" t="n">
        <v>357</v>
      </c>
      <c r="B381" s="43" t="s">
        <v>131</v>
      </c>
      <c r="C381" s="43" t="s">
        <v>394</v>
      </c>
      <c r="D381" s="44"/>
      <c r="E381" s="43" t="s">
        <v>1012</v>
      </c>
      <c r="F381" s="45" t="s">
        <v>748</v>
      </c>
      <c r="G381" s="45" t="s">
        <v>1013</v>
      </c>
      <c r="H381" s="12" t="n">
        <f aca="false">MROUND('Rate Card'!$I$24*O381*P381,10)</f>
        <v>2670</v>
      </c>
      <c r="I381" s="12" t="n">
        <f aca="false">MROUND('Rate Card'!$K$24*O381*P381,10)</f>
        <v>1270</v>
      </c>
      <c r="J381" s="12" t="n">
        <f aca="false">MROUND(H381*4*'Rate Card'!$B$47,100)</f>
        <v>10100</v>
      </c>
      <c r="K381" s="12" t="n">
        <f aca="false">MROUND(I381*4*'Rate Card'!$B$47,100)</f>
        <v>4800</v>
      </c>
      <c r="L381" s="12" t="n">
        <f aca="false">MROUND(H381*120*'Rate Card'!$B$48,500)</f>
        <v>272500</v>
      </c>
      <c r="M381" s="12" t="n">
        <f aca="false">MROUND(I381*120*'Rate Card'!$B$48,500)</f>
        <v>129500</v>
      </c>
      <c r="N381" s="14"/>
      <c r="O381" s="46" t="n">
        <v>0.82</v>
      </c>
      <c r="P381" s="46" t="n">
        <v>1</v>
      </c>
    </row>
    <row r="382" customFormat="false" ht="15" hidden="false" customHeight="true" outlineLevel="0" collapsed="false">
      <c r="A382" s="9" t="n">
        <v>358</v>
      </c>
      <c r="B382" s="43" t="s">
        <v>131</v>
      </c>
      <c r="C382" s="43" t="s">
        <v>738</v>
      </c>
      <c r="D382" s="44" t="s">
        <v>1079</v>
      </c>
      <c r="E382" s="43" t="s">
        <v>1080</v>
      </c>
      <c r="F382" s="45" t="s">
        <v>389</v>
      </c>
      <c r="G382" s="45" t="s">
        <v>1081</v>
      </c>
      <c r="H382" s="12" t="n">
        <f aca="false">MROUND('Rate Card'!$I$24*O382*P382,10)</f>
        <v>2670</v>
      </c>
      <c r="I382" s="12" t="n">
        <f aca="false">MROUND('Rate Card'!$K$24*O382*P382,10)</f>
        <v>1270</v>
      </c>
      <c r="J382" s="12" t="n">
        <f aca="false">MROUND(H382*4*'Rate Card'!$B$47,100)</f>
        <v>10100</v>
      </c>
      <c r="K382" s="12" t="n">
        <f aca="false">MROUND(I382*4*'Rate Card'!$B$47,100)</f>
        <v>4800</v>
      </c>
      <c r="L382" s="12" t="n">
        <f aca="false">MROUND(H382*120*'Rate Card'!$B$48,500)</f>
        <v>272500</v>
      </c>
      <c r="M382" s="12" t="n">
        <f aca="false">MROUND(I382*120*'Rate Card'!$B$48,500)</f>
        <v>129500</v>
      </c>
      <c r="N382" s="14"/>
      <c r="O382" s="46" t="n">
        <v>0.82</v>
      </c>
      <c r="P382" s="46" t="n">
        <v>1</v>
      </c>
    </row>
    <row r="383" customFormat="false" ht="15" hidden="false" customHeight="true" outlineLevel="0" collapsed="false">
      <c r="A383" s="9" t="n">
        <v>359</v>
      </c>
      <c r="B383" s="43" t="s">
        <v>131</v>
      </c>
      <c r="C383" s="43" t="s">
        <v>738</v>
      </c>
      <c r="D383" s="44" t="s">
        <v>1082</v>
      </c>
      <c r="E383" s="43" t="s">
        <v>1051</v>
      </c>
      <c r="F383" s="45" t="s">
        <v>389</v>
      </c>
      <c r="G383" s="45" t="s">
        <v>1083</v>
      </c>
      <c r="H383" s="12" t="n">
        <f aca="false">MROUND('Rate Card'!$I$24*O383*P383,10)</f>
        <v>2670</v>
      </c>
      <c r="I383" s="12" t="n">
        <f aca="false">MROUND('Rate Card'!$K$24*O383*P383,10)</f>
        <v>1270</v>
      </c>
      <c r="J383" s="12" t="n">
        <f aca="false">MROUND(H383*4*'Rate Card'!$B$47,100)</f>
        <v>10100</v>
      </c>
      <c r="K383" s="12" t="n">
        <f aca="false">MROUND(I383*4*'Rate Card'!$B$47,100)</f>
        <v>4800</v>
      </c>
      <c r="L383" s="12" t="n">
        <f aca="false">MROUND(H383*120*'Rate Card'!$B$48,500)</f>
        <v>272500</v>
      </c>
      <c r="M383" s="12" t="n">
        <f aca="false">MROUND(I383*120*'Rate Card'!$B$48,500)</f>
        <v>129500</v>
      </c>
      <c r="N383" s="14"/>
      <c r="O383" s="46" t="n">
        <v>0.82</v>
      </c>
      <c r="P383" s="46" t="n">
        <v>1</v>
      </c>
    </row>
    <row r="384" customFormat="false" ht="15" hidden="false" customHeight="true" outlineLevel="0" collapsed="false">
      <c r="A384" s="9" t="n">
        <v>360</v>
      </c>
      <c r="B384" s="43" t="s">
        <v>131</v>
      </c>
      <c r="C384" s="43" t="s">
        <v>404</v>
      </c>
      <c r="D384" s="44" t="s">
        <v>1084</v>
      </c>
      <c r="E384" s="43" t="s">
        <v>1085</v>
      </c>
      <c r="F384" s="45" t="s">
        <v>810</v>
      </c>
      <c r="G384" s="45" t="s">
        <v>1086</v>
      </c>
      <c r="H384" s="12" t="n">
        <f aca="false">MROUND('Rate Card'!$I$24*O384*P384,10)</f>
        <v>2340</v>
      </c>
      <c r="I384" s="12" t="n">
        <f aca="false">MROUND('Rate Card'!$K$24*O384*P384,10)</f>
        <v>1120</v>
      </c>
      <c r="J384" s="12" t="n">
        <f aca="false">MROUND(H384*4*'Rate Card'!$B$47,100)</f>
        <v>8900</v>
      </c>
      <c r="K384" s="12" t="n">
        <f aca="false">MROUND(I384*4*'Rate Card'!$B$47,100)</f>
        <v>4300</v>
      </c>
      <c r="L384" s="12" t="n">
        <f aca="false">MROUND(H384*120*'Rate Card'!$B$48,500)</f>
        <v>238500</v>
      </c>
      <c r="M384" s="12" t="n">
        <f aca="false">MROUND(I384*120*'Rate Card'!$B$48,500)</f>
        <v>114000</v>
      </c>
      <c r="N384" s="14" t="s">
        <v>350</v>
      </c>
      <c r="O384" s="46" t="n">
        <v>0.72</v>
      </c>
      <c r="P384" s="46" t="n">
        <v>1</v>
      </c>
    </row>
    <row r="385" customFormat="false" ht="15" hidden="false" customHeight="true" outlineLevel="0" collapsed="false">
      <c r="A385" s="9" t="n">
        <v>361</v>
      </c>
      <c r="B385" s="43" t="s">
        <v>131</v>
      </c>
      <c r="C385" s="43" t="s">
        <v>738</v>
      </c>
      <c r="D385" s="44" t="s">
        <v>1087</v>
      </c>
      <c r="E385" s="43" t="s">
        <v>1088</v>
      </c>
      <c r="F385" s="45" t="s">
        <v>348</v>
      </c>
      <c r="G385" s="45" t="s">
        <v>1089</v>
      </c>
      <c r="H385" s="12" t="n">
        <f aca="false">MROUND('Rate Card'!$I$24*O385*P385,10)</f>
        <v>2340</v>
      </c>
      <c r="I385" s="12" t="n">
        <f aca="false">MROUND('Rate Card'!$K$24*O385*P385,10)</f>
        <v>1120</v>
      </c>
      <c r="J385" s="12" t="n">
        <f aca="false">MROUND(H385*4*'Rate Card'!$B$47,100)</f>
        <v>8900</v>
      </c>
      <c r="K385" s="12" t="n">
        <f aca="false">MROUND(I385*4*'Rate Card'!$B$47,100)</f>
        <v>4300</v>
      </c>
      <c r="L385" s="12" t="n">
        <f aca="false">MROUND(H385*120*'Rate Card'!$B$48,500)</f>
        <v>238500</v>
      </c>
      <c r="M385" s="12" t="n">
        <f aca="false">MROUND(I385*120*'Rate Card'!$B$48,500)</f>
        <v>114000</v>
      </c>
      <c r="N385" s="14" t="s">
        <v>350</v>
      </c>
      <c r="O385" s="46" t="n">
        <v>0.72</v>
      </c>
      <c r="P385" s="46" t="n">
        <v>1</v>
      </c>
    </row>
    <row r="386" customFormat="false" ht="15" hidden="false" customHeight="true" outlineLevel="0" collapsed="false">
      <c r="A386" s="9" t="n">
        <v>362</v>
      </c>
      <c r="B386" s="43" t="s">
        <v>131</v>
      </c>
      <c r="C386" s="43" t="s">
        <v>394</v>
      </c>
      <c r="D386" s="44" t="s">
        <v>1090</v>
      </c>
      <c r="E386" s="43" t="s">
        <v>1044</v>
      </c>
      <c r="F386" s="45" t="s">
        <v>729</v>
      </c>
      <c r="G386" s="45" t="s">
        <v>1091</v>
      </c>
      <c r="H386" s="12" t="n">
        <f aca="false">MROUND('Rate Card'!$I$24*O386*P386,10)</f>
        <v>2340</v>
      </c>
      <c r="I386" s="12" t="n">
        <f aca="false">MROUND('Rate Card'!$K$24*O386*P386,10)</f>
        <v>1120</v>
      </c>
      <c r="J386" s="12" t="n">
        <f aca="false">MROUND(H386*4*'Rate Card'!$B$47,100)</f>
        <v>8900</v>
      </c>
      <c r="K386" s="12" t="n">
        <f aca="false">MROUND(I386*4*'Rate Card'!$B$47,100)</f>
        <v>4300</v>
      </c>
      <c r="L386" s="12" t="n">
        <f aca="false">MROUND(H386*120*'Rate Card'!$B$48,500)</f>
        <v>238500</v>
      </c>
      <c r="M386" s="12" t="n">
        <f aca="false">MROUND(I386*120*'Rate Card'!$B$48,500)</f>
        <v>114000</v>
      </c>
      <c r="N386" s="14" t="s">
        <v>350</v>
      </c>
      <c r="O386" s="46" t="n">
        <v>0.72</v>
      </c>
      <c r="P386" s="46" t="n">
        <v>1</v>
      </c>
    </row>
    <row r="387" customFormat="false" ht="15" hidden="false" customHeight="true" outlineLevel="0" collapsed="false">
      <c r="A387" s="9" t="n">
        <v>363</v>
      </c>
      <c r="B387" s="43" t="s">
        <v>131</v>
      </c>
      <c r="C387" s="43" t="s">
        <v>738</v>
      </c>
      <c r="D387" s="44" t="s">
        <v>1092</v>
      </c>
      <c r="E387" s="43" t="s">
        <v>1088</v>
      </c>
      <c r="F387" s="45" t="s">
        <v>423</v>
      </c>
      <c r="G387" s="45" t="s">
        <v>1093</v>
      </c>
      <c r="H387" s="12" t="n">
        <f aca="false">MROUND('Rate Card'!$I$24*O387*P387,10)</f>
        <v>2110</v>
      </c>
      <c r="I387" s="12" t="n">
        <f aca="false">MROUND('Rate Card'!$K$24*O387*P387,10)</f>
        <v>1010</v>
      </c>
      <c r="J387" s="12" t="n">
        <f aca="false">MROUND(H387*4*'Rate Card'!$B$47,100)</f>
        <v>8000</v>
      </c>
      <c r="K387" s="12" t="n">
        <f aca="false">MROUND(I387*4*'Rate Card'!$B$47,100)</f>
        <v>3800</v>
      </c>
      <c r="L387" s="12" t="n">
        <f aca="false">MROUND(H387*120*'Rate Card'!$B$48,500)</f>
        <v>215000</v>
      </c>
      <c r="M387" s="12" t="n">
        <f aca="false">MROUND(I387*120*'Rate Card'!$B$48,500)</f>
        <v>103000</v>
      </c>
      <c r="N387" s="14" t="s">
        <v>355</v>
      </c>
      <c r="O387" s="46" t="n">
        <v>0.65</v>
      </c>
      <c r="P387" s="46" t="n">
        <v>1</v>
      </c>
    </row>
    <row r="388" customFormat="false" ht="15" hidden="false" customHeight="true" outlineLevel="0" collapsed="false">
      <c r="A388" s="9" t="n">
        <v>364</v>
      </c>
      <c r="B388" s="43" t="s">
        <v>131</v>
      </c>
      <c r="C388" s="43" t="s">
        <v>738</v>
      </c>
      <c r="D388" s="44" t="s">
        <v>1094</v>
      </c>
      <c r="E388" s="43" t="s">
        <v>1088</v>
      </c>
      <c r="F388" s="45" t="s">
        <v>310</v>
      </c>
      <c r="G388" s="45" t="s">
        <v>1095</v>
      </c>
      <c r="H388" s="12" t="n">
        <f aca="false">MROUND('Rate Card'!$I$24*O388*P388,10)</f>
        <v>2110</v>
      </c>
      <c r="I388" s="12" t="n">
        <f aca="false">MROUND('Rate Card'!$K$24*O388*P388,10)</f>
        <v>1010</v>
      </c>
      <c r="J388" s="12" t="n">
        <f aca="false">MROUND(H388*4*'Rate Card'!$B$47,100)</f>
        <v>8000</v>
      </c>
      <c r="K388" s="12" t="n">
        <f aca="false">MROUND(I388*4*'Rate Card'!$B$47,100)</f>
        <v>3800</v>
      </c>
      <c r="L388" s="12" t="n">
        <f aca="false">MROUND(H388*120*'Rate Card'!$B$48,500)</f>
        <v>215000</v>
      </c>
      <c r="M388" s="12" t="n">
        <f aca="false">MROUND(I388*120*'Rate Card'!$B$48,500)</f>
        <v>103000</v>
      </c>
      <c r="N388" s="14" t="s">
        <v>355</v>
      </c>
      <c r="O388" s="46" t="n">
        <v>0.65</v>
      </c>
      <c r="P388" s="46" t="n">
        <v>1</v>
      </c>
    </row>
    <row r="389" customFormat="false" ht="15" hidden="false" customHeight="true" outlineLevel="0" collapsed="false">
      <c r="A389" s="9" t="n">
        <v>365</v>
      </c>
      <c r="B389" s="43" t="s">
        <v>131</v>
      </c>
      <c r="C389" s="43" t="s">
        <v>738</v>
      </c>
      <c r="D389" s="44" t="s">
        <v>1096</v>
      </c>
      <c r="E389" s="43" t="s">
        <v>1044</v>
      </c>
      <c r="F389" s="45" t="s">
        <v>423</v>
      </c>
      <c r="G389" s="45" t="s">
        <v>1097</v>
      </c>
      <c r="H389" s="12" t="n">
        <f aca="false">MROUND('Rate Card'!$I$24*O389*P389,10)</f>
        <v>2110</v>
      </c>
      <c r="I389" s="12" t="n">
        <f aca="false">MROUND('Rate Card'!$K$24*O389*P389,10)</f>
        <v>1010</v>
      </c>
      <c r="J389" s="12" t="n">
        <f aca="false">MROUND(H389*4*'Rate Card'!$B$47,100)</f>
        <v>8000</v>
      </c>
      <c r="K389" s="12" t="n">
        <f aca="false">MROUND(I389*4*'Rate Card'!$B$47,100)</f>
        <v>3800</v>
      </c>
      <c r="L389" s="12" t="n">
        <f aca="false">MROUND(H389*120*'Rate Card'!$B$48,500)</f>
        <v>215000</v>
      </c>
      <c r="M389" s="12" t="n">
        <f aca="false">MROUND(I389*120*'Rate Card'!$B$48,500)</f>
        <v>103000</v>
      </c>
      <c r="N389" s="14" t="s">
        <v>355</v>
      </c>
      <c r="O389" s="46" t="n">
        <v>0.65</v>
      </c>
      <c r="P389" s="46" t="n">
        <v>1</v>
      </c>
    </row>
    <row r="390" customFormat="false" ht="15" hidden="false" customHeight="true" outlineLevel="0" collapsed="false">
      <c r="A390" s="42" t="s">
        <v>1098</v>
      </c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</row>
    <row r="391" customFormat="false" ht="15" hidden="false" customHeight="true" outlineLevel="0" collapsed="false">
      <c r="A391" s="9" t="n">
        <v>366</v>
      </c>
      <c r="B391" s="43" t="s">
        <v>133</v>
      </c>
      <c r="C391" s="43" t="s">
        <v>1099</v>
      </c>
      <c r="D391" s="44"/>
      <c r="E391" s="43" t="s">
        <v>1100</v>
      </c>
      <c r="F391" s="45" t="s">
        <v>397</v>
      </c>
      <c r="G391" s="45" t="s">
        <v>1101</v>
      </c>
      <c r="H391" s="12" t="n">
        <f aca="false">MROUND('Rate Card'!$I$25*O391*P391,10)</f>
        <v>1200</v>
      </c>
      <c r="I391" s="12" t="n">
        <f aca="false">MROUND('Rate Card'!$K$25*O391*P391,10)</f>
        <v>1150</v>
      </c>
      <c r="J391" s="12" t="n">
        <f aca="false">MROUND(H391*4*'Rate Card'!$B$47,100)</f>
        <v>4600</v>
      </c>
      <c r="K391" s="12" t="n">
        <f aca="false">MROUND(I391*4*'Rate Card'!$B$47,100)</f>
        <v>4400</v>
      </c>
      <c r="L391" s="12" t="n">
        <f aca="false">MROUND(H391*120*'Rate Card'!$B$48,500)</f>
        <v>122500</v>
      </c>
      <c r="M391" s="12" t="n">
        <f aca="false">MROUND(I391*120*'Rate Card'!$B$48,500)</f>
        <v>117500</v>
      </c>
      <c r="N391" s="14"/>
      <c r="O391" s="46" t="n">
        <v>0.92</v>
      </c>
      <c r="P391" s="46" t="n">
        <v>1</v>
      </c>
    </row>
    <row r="392" customFormat="false" ht="15" hidden="false" customHeight="true" outlineLevel="0" collapsed="false">
      <c r="A392" s="9" t="n">
        <v>367</v>
      </c>
      <c r="B392" s="43" t="s">
        <v>133</v>
      </c>
      <c r="C392" s="43" t="s">
        <v>1102</v>
      </c>
      <c r="D392" s="44"/>
      <c r="E392" s="43" t="s">
        <v>1100</v>
      </c>
      <c r="F392" s="45" t="s">
        <v>397</v>
      </c>
      <c r="G392" s="45" t="s">
        <v>1101</v>
      </c>
      <c r="H392" s="12" t="n">
        <f aca="false">MROUND('Rate Card'!$I$25*O392*P392,10)</f>
        <v>1200</v>
      </c>
      <c r="I392" s="12" t="n">
        <f aca="false">MROUND('Rate Card'!$K$25*O392*P392,10)</f>
        <v>1150</v>
      </c>
      <c r="J392" s="12" t="n">
        <f aca="false">MROUND(H392*4*'Rate Card'!$B$47,100)</f>
        <v>4600</v>
      </c>
      <c r="K392" s="12" t="n">
        <f aca="false">MROUND(I392*4*'Rate Card'!$B$47,100)</f>
        <v>4400</v>
      </c>
      <c r="L392" s="12" t="n">
        <f aca="false">MROUND(H392*120*'Rate Card'!$B$48,500)</f>
        <v>122500</v>
      </c>
      <c r="M392" s="12" t="n">
        <f aca="false">MROUND(I392*120*'Rate Card'!$B$48,500)</f>
        <v>117500</v>
      </c>
      <c r="N392" s="14"/>
      <c r="O392" s="46" t="n">
        <v>0.92</v>
      </c>
      <c r="P392" s="46" t="n">
        <v>1</v>
      </c>
    </row>
    <row r="393" customFormat="false" ht="15" hidden="false" customHeight="true" outlineLevel="0" collapsed="false">
      <c r="A393" s="9" t="n">
        <v>368</v>
      </c>
      <c r="B393" s="43" t="s">
        <v>133</v>
      </c>
      <c r="C393" s="43" t="s">
        <v>1102</v>
      </c>
      <c r="D393" s="44"/>
      <c r="E393" s="43" t="s">
        <v>1100</v>
      </c>
      <c r="F393" s="45" t="s">
        <v>397</v>
      </c>
      <c r="G393" s="45" t="s">
        <v>1101</v>
      </c>
      <c r="H393" s="12" t="n">
        <f aca="false">MROUND('Rate Card'!$I$25*O393*P393,10)</f>
        <v>1200</v>
      </c>
      <c r="I393" s="12" t="n">
        <f aca="false">MROUND('Rate Card'!$K$25*O393*P393,10)</f>
        <v>1150</v>
      </c>
      <c r="J393" s="12" t="n">
        <f aca="false">MROUND(H393*4*'Rate Card'!$B$47,100)</f>
        <v>4600</v>
      </c>
      <c r="K393" s="12" t="n">
        <f aca="false">MROUND(I393*4*'Rate Card'!$B$47,100)</f>
        <v>4400</v>
      </c>
      <c r="L393" s="12" t="n">
        <f aca="false">MROUND(H393*120*'Rate Card'!$B$48,500)</f>
        <v>122500</v>
      </c>
      <c r="M393" s="12" t="n">
        <f aca="false">MROUND(I393*120*'Rate Card'!$B$48,500)</f>
        <v>117500</v>
      </c>
      <c r="N393" s="14"/>
      <c r="O393" s="46" t="n">
        <v>0.92</v>
      </c>
      <c r="P393" s="46" t="n">
        <v>1</v>
      </c>
    </row>
    <row r="394" customFormat="false" ht="15" hidden="false" customHeight="true" outlineLevel="0" collapsed="false">
      <c r="A394" s="9" t="n">
        <v>369</v>
      </c>
      <c r="B394" s="43" t="s">
        <v>133</v>
      </c>
      <c r="C394" s="43" t="s">
        <v>1103</v>
      </c>
      <c r="D394" s="44"/>
      <c r="E394" s="43" t="s">
        <v>1100</v>
      </c>
      <c r="F394" s="45" t="s">
        <v>397</v>
      </c>
      <c r="G394" s="45" t="s">
        <v>1104</v>
      </c>
      <c r="H394" s="12" t="n">
        <f aca="false">MROUND('Rate Card'!$I$25*O394*P394,10)</f>
        <v>1200</v>
      </c>
      <c r="I394" s="12" t="n">
        <f aca="false">MROUND('Rate Card'!$K$25*O394*P394,10)</f>
        <v>1150</v>
      </c>
      <c r="J394" s="12" t="n">
        <f aca="false">MROUND(H394*4*'Rate Card'!$B$47,100)</f>
        <v>4600</v>
      </c>
      <c r="K394" s="12" t="n">
        <f aca="false">MROUND(I394*4*'Rate Card'!$B$47,100)</f>
        <v>4400</v>
      </c>
      <c r="L394" s="12" t="n">
        <f aca="false">MROUND(H394*120*'Rate Card'!$B$48,500)</f>
        <v>122500</v>
      </c>
      <c r="M394" s="12" t="n">
        <f aca="false">MROUND(I394*120*'Rate Card'!$B$48,500)</f>
        <v>117500</v>
      </c>
      <c r="N394" s="14"/>
      <c r="O394" s="46" t="n">
        <v>0.92</v>
      </c>
      <c r="P394" s="46" t="n">
        <v>1</v>
      </c>
    </row>
    <row r="395" customFormat="false" ht="15" hidden="false" customHeight="true" outlineLevel="0" collapsed="false">
      <c r="A395" s="9" t="n">
        <v>370</v>
      </c>
      <c r="B395" s="43" t="s">
        <v>133</v>
      </c>
      <c r="C395" s="43" t="s">
        <v>1099</v>
      </c>
      <c r="D395" s="44"/>
      <c r="E395" s="43" t="s">
        <v>1100</v>
      </c>
      <c r="F395" s="45" t="s">
        <v>348</v>
      </c>
      <c r="G395" s="45" t="s">
        <v>1105</v>
      </c>
      <c r="H395" s="12" t="n">
        <f aca="false">MROUND('Rate Card'!$I$25*O395*P395,10)</f>
        <v>940</v>
      </c>
      <c r="I395" s="12" t="n">
        <f aca="false">MROUND('Rate Card'!$K$25*O395*P395,10)</f>
        <v>900</v>
      </c>
      <c r="J395" s="12" t="n">
        <f aca="false">MROUND(H395*4*'Rate Card'!$B$47,100)</f>
        <v>3600</v>
      </c>
      <c r="K395" s="12" t="n">
        <f aca="false">MROUND(I395*4*'Rate Card'!$B$47,100)</f>
        <v>3400</v>
      </c>
      <c r="L395" s="12" t="n">
        <f aca="false">MROUND(H395*120*'Rate Card'!$B$48,500)</f>
        <v>96000</v>
      </c>
      <c r="M395" s="12" t="n">
        <f aca="false">MROUND(I395*120*'Rate Card'!$B$48,500)</f>
        <v>92000</v>
      </c>
      <c r="N395" s="14" t="s">
        <v>350</v>
      </c>
      <c r="O395" s="46" t="n">
        <v>0.72</v>
      </c>
      <c r="P395" s="46" t="n">
        <v>1</v>
      </c>
    </row>
    <row r="396" customFormat="false" ht="15" hidden="false" customHeight="true" outlineLevel="0" collapsed="false">
      <c r="A396" s="9" t="n">
        <v>371</v>
      </c>
      <c r="B396" s="43" t="s">
        <v>133</v>
      </c>
      <c r="C396" s="43" t="s">
        <v>1099</v>
      </c>
      <c r="D396" s="44"/>
      <c r="E396" s="43" t="s">
        <v>1100</v>
      </c>
      <c r="F396" s="45" t="s">
        <v>348</v>
      </c>
      <c r="G396" s="45" t="s">
        <v>1105</v>
      </c>
      <c r="H396" s="12" t="n">
        <f aca="false">MROUND('Rate Card'!$I$25*O396*P396,10)</f>
        <v>940</v>
      </c>
      <c r="I396" s="12" t="n">
        <f aca="false">MROUND('Rate Card'!$K$25*O396*P396,10)</f>
        <v>900</v>
      </c>
      <c r="J396" s="12" t="n">
        <f aca="false">MROUND(H396*4*'Rate Card'!$B$47,100)</f>
        <v>3600</v>
      </c>
      <c r="K396" s="12" t="n">
        <f aca="false">MROUND(I396*4*'Rate Card'!$B$47,100)</f>
        <v>3400</v>
      </c>
      <c r="L396" s="12" t="n">
        <f aca="false">MROUND(H396*120*'Rate Card'!$B$48,500)</f>
        <v>96000</v>
      </c>
      <c r="M396" s="12" t="n">
        <f aca="false">MROUND(I396*120*'Rate Card'!$B$48,500)</f>
        <v>92000</v>
      </c>
      <c r="N396" s="14" t="s">
        <v>350</v>
      </c>
      <c r="O396" s="46" t="n">
        <v>0.72</v>
      </c>
      <c r="P396" s="46" t="n">
        <v>1</v>
      </c>
    </row>
    <row r="397" customFormat="false" ht="15" hidden="false" customHeight="true" outlineLevel="0" collapsed="false">
      <c r="A397" s="42" t="s">
        <v>1106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</row>
    <row r="398" customFormat="false" ht="15" hidden="false" customHeight="true" outlineLevel="0" collapsed="false">
      <c r="A398" s="9" t="n">
        <v>372</v>
      </c>
      <c r="B398" s="43" t="s">
        <v>135</v>
      </c>
      <c r="C398" s="43" t="s">
        <v>1107</v>
      </c>
      <c r="D398" s="44"/>
      <c r="E398" s="43" t="s">
        <v>1108</v>
      </c>
      <c r="F398" s="45" t="s">
        <v>748</v>
      </c>
      <c r="G398" s="45" t="s">
        <v>1109</v>
      </c>
      <c r="H398" s="12" t="n">
        <f aca="false">MROUND('Rate Card'!$I$26*O398*P398,10)</f>
        <v>1800</v>
      </c>
      <c r="I398" s="12" t="n">
        <f aca="false">MROUND('Rate Card'!$K$26*O398*P398,10)</f>
        <v>1720</v>
      </c>
      <c r="J398" s="12" t="n">
        <f aca="false">MROUND(H398*4*'Rate Card'!$B$47,100)</f>
        <v>6800</v>
      </c>
      <c r="K398" s="12" t="n">
        <f aca="false">MROUND(I398*4*'Rate Card'!$B$47,100)</f>
        <v>6500</v>
      </c>
      <c r="L398" s="12" t="n">
        <f aca="false">MROUND(H398*120*'Rate Card'!$B$48,500)</f>
        <v>183500</v>
      </c>
      <c r="M398" s="12" t="n">
        <f aca="false">MROUND(I398*120*'Rate Card'!$B$48,500)</f>
        <v>175500</v>
      </c>
      <c r="N398" s="14"/>
      <c r="O398" s="46" t="n">
        <v>0.82</v>
      </c>
      <c r="P398" s="46" t="n">
        <v>1</v>
      </c>
    </row>
    <row r="399" customFormat="false" ht="15" hidden="false" customHeight="true" outlineLevel="0" collapsed="false">
      <c r="A399" s="9" t="n">
        <v>373</v>
      </c>
      <c r="B399" s="43" t="s">
        <v>135</v>
      </c>
      <c r="C399" s="43" t="s">
        <v>1107</v>
      </c>
      <c r="D399" s="44"/>
      <c r="E399" s="43" t="s">
        <v>1110</v>
      </c>
      <c r="F399" s="45" t="s">
        <v>423</v>
      </c>
      <c r="G399" s="45" t="s">
        <v>1111</v>
      </c>
      <c r="H399" s="12" t="n">
        <f aca="false">MROUND('Rate Card'!$I$26*O399*P399,10)</f>
        <v>1430</v>
      </c>
      <c r="I399" s="12" t="n">
        <f aca="false">MROUND('Rate Card'!$K$26*O399*P399,10)</f>
        <v>1370</v>
      </c>
      <c r="J399" s="12" t="n">
        <f aca="false">MROUND(H399*4*'Rate Card'!$B$47,100)</f>
        <v>5400</v>
      </c>
      <c r="K399" s="12" t="n">
        <f aca="false">MROUND(I399*4*'Rate Card'!$B$47,100)</f>
        <v>5200</v>
      </c>
      <c r="L399" s="12" t="n">
        <f aca="false">MROUND(H399*120*'Rate Card'!$B$48,500)</f>
        <v>146000</v>
      </c>
      <c r="M399" s="12" t="n">
        <f aca="false">MROUND(I399*120*'Rate Card'!$B$48,500)</f>
        <v>139500</v>
      </c>
      <c r="N399" s="14" t="s">
        <v>355</v>
      </c>
      <c r="O399" s="46" t="n">
        <v>0.65</v>
      </c>
      <c r="P399" s="46" t="n">
        <v>1</v>
      </c>
    </row>
    <row r="400" customFormat="false" ht="15" hidden="false" customHeight="true" outlineLevel="0" collapsed="false">
      <c r="A400" s="9" t="n">
        <v>374</v>
      </c>
      <c r="B400" s="43" t="s">
        <v>135</v>
      </c>
      <c r="C400" s="43" t="s">
        <v>476</v>
      </c>
      <c r="D400" s="44"/>
      <c r="E400" s="43" t="s">
        <v>472</v>
      </c>
      <c r="F400" s="45" t="s">
        <v>472</v>
      </c>
      <c r="G400" s="45" t="s">
        <v>1112</v>
      </c>
      <c r="H400" s="12" t="n">
        <f aca="false">MROUND('Rate Card'!$I$26*O400*P400,10)</f>
        <v>1280</v>
      </c>
      <c r="I400" s="12" t="n">
        <f aca="false">MROUND('Rate Card'!$K$26*O400*P400,10)</f>
        <v>1220</v>
      </c>
      <c r="J400" s="12" t="n">
        <f aca="false">MROUND(H400*4*'Rate Card'!$B$47,100)</f>
        <v>4900</v>
      </c>
      <c r="K400" s="12" t="n">
        <f aca="false">MROUND(I400*4*'Rate Card'!$B$47,100)</f>
        <v>4600</v>
      </c>
      <c r="L400" s="12" t="n">
        <f aca="false">MROUND(H400*120*'Rate Card'!$B$48,500)</f>
        <v>130500</v>
      </c>
      <c r="M400" s="12" t="n">
        <f aca="false">MROUND(I400*120*'Rate Card'!$B$48,500)</f>
        <v>124500</v>
      </c>
      <c r="N400" s="14" t="s">
        <v>486</v>
      </c>
      <c r="O400" s="46" t="n">
        <v>0.58</v>
      </c>
      <c r="P400" s="46" t="n">
        <v>1</v>
      </c>
    </row>
    <row r="401" customFormat="false" ht="15" hidden="false" customHeight="true" outlineLevel="0" collapsed="false">
      <c r="A401" s="42" t="s">
        <v>1113</v>
      </c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</row>
    <row r="402" customFormat="false" ht="15" hidden="false" customHeight="true" outlineLevel="0" collapsed="false">
      <c r="A402" s="9" t="n">
        <v>375</v>
      </c>
      <c r="B402" s="43" t="s">
        <v>137</v>
      </c>
      <c r="C402" s="43" t="s">
        <v>425</v>
      </c>
      <c r="D402" s="44" t="s">
        <v>1114</v>
      </c>
      <c r="E402" s="43" t="s">
        <v>472</v>
      </c>
      <c r="F402" s="45" t="s">
        <v>729</v>
      </c>
      <c r="G402" s="45" t="s">
        <v>1115</v>
      </c>
      <c r="H402" s="12" t="n">
        <f aca="false">MROUND('Rate Card'!$I$27*O402*P402,10)</f>
        <v>1760</v>
      </c>
      <c r="I402" s="12" t="n">
        <f aca="false">MROUND('Rate Card'!$K$27*O402*P402,10)</f>
        <v>970</v>
      </c>
      <c r="J402" s="12" t="n">
        <f aca="false">MROUND(H402*4*'Rate Card'!$B$47,100)</f>
        <v>6700</v>
      </c>
      <c r="K402" s="12" t="n">
        <f aca="false">MROUND(I402*4*'Rate Card'!$B$47,100)</f>
        <v>3700</v>
      </c>
      <c r="L402" s="12" t="n">
        <f aca="false">MROUND(H402*120*'Rate Card'!$B$48,500)</f>
        <v>179500</v>
      </c>
      <c r="M402" s="12" t="n">
        <f aca="false">MROUND(I402*120*'Rate Card'!$B$48,500)</f>
        <v>99000</v>
      </c>
      <c r="N402" s="14" t="s">
        <v>350</v>
      </c>
      <c r="O402" s="46" t="n">
        <v>0.72</v>
      </c>
      <c r="P402" s="46" t="n">
        <v>1</v>
      </c>
    </row>
    <row r="403" customFormat="false" ht="15" hidden="false" customHeight="true" outlineLevel="0" collapsed="false">
      <c r="A403" s="9" t="n">
        <v>376</v>
      </c>
      <c r="B403" s="43" t="s">
        <v>137</v>
      </c>
      <c r="C403" s="43" t="s">
        <v>394</v>
      </c>
      <c r="D403" s="44" t="s">
        <v>1116</v>
      </c>
      <c r="E403" s="43" t="s">
        <v>913</v>
      </c>
      <c r="F403" s="45" t="s">
        <v>729</v>
      </c>
      <c r="G403" s="45" t="s">
        <v>1117</v>
      </c>
      <c r="H403" s="12" t="n">
        <f aca="false">MROUND('Rate Card'!$I$27*O403*P403,10)</f>
        <v>1760</v>
      </c>
      <c r="I403" s="12" t="n">
        <f aca="false">MROUND('Rate Card'!$K$27*O403*P403,10)</f>
        <v>970</v>
      </c>
      <c r="J403" s="12" t="n">
        <f aca="false">MROUND(H403*4*'Rate Card'!$B$47,100)</f>
        <v>6700</v>
      </c>
      <c r="K403" s="12" t="n">
        <f aca="false">MROUND(I403*4*'Rate Card'!$B$47,100)</f>
        <v>3700</v>
      </c>
      <c r="L403" s="12" t="n">
        <f aca="false">MROUND(H403*120*'Rate Card'!$B$48,500)</f>
        <v>179500</v>
      </c>
      <c r="M403" s="12" t="n">
        <f aca="false">MROUND(I403*120*'Rate Card'!$B$48,500)</f>
        <v>99000</v>
      </c>
      <c r="N403" s="14" t="s">
        <v>350</v>
      </c>
      <c r="O403" s="46" t="n">
        <v>0.72</v>
      </c>
      <c r="P403" s="46" t="n">
        <v>1</v>
      </c>
    </row>
    <row r="404" customFormat="false" ht="15" hidden="false" customHeight="true" outlineLevel="0" collapsed="false">
      <c r="A404" s="9" t="n">
        <v>377</v>
      </c>
      <c r="B404" s="43" t="s">
        <v>137</v>
      </c>
      <c r="C404" s="43" t="s">
        <v>394</v>
      </c>
      <c r="D404" s="44" t="s">
        <v>1118</v>
      </c>
      <c r="E404" s="43" t="s">
        <v>472</v>
      </c>
      <c r="F404" s="45" t="s">
        <v>602</v>
      </c>
      <c r="G404" s="45" t="s">
        <v>1119</v>
      </c>
      <c r="H404" s="12" t="n">
        <f aca="false">MROUND('Rate Card'!$I$27*O404*P404,10)</f>
        <v>1420</v>
      </c>
      <c r="I404" s="12" t="n">
        <f aca="false">MROUND('Rate Card'!$K$27*O404*P404,10)</f>
        <v>780</v>
      </c>
      <c r="J404" s="12" t="n">
        <f aca="false">MROUND(H404*4*'Rate Card'!$B$47,100)</f>
        <v>5400</v>
      </c>
      <c r="K404" s="12" t="n">
        <f aca="false">MROUND(I404*4*'Rate Card'!$B$47,100)</f>
        <v>3000</v>
      </c>
      <c r="L404" s="12" t="n">
        <f aca="false">MROUND(H404*120*'Rate Card'!$B$48,500)</f>
        <v>145000</v>
      </c>
      <c r="M404" s="12" t="n">
        <f aca="false">MROUND(I404*120*'Rate Card'!$B$48,500)</f>
        <v>79500</v>
      </c>
      <c r="N404" s="14" t="s">
        <v>364</v>
      </c>
      <c r="O404" s="46" t="n">
        <v>0.58</v>
      </c>
      <c r="P404" s="46" t="n">
        <v>1</v>
      </c>
    </row>
    <row r="405" customFormat="false" ht="15" hidden="false" customHeight="true" outlineLevel="0" collapsed="false">
      <c r="A405" s="9" t="n">
        <v>378</v>
      </c>
      <c r="B405" s="43" t="s">
        <v>137</v>
      </c>
      <c r="C405" s="43" t="s">
        <v>425</v>
      </c>
      <c r="D405" s="44" t="s">
        <v>1120</v>
      </c>
      <c r="E405" s="43" t="s">
        <v>913</v>
      </c>
      <c r="F405" s="45" t="s">
        <v>602</v>
      </c>
      <c r="G405" s="45" t="s">
        <v>1121</v>
      </c>
      <c r="H405" s="12" t="n">
        <f aca="false">MROUND('Rate Card'!$I$27*O405*P405,10)</f>
        <v>1420</v>
      </c>
      <c r="I405" s="12" t="n">
        <f aca="false">MROUND('Rate Card'!$K$27*O405*P405,10)</f>
        <v>780</v>
      </c>
      <c r="J405" s="12" t="n">
        <f aca="false">MROUND(H405*4*'Rate Card'!$B$47,100)</f>
        <v>5400</v>
      </c>
      <c r="K405" s="12" t="n">
        <f aca="false">MROUND(I405*4*'Rate Card'!$B$47,100)</f>
        <v>3000</v>
      </c>
      <c r="L405" s="12" t="n">
        <f aca="false">MROUND(H405*120*'Rate Card'!$B$48,500)</f>
        <v>145000</v>
      </c>
      <c r="M405" s="12" t="n">
        <f aca="false">MROUND(I405*120*'Rate Card'!$B$48,500)</f>
        <v>79500</v>
      </c>
      <c r="N405" s="14" t="s">
        <v>364</v>
      </c>
      <c r="O405" s="46" t="n">
        <v>0.58</v>
      </c>
      <c r="P405" s="46" t="n">
        <v>1</v>
      </c>
    </row>
    <row r="406" customFormat="false" ht="15" hidden="false" customHeight="true" outlineLevel="0" collapsed="false">
      <c r="A406" s="9" t="n">
        <v>379</v>
      </c>
      <c r="B406" s="43" t="s">
        <v>137</v>
      </c>
      <c r="C406" s="43" t="s">
        <v>1122</v>
      </c>
      <c r="D406" s="44" t="s">
        <v>1123</v>
      </c>
      <c r="E406" s="43" t="s">
        <v>531</v>
      </c>
      <c r="F406" s="45" t="s">
        <v>472</v>
      </c>
      <c r="G406" s="45" t="s">
        <v>1124</v>
      </c>
      <c r="H406" s="12" t="n">
        <f aca="false">MROUND('Rate Card'!$I$27*O406*P406,10)</f>
        <v>1420</v>
      </c>
      <c r="I406" s="12" t="n">
        <f aca="false">MROUND('Rate Card'!$K$27*O406*P406,10)</f>
        <v>780</v>
      </c>
      <c r="J406" s="12" t="n">
        <f aca="false">MROUND(H406*4*'Rate Card'!$B$47,100)</f>
        <v>5400</v>
      </c>
      <c r="K406" s="12" t="n">
        <f aca="false">MROUND(I406*4*'Rate Card'!$B$47,100)</f>
        <v>3000</v>
      </c>
      <c r="L406" s="12" t="n">
        <f aca="false">MROUND(H406*120*'Rate Card'!$B$48,500)</f>
        <v>145000</v>
      </c>
      <c r="M406" s="12" t="n">
        <f aca="false">MROUND(I406*120*'Rate Card'!$B$48,500)</f>
        <v>79500</v>
      </c>
      <c r="N406" s="14" t="s">
        <v>486</v>
      </c>
      <c r="O406" s="46" t="n">
        <v>0.58</v>
      </c>
      <c r="P406" s="46" t="n">
        <v>1</v>
      </c>
    </row>
    <row r="407" customFormat="false" ht="15" hidden="false" customHeight="true" outlineLevel="0" collapsed="false">
      <c r="A407" s="9" t="n">
        <v>380</v>
      </c>
      <c r="B407" s="43" t="s">
        <v>137</v>
      </c>
      <c r="C407" s="43" t="s">
        <v>394</v>
      </c>
      <c r="D407" s="44"/>
      <c r="E407" s="43" t="s">
        <v>472</v>
      </c>
      <c r="F407" s="45" t="s">
        <v>472</v>
      </c>
      <c r="G407" s="45"/>
      <c r="H407" s="12" t="n">
        <f aca="false">MROUND('Rate Card'!$I$27*O407*P407,10)</f>
        <v>1420</v>
      </c>
      <c r="I407" s="12" t="n">
        <f aca="false">MROUND('Rate Card'!$K$27*O407*P407,10)</f>
        <v>780</v>
      </c>
      <c r="J407" s="12" t="n">
        <f aca="false">MROUND(H407*4*'Rate Card'!$B$47,100)</f>
        <v>5400</v>
      </c>
      <c r="K407" s="12" t="n">
        <f aca="false">MROUND(I407*4*'Rate Card'!$B$47,100)</f>
        <v>3000</v>
      </c>
      <c r="L407" s="12" t="n">
        <f aca="false">MROUND(H407*120*'Rate Card'!$B$48,500)</f>
        <v>145000</v>
      </c>
      <c r="M407" s="12" t="n">
        <f aca="false">MROUND(I407*120*'Rate Card'!$B$48,500)</f>
        <v>79500</v>
      </c>
      <c r="N407" s="14" t="s">
        <v>486</v>
      </c>
      <c r="O407" s="46" t="n">
        <v>0.58</v>
      </c>
      <c r="P407" s="46" t="n">
        <v>1</v>
      </c>
    </row>
    <row r="408" customFormat="false" ht="15" hidden="false" customHeight="true" outlineLevel="0" collapsed="false">
      <c r="A408" s="42" t="s">
        <v>1125</v>
      </c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</row>
    <row r="409" customFormat="false" ht="15" hidden="false" customHeight="true" outlineLevel="0" collapsed="false">
      <c r="A409" s="9" t="n">
        <v>381</v>
      </c>
      <c r="B409" s="43" t="s">
        <v>139</v>
      </c>
      <c r="C409" s="43" t="s">
        <v>463</v>
      </c>
      <c r="D409" s="44" t="s">
        <v>1126</v>
      </c>
      <c r="E409" s="43" t="s">
        <v>1127</v>
      </c>
      <c r="F409" s="45" t="s">
        <v>297</v>
      </c>
      <c r="G409" s="45"/>
      <c r="H409" s="12" t="n">
        <f aca="false">MROUND('Rate Card'!$I$28*O409*P409,10)</f>
        <v>10510</v>
      </c>
      <c r="I409" s="12" t="n">
        <f aca="false">MROUND('Rate Card'!$K$28*O409*P409,10)</f>
        <v>4730</v>
      </c>
      <c r="J409" s="12" t="n">
        <f aca="false">MROUND(H409*4*'Rate Card'!$B$47,100)</f>
        <v>39900</v>
      </c>
      <c r="K409" s="12" t="n">
        <f aca="false">MROUND(I409*4*'Rate Card'!$B$47,100)</f>
        <v>18000</v>
      </c>
      <c r="L409" s="12" t="n">
        <f aca="false">MROUND(H409*120*'Rate Card'!$B$48,500)</f>
        <v>1072000</v>
      </c>
      <c r="M409" s="12" t="n">
        <f aca="false">MROUND(I409*120*'Rate Card'!$B$48,500)</f>
        <v>482500</v>
      </c>
      <c r="N409" s="14" t="s">
        <v>1128</v>
      </c>
      <c r="O409" s="46" t="n">
        <v>1</v>
      </c>
      <c r="P409" s="46" t="n">
        <v>1.1</v>
      </c>
    </row>
    <row r="410" customFormat="false" ht="15" hidden="false" customHeight="true" outlineLevel="0" collapsed="false">
      <c r="A410" s="9" t="n">
        <v>382</v>
      </c>
      <c r="B410" s="43" t="s">
        <v>139</v>
      </c>
      <c r="C410" s="43" t="s">
        <v>463</v>
      </c>
      <c r="D410" s="44" t="s">
        <v>1129</v>
      </c>
      <c r="E410" s="43" t="s">
        <v>1127</v>
      </c>
      <c r="F410" s="45" t="s">
        <v>297</v>
      </c>
      <c r="G410" s="45"/>
      <c r="H410" s="12" t="n">
        <f aca="false">MROUND('Rate Card'!$I$28*O410*P410,10)</f>
        <v>10510</v>
      </c>
      <c r="I410" s="12" t="n">
        <f aca="false">MROUND('Rate Card'!$K$28*O410*P410,10)</f>
        <v>4730</v>
      </c>
      <c r="J410" s="12" t="n">
        <f aca="false">MROUND(H410*4*'Rate Card'!$B$47,100)</f>
        <v>39900</v>
      </c>
      <c r="K410" s="12" t="n">
        <f aca="false">MROUND(I410*4*'Rate Card'!$B$47,100)</f>
        <v>18000</v>
      </c>
      <c r="L410" s="12" t="n">
        <f aca="false">MROUND(H410*120*'Rate Card'!$B$48,500)</f>
        <v>1072000</v>
      </c>
      <c r="M410" s="12" t="n">
        <f aca="false">MROUND(I410*120*'Rate Card'!$B$48,500)</f>
        <v>482500</v>
      </c>
      <c r="N410" s="14" t="s">
        <v>1128</v>
      </c>
      <c r="O410" s="46" t="n">
        <v>1</v>
      </c>
      <c r="P410" s="46" t="n">
        <v>1.1</v>
      </c>
    </row>
    <row r="411" customFormat="false" ht="15" hidden="false" customHeight="true" outlineLevel="0" collapsed="false">
      <c r="A411" s="9" t="n">
        <v>383</v>
      </c>
      <c r="B411" s="43" t="s">
        <v>139</v>
      </c>
      <c r="C411" s="43" t="s">
        <v>463</v>
      </c>
      <c r="D411" s="44" t="s">
        <v>1130</v>
      </c>
      <c r="E411" s="43" t="s">
        <v>1127</v>
      </c>
      <c r="F411" s="45" t="s">
        <v>297</v>
      </c>
      <c r="G411" s="45"/>
      <c r="H411" s="12" t="n">
        <f aca="false">MROUND('Rate Card'!$I$28*O411*P411,10)</f>
        <v>10510</v>
      </c>
      <c r="I411" s="12" t="n">
        <f aca="false">MROUND('Rate Card'!$K$28*O411*P411,10)</f>
        <v>4730</v>
      </c>
      <c r="J411" s="12" t="n">
        <f aca="false">MROUND(H411*4*'Rate Card'!$B$47,100)</f>
        <v>39900</v>
      </c>
      <c r="K411" s="12" t="n">
        <f aca="false">MROUND(I411*4*'Rate Card'!$B$47,100)</f>
        <v>18000</v>
      </c>
      <c r="L411" s="12" t="n">
        <f aca="false">MROUND(H411*120*'Rate Card'!$B$48,500)</f>
        <v>1072000</v>
      </c>
      <c r="M411" s="12" t="n">
        <f aca="false">MROUND(I411*120*'Rate Card'!$B$48,500)</f>
        <v>482500</v>
      </c>
      <c r="N411" s="14" t="s">
        <v>1128</v>
      </c>
      <c r="O411" s="46" t="n">
        <v>1</v>
      </c>
      <c r="P411" s="46" t="n">
        <v>1.1</v>
      </c>
    </row>
    <row r="412" customFormat="false" ht="15" hidden="false" customHeight="true" outlineLevel="0" collapsed="false">
      <c r="A412" s="9" t="n">
        <v>384</v>
      </c>
      <c r="B412" s="43" t="s">
        <v>139</v>
      </c>
      <c r="C412" s="43" t="s">
        <v>463</v>
      </c>
      <c r="D412" s="44" t="s">
        <v>1131</v>
      </c>
      <c r="E412" s="43" t="s">
        <v>1127</v>
      </c>
      <c r="F412" s="45" t="s">
        <v>297</v>
      </c>
      <c r="G412" s="45"/>
      <c r="H412" s="12" t="n">
        <f aca="false">MROUND('Rate Card'!$I$28*O412*P412,10)</f>
        <v>10510</v>
      </c>
      <c r="I412" s="12" t="n">
        <f aca="false">MROUND('Rate Card'!$K$28*O412*P412,10)</f>
        <v>4730</v>
      </c>
      <c r="J412" s="12" t="n">
        <f aca="false">MROUND(H412*4*'Rate Card'!$B$47,100)</f>
        <v>39900</v>
      </c>
      <c r="K412" s="12" t="n">
        <f aca="false">MROUND(I412*4*'Rate Card'!$B$47,100)</f>
        <v>18000</v>
      </c>
      <c r="L412" s="12" t="n">
        <f aca="false">MROUND(H412*120*'Rate Card'!$B$48,500)</f>
        <v>1072000</v>
      </c>
      <c r="M412" s="12" t="n">
        <f aca="false">MROUND(I412*120*'Rate Card'!$B$48,500)</f>
        <v>482500</v>
      </c>
      <c r="N412" s="14" t="s">
        <v>1128</v>
      </c>
      <c r="O412" s="46" t="n">
        <v>1</v>
      </c>
      <c r="P412" s="46" t="n">
        <v>1.1</v>
      </c>
    </row>
    <row r="413" customFormat="false" ht="15" hidden="false" customHeight="true" outlineLevel="0" collapsed="false">
      <c r="A413" s="9" t="n">
        <v>385</v>
      </c>
      <c r="B413" s="43" t="s">
        <v>139</v>
      </c>
      <c r="C413" s="43" t="s">
        <v>1132</v>
      </c>
      <c r="D413" s="44" t="s">
        <v>1133</v>
      </c>
      <c r="E413" s="43" t="s">
        <v>1134</v>
      </c>
      <c r="F413" s="45" t="s">
        <v>450</v>
      </c>
      <c r="G413" s="45"/>
      <c r="H413" s="12" t="n">
        <f aca="false">MROUND('Rate Card'!$I$28*O413*P413,10)</f>
        <v>5710</v>
      </c>
      <c r="I413" s="12" t="n">
        <f aca="false">MROUND('Rate Card'!$K$28*O413*P413,10)</f>
        <v>2570</v>
      </c>
      <c r="J413" s="12" t="n">
        <f aca="false">MROUND(H413*4*'Rate Card'!$B$47,100)</f>
        <v>21700</v>
      </c>
      <c r="K413" s="12" t="n">
        <f aca="false">MROUND(I413*4*'Rate Card'!$B$47,100)</f>
        <v>9800</v>
      </c>
      <c r="L413" s="12" t="n">
        <f aca="false">MROUND(H413*120*'Rate Card'!$B$48,500)</f>
        <v>582500</v>
      </c>
      <c r="M413" s="12" t="n">
        <f aca="false">MROUND(I413*120*'Rate Card'!$B$48,500)</f>
        <v>262000</v>
      </c>
      <c r="N413" s="14" t="s">
        <v>1135</v>
      </c>
      <c r="O413" s="46" t="n">
        <v>0.92</v>
      </c>
      <c r="P413" s="46" t="n">
        <v>0.65</v>
      </c>
    </row>
    <row r="414" customFormat="false" ht="15" hidden="false" customHeight="true" outlineLevel="0" collapsed="false">
      <c r="A414" s="9" t="n">
        <v>386</v>
      </c>
      <c r="B414" s="43" t="s">
        <v>139</v>
      </c>
      <c r="C414" s="43" t="s">
        <v>1132</v>
      </c>
      <c r="D414" s="44" t="s">
        <v>1136</v>
      </c>
      <c r="E414" s="43" t="s">
        <v>1137</v>
      </c>
      <c r="F414" s="45" t="s">
        <v>397</v>
      </c>
      <c r="G414" s="45" t="s">
        <v>1138</v>
      </c>
      <c r="H414" s="12" t="n">
        <f aca="false">MROUND('Rate Card'!$I$28*O414*P414,10)</f>
        <v>10100</v>
      </c>
      <c r="I414" s="12" t="n">
        <f aca="false">MROUND('Rate Card'!$K$28*O414*P414,10)</f>
        <v>4550</v>
      </c>
      <c r="J414" s="12" t="n">
        <f aca="false">MROUND(H414*4*'Rate Card'!$B$47,100)</f>
        <v>38400</v>
      </c>
      <c r="K414" s="12" t="n">
        <f aca="false">MROUND(I414*4*'Rate Card'!$B$47,100)</f>
        <v>17300</v>
      </c>
      <c r="L414" s="12" t="n">
        <f aca="false">MROUND(H414*120*'Rate Card'!$B$48,500)</f>
        <v>1030000</v>
      </c>
      <c r="M414" s="12" t="n">
        <f aca="false">MROUND(I414*120*'Rate Card'!$B$48,500)</f>
        <v>464000</v>
      </c>
      <c r="N414" s="14" t="s">
        <v>1139</v>
      </c>
      <c r="O414" s="46" t="n">
        <v>0.92</v>
      </c>
      <c r="P414" s="46" t="n">
        <v>1.15</v>
      </c>
    </row>
    <row r="415" customFormat="false" ht="15" hidden="false" customHeight="true" outlineLevel="0" collapsed="false">
      <c r="A415" s="9" t="n">
        <v>387</v>
      </c>
      <c r="B415" s="43" t="s">
        <v>139</v>
      </c>
      <c r="C415" s="43" t="s">
        <v>1132</v>
      </c>
      <c r="D415" s="44" t="s">
        <v>1140</v>
      </c>
      <c r="E415" s="43" t="s">
        <v>1137</v>
      </c>
      <c r="F415" s="45" t="s">
        <v>397</v>
      </c>
      <c r="G415" s="45" t="s">
        <v>1138</v>
      </c>
      <c r="H415" s="12" t="n">
        <f aca="false">MROUND('Rate Card'!$I$28*O415*P415,10)</f>
        <v>10100</v>
      </c>
      <c r="I415" s="12" t="n">
        <f aca="false">MROUND('Rate Card'!$K$28*O415*P415,10)</f>
        <v>4550</v>
      </c>
      <c r="J415" s="12" t="n">
        <f aca="false">MROUND(H415*4*'Rate Card'!$B$47,100)</f>
        <v>38400</v>
      </c>
      <c r="K415" s="12" t="n">
        <f aca="false">MROUND(I415*4*'Rate Card'!$B$47,100)</f>
        <v>17300</v>
      </c>
      <c r="L415" s="12" t="n">
        <f aca="false">MROUND(H415*120*'Rate Card'!$B$48,500)</f>
        <v>1030000</v>
      </c>
      <c r="M415" s="12" t="n">
        <f aca="false">MROUND(I415*120*'Rate Card'!$B$48,500)</f>
        <v>464000</v>
      </c>
      <c r="N415" s="14" t="s">
        <v>1139</v>
      </c>
      <c r="O415" s="46" t="n">
        <v>0.92</v>
      </c>
      <c r="P415" s="46" t="n">
        <v>1.15</v>
      </c>
    </row>
    <row r="416" customFormat="false" ht="15" hidden="false" customHeight="true" outlineLevel="0" collapsed="false">
      <c r="A416" s="9" t="n">
        <v>388</v>
      </c>
      <c r="B416" s="43" t="s">
        <v>139</v>
      </c>
      <c r="C416" s="43" t="s">
        <v>1132</v>
      </c>
      <c r="D416" s="44" t="s">
        <v>1141</v>
      </c>
      <c r="E416" s="43" t="s">
        <v>1137</v>
      </c>
      <c r="F416" s="45" t="s">
        <v>397</v>
      </c>
      <c r="G416" s="45" t="s">
        <v>1138</v>
      </c>
      <c r="H416" s="12" t="n">
        <f aca="false">MROUND('Rate Card'!$I$28*O416*P416,10)</f>
        <v>10100</v>
      </c>
      <c r="I416" s="12" t="n">
        <f aca="false">MROUND('Rate Card'!$K$28*O416*P416,10)</f>
        <v>4550</v>
      </c>
      <c r="J416" s="12" t="n">
        <f aca="false">MROUND(H416*4*'Rate Card'!$B$47,100)</f>
        <v>38400</v>
      </c>
      <c r="K416" s="12" t="n">
        <f aca="false">MROUND(I416*4*'Rate Card'!$B$47,100)</f>
        <v>17300</v>
      </c>
      <c r="L416" s="12" t="n">
        <f aca="false">MROUND(H416*120*'Rate Card'!$B$48,500)</f>
        <v>1030000</v>
      </c>
      <c r="M416" s="12" t="n">
        <f aca="false">MROUND(I416*120*'Rate Card'!$B$48,500)</f>
        <v>464000</v>
      </c>
      <c r="N416" s="14" t="s">
        <v>1139</v>
      </c>
      <c r="O416" s="46" t="n">
        <v>0.92</v>
      </c>
      <c r="P416" s="46" t="n">
        <v>1.15</v>
      </c>
    </row>
    <row r="417" customFormat="false" ht="15" hidden="false" customHeight="true" outlineLevel="0" collapsed="false">
      <c r="A417" s="9" t="n">
        <v>389</v>
      </c>
      <c r="B417" s="43" t="s">
        <v>139</v>
      </c>
      <c r="C417" s="43" t="s">
        <v>1132</v>
      </c>
      <c r="D417" s="44" t="s">
        <v>1142</v>
      </c>
      <c r="E417" s="43" t="s">
        <v>1137</v>
      </c>
      <c r="F417" s="45" t="s">
        <v>397</v>
      </c>
      <c r="G417" s="45" t="s">
        <v>1138</v>
      </c>
      <c r="H417" s="12" t="n">
        <f aca="false">MROUND('Rate Card'!$I$28*O417*P417,10)</f>
        <v>10100</v>
      </c>
      <c r="I417" s="12" t="n">
        <f aca="false">MROUND('Rate Card'!$K$28*O417*P417,10)</f>
        <v>4550</v>
      </c>
      <c r="J417" s="12" t="n">
        <f aca="false">MROUND(H417*4*'Rate Card'!$B$47,100)</f>
        <v>38400</v>
      </c>
      <c r="K417" s="12" t="n">
        <f aca="false">MROUND(I417*4*'Rate Card'!$B$47,100)</f>
        <v>17300</v>
      </c>
      <c r="L417" s="12" t="n">
        <f aca="false">MROUND(H417*120*'Rate Card'!$B$48,500)</f>
        <v>1030000</v>
      </c>
      <c r="M417" s="12" t="n">
        <f aca="false">MROUND(I417*120*'Rate Card'!$B$48,500)</f>
        <v>464000</v>
      </c>
      <c r="N417" s="14" t="s">
        <v>1139</v>
      </c>
      <c r="O417" s="46" t="n">
        <v>0.92</v>
      </c>
      <c r="P417" s="46" t="n">
        <v>1.15</v>
      </c>
    </row>
    <row r="418" customFormat="false" ht="15" hidden="false" customHeight="true" outlineLevel="0" collapsed="false">
      <c r="A418" s="9" t="n">
        <v>390</v>
      </c>
      <c r="B418" s="43" t="s">
        <v>139</v>
      </c>
      <c r="C418" s="43" t="s">
        <v>1132</v>
      </c>
      <c r="D418" s="44" t="s">
        <v>1143</v>
      </c>
      <c r="E418" s="43" t="s">
        <v>1137</v>
      </c>
      <c r="F418" s="45" t="s">
        <v>397</v>
      </c>
      <c r="G418" s="45" t="s">
        <v>1138</v>
      </c>
      <c r="H418" s="12" t="n">
        <f aca="false">MROUND('Rate Card'!$I$28*O418*P418,10)</f>
        <v>10100</v>
      </c>
      <c r="I418" s="12" t="n">
        <f aca="false">MROUND('Rate Card'!$K$28*O418*P418,10)</f>
        <v>4550</v>
      </c>
      <c r="J418" s="12" t="n">
        <f aca="false">MROUND(H418*4*'Rate Card'!$B$47,100)</f>
        <v>38400</v>
      </c>
      <c r="K418" s="12" t="n">
        <f aca="false">MROUND(I418*4*'Rate Card'!$B$47,100)</f>
        <v>17300</v>
      </c>
      <c r="L418" s="12" t="n">
        <f aca="false">MROUND(H418*120*'Rate Card'!$B$48,500)</f>
        <v>1030000</v>
      </c>
      <c r="M418" s="12" t="n">
        <f aca="false">MROUND(I418*120*'Rate Card'!$B$48,500)</f>
        <v>464000</v>
      </c>
      <c r="N418" s="14" t="s">
        <v>1139</v>
      </c>
      <c r="O418" s="46" t="n">
        <v>0.92</v>
      </c>
      <c r="P418" s="46" t="n">
        <v>1.15</v>
      </c>
    </row>
    <row r="419" customFormat="false" ht="15" hidden="false" customHeight="true" outlineLevel="0" collapsed="false">
      <c r="A419" s="9" t="n">
        <v>391</v>
      </c>
      <c r="B419" s="43" t="s">
        <v>139</v>
      </c>
      <c r="C419" s="43" t="s">
        <v>1132</v>
      </c>
      <c r="D419" s="44" t="s">
        <v>1144</v>
      </c>
      <c r="E419" s="43" t="s">
        <v>1145</v>
      </c>
      <c r="F419" s="45" t="s">
        <v>397</v>
      </c>
      <c r="G419" s="45"/>
      <c r="H419" s="12" t="n">
        <f aca="false">MROUND('Rate Card'!$I$28*O419*P419,10)</f>
        <v>9660</v>
      </c>
      <c r="I419" s="12" t="n">
        <f aca="false">MROUND('Rate Card'!$K$28*O419*P419,10)</f>
        <v>4350</v>
      </c>
      <c r="J419" s="12" t="n">
        <f aca="false">MROUND(H419*4*'Rate Card'!$B$47,100)</f>
        <v>36700</v>
      </c>
      <c r="K419" s="12" t="n">
        <f aca="false">MROUND(I419*4*'Rate Card'!$B$47,100)</f>
        <v>16500</v>
      </c>
      <c r="L419" s="12" t="n">
        <f aca="false">MROUND(H419*120*'Rate Card'!$B$48,500)</f>
        <v>985500</v>
      </c>
      <c r="M419" s="12" t="n">
        <f aca="false">MROUND(I419*120*'Rate Card'!$B$48,500)</f>
        <v>443500</v>
      </c>
      <c r="N419" s="14" t="s">
        <v>1128</v>
      </c>
      <c r="O419" s="46" t="n">
        <v>0.92</v>
      </c>
      <c r="P419" s="46" t="n">
        <v>1.1</v>
      </c>
    </row>
    <row r="420" customFormat="false" ht="15" hidden="false" customHeight="true" outlineLevel="0" collapsed="false">
      <c r="A420" s="9" t="n">
        <v>392</v>
      </c>
      <c r="B420" s="43" t="s">
        <v>139</v>
      </c>
      <c r="C420" s="43" t="s">
        <v>1132</v>
      </c>
      <c r="D420" s="44" t="s">
        <v>1146</v>
      </c>
      <c r="E420" s="43" t="s">
        <v>1145</v>
      </c>
      <c r="F420" s="45" t="s">
        <v>397</v>
      </c>
      <c r="G420" s="45"/>
      <c r="H420" s="12" t="n">
        <f aca="false">MROUND('Rate Card'!$I$28*O420*P420,10)</f>
        <v>9660</v>
      </c>
      <c r="I420" s="12" t="n">
        <f aca="false">MROUND('Rate Card'!$K$28*O420*P420,10)</f>
        <v>4350</v>
      </c>
      <c r="J420" s="12" t="n">
        <f aca="false">MROUND(H420*4*'Rate Card'!$B$47,100)</f>
        <v>36700</v>
      </c>
      <c r="K420" s="12" t="n">
        <f aca="false">MROUND(I420*4*'Rate Card'!$B$47,100)</f>
        <v>16500</v>
      </c>
      <c r="L420" s="12" t="n">
        <f aca="false">MROUND(H420*120*'Rate Card'!$B$48,500)</f>
        <v>985500</v>
      </c>
      <c r="M420" s="12" t="n">
        <f aca="false">MROUND(I420*120*'Rate Card'!$B$48,500)</f>
        <v>443500</v>
      </c>
      <c r="N420" s="14" t="s">
        <v>1128</v>
      </c>
      <c r="O420" s="46" t="n">
        <v>0.92</v>
      </c>
      <c r="P420" s="46" t="n">
        <v>1.1</v>
      </c>
    </row>
    <row r="421" customFormat="false" ht="15" hidden="false" customHeight="true" outlineLevel="0" collapsed="false">
      <c r="A421" s="9" t="n">
        <v>393</v>
      </c>
      <c r="B421" s="43" t="s">
        <v>139</v>
      </c>
      <c r="C421" s="43" t="s">
        <v>1147</v>
      </c>
      <c r="D421" s="44" t="s">
        <v>1148</v>
      </c>
      <c r="E421" s="43" t="s">
        <v>1149</v>
      </c>
      <c r="F421" s="45" t="s">
        <v>315</v>
      </c>
      <c r="G421" s="45"/>
      <c r="H421" s="12" t="n">
        <f aca="false">MROUND('Rate Card'!$I$28*O421*P421,10)</f>
        <v>8790</v>
      </c>
      <c r="I421" s="12" t="n">
        <f aca="false">MROUND('Rate Card'!$K$28*O421*P421,10)</f>
        <v>3960</v>
      </c>
      <c r="J421" s="12" t="n">
        <f aca="false">MROUND(H421*4*'Rate Card'!$B$47,100)</f>
        <v>33400</v>
      </c>
      <c r="K421" s="12" t="n">
        <f aca="false">MROUND(I421*4*'Rate Card'!$B$47,100)</f>
        <v>15000</v>
      </c>
      <c r="L421" s="12" t="n">
        <f aca="false">MROUND(H421*120*'Rate Card'!$B$48,500)</f>
        <v>896500</v>
      </c>
      <c r="M421" s="12" t="n">
        <f aca="false">MROUND(I421*120*'Rate Card'!$B$48,500)</f>
        <v>404000</v>
      </c>
      <c r="N421" s="14"/>
      <c r="O421" s="46" t="n">
        <v>0.92</v>
      </c>
      <c r="P421" s="46" t="n">
        <v>1</v>
      </c>
    </row>
    <row r="422" customFormat="false" ht="15" hidden="false" customHeight="true" outlineLevel="0" collapsed="false">
      <c r="A422" s="9" t="n">
        <v>394</v>
      </c>
      <c r="B422" s="43" t="s">
        <v>139</v>
      </c>
      <c r="C422" s="43" t="s">
        <v>386</v>
      </c>
      <c r="D422" s="44" t="s">
        <v>1150</v>
      </c>
      <c r="E422" s="43" t="s">
        <v>1151</v>
      </c>
      <c r="F422" s="45" t="s">
        <v>374</v>
      </c>
      <c r="G422" s="45"/>
      <c r="H422" s="12" t="n">
        <f aca="false">MROUND('Rate Card'!$I$28*O422*P422,10)</f>
        <v>4310</v>
      </c>
      <c r="I422" s="12" t="n">
        <f aca="false">MROUND('Rate Card'!$K$28*O422*P422,10)</f>
        <v>1940</v>
      </c>
      <c r="J422" s="12" t="n">
        <f aca="false">MROUND(H422*4*'Rate Card'!$B$47,100)</f>
        <v>16400</v>
      </c>
      <c r="K422" s="12" t="n">
        <f aca="false">MROUND(I422*4*'Rate Card'!$B$47,100)</f>
        <v>7400</v>
      </c>
      <c r="L422" s="12" t="n">
        <f aca="false">MROUND(H422*120*'Rate Card'!$B$48,500)</f>
        <v>439500</v>
      </c>
      <c r="M422" s="12" t="n">
        <f aca="false">MROUND(I422*120*'Rate Card'!$B$48,500)</f>
        <v>198000</v>
      </c>
      <c r="N422" s="14" t="s">
        <v>1152</v>
      </c>
      <c r="O422" s="46" t="n">
        <v>0.82</v>
      </c>
      <c r="P422" s="46" t="n">
        <v>0.55</v>
      </c>
    </row>
    <row r="423" customFormat="false" ht="15" hidden="false" customHeight="true" outlineLevel="0" collapsed="false">
      <c r="A423" s="9" t="n">
        <v>395</v>
      </c>
      <c r="B423" s="43" t="s">
        <v>139</v>
      </c>
      <c r="C423" s="43" t="s">
        <v>1153</v>
      </c>
      <c r="D423" s="44" t="s">
        <v>1154</v>
      </c>
      <c r="E423" s="43" t="s">
        <v>1155</v>
      </c>
      <c r="F423" s="45" t="s">
        <v>374</v>
      </c>
      <c r="G423" s="45"/>
      <c r="H423" s="12" t="n">
        <f aca="false">MROUND('Rate Card'!$I$28*O423*P423,10)</f>
        <v>7440</v>
      </c>
      <c r="I423" s="12" t="n">
        <f aca="false">MROUND('Rate Card'!$K$28*O423*P423,10)</f>
        <v>3350</v>
      </c>
      <c r="J423" s="12" t="n">
        <f aca="false">MROUND(H423*4*'Rate Card'!$B$47,100)</f>
        <v>28300</v>
      </c>
      <c r="K423" s="12" t="n">
        <f aca="false">MROUND(I423*4*'Rate Card'!$B$47,100)</f>
        <v>12700</v>
      </c>
      <c r="L423" s="12" t="n">
        <f aca="false">MROUND(H423*120*'Rate Card'!$B$48,500)</f>
        <v>759000</v>
      </c>
      <c r="M423" s="12" t="n">
        <f aca="false">MROUND(I423*120*'Rate Card'!$B$48,500)</f>
        <v>341500</v>
      </c>
      <c r="N423" s="14" t="s">
        <v>1156</v>
      </c>
      <c r="O423" s="46" t="n">
        <v>0.82</v>
      </c>
      <c r="P423" s="46" t="n">
        <v>0.95</v>
      </c>
    </row>
    <row r="424" customFormat="false" ht="15" hidden="false" customHeight="true" outlineLevel="0" collapsed="false">
      <c r="A424" s="9" t="n">
        <v>396</v>
      </c>
      <c r="B424" s="43" t="s">
        <v>139</v>
      </c>
      <c r="C424" s="43" t="s">
        <v>1157</v>
      </c>
      <c r="D424" s="44" t="s">
        <v>1158</v>
      </c>
      <c r="E424" s="43" t="s">
        <v>1159</v>
      </c>
      <c r="F424" s="45" t="s">
        <v>374</v>
      </c>
      <c r="G424" s="45"/>
      <c r="H424" s="12" t="n">
        <f aca="false">MROUND('Rate Card'!$I$28*O424*P424,10)</f>
        <v>5480</v>
      </c>
      <c r="I424" s="12" t="n">
        <f aca="false">MROUND('Rate Card'!$K$28*O424*P424,10)</f>
        <v>2470</v>
      </c>
      <c r="J424" s="12" t="n">
        <f aca="false">MROUND(H424*4*'Rate Card'!$B$47,100)</f>
        <v>20800</v>
      </c>
      <c r="K424" s="12" t="n">
        <f aca="false">MROUND(I424*4*'Rate Card'!$B$47,100)</f>
        <v>9400</v>
      </c>
      <c r="L424" s="12" t="n">
        <f aca="false">MROUND(H424*120*'Rate Card'!$B$48,500)</f>
        <v>559000</v>
      </c>
      <c r="M424" s="12" t="n">
        <f aca="false">MROUND(I424*120*'Rate Card'!$B$48,500)</f>
        <v>252000</v>
      </c>
      <c r="N424" s="14" t="s">
        <v>1160</v>
      </c>
      <c r="O424" s="46" t="n">
        <v>0.82</v>
      </c>
      <c r="P424" s="46" t="n">
        <v>0.7</v>
      </c>
    </row>
    <row r="425" customFormat="false" ht="15" hidden="false" customHeight="true" outlineLevel="0" collapsed="false">
      <c r="A425" s="9" t="n">
        <v>397</v>
      </c>
      <c r="B425" s="43" t="s">
        <v>139</v>
      </c>
      <c r="C425" s="43" t="s">
        <v>1147</v>
      </c>
      <c r="D425" s="44" t="s">
        <v>1161</v>
      </c>
      <c r="E425" s="43" t="s">
        <v>1162</v>
      </c>
      <c r="F425" s="45" t="s">
        <v>374</v>
      </c>
      <c r="G425" s="45"/>
      <c r="H425" s="12" t="n">
        <f aca="false">MROUND('Rate Card'!$I$28*O425*P425,10)</f>
        <v>7830</v>
      </c>
      <c r="I425" s="12" t="n">
        <f aca="false">MROUND('Rate Card'!$K$28*O425*P425,10)</f>
        <v>3530</v>
      </c>
      <c r="J425" s="12" t="n">
        <f aca="false">MROUND(H425*4*'Rate Card'!$B$47,100)</f>
        <v>29800</v>
      </c>
      <c r="K425" s="12" t="n">
        <f aca="false">MROUND(I425*4*'Rate Card'!$B$47,100)</f>
        <v>13400</v>
      </c>
      <c r="L425" s="12" t="n">
        <f aca="false">MROUND(H425*120*'Rate Card'!$B$48,500)</f>
        <v>798500</v>
      </c>
      <c r="M425" s="12" t="n">
        <f aca="false">MROUND(I425*120*'Rate Card'!$B$48,500)</f>
        <v>360000</v>
      </c>
      <c r="N425" s="14"/>
      <c r="O425" s="46" t="n">
        <v>0.82</v>
      </c>
      <c r="P425" s="46" t="n">
        <v>1</v>
      </c>
    </row>
    <row r="426" customFormat="false" ht="15" hidden="false" customHeight="true" outlineLevel="0" collapsed="false">
      <c r="A426" s="9" t="n">
        <v>398</v>
      </c>
      <c r="B426" s="43" t="s">
        <v>139</v>
      </c>
      <c r="C426" s="43" t="s">
        <v>369</v>
      </c>
      <c r="D426" s="44" t="s">
        <v>1163</v>
      </c>
      <c r="E426" s="43" t="s">
        <v>1164</v>
      </c>
      <c r="F426" s="45" t="s">
        <v>374</v>
      </c>
      <c r="G426" s="45"/>
      <c r="H426" s="12" t="n">
        <f aca="false">MROUND('Rate Card'!$I$28*O426*P426,10)</f>
        <v>4310</v>
      </c>
      <c r="I426" s="12" t="n">
        <f aca="false">MROUND('Rate Card'!$K$28*O426*P426,10)</f>
        <v>1940</v>
      </c>
      <c r="J426" s="12" t="n">
        <f aca="false">MROUND(H426*4*'Rate Card'!$B$47,100)</f>
        <v>16400</v>
      </c>
      <c r="K426" s="12" t="n">
        <f aca="false">MROUND(I426*4*'Rate Card'!$B$47,100)</f>
        <v>7400</v>
      </c>
      <c r="L426" s="12" t="n">
        <f aca="false">MROUND(H426*120*'Rate Card'!$B$48,500)</f>
        <v>439500</v>
      </c>
      <c r="M426" s="12" t="n">
        <f aca="false">MROUND(I426*120*'Rate Card'!$B$48,500)</f>
        <v>198000</v>
      </c>
      <c r="N426" s="14" t="s">
        <v>1152</v>
      </c>
      <c r="O426" s="46" t="n">
        <v>0.82</v>
      </c>
      <c r="P426" s="46" t="n">
        <v>0.55</v>
      </c>
    </row>
    <row r="427" customFormat="false" ht="15" hidden="false" customHeight="true" outlineLevel="0" collapsed="false">
      <c r="A427" s="9" t="n">
        <v>399</v>
      </c>
      <c r="B427" s="43" t="s">
        <v>139</v>
      </c>
      <c r="C427" s="43" t="s">
        <v>386</v>
      </c>
      <c r="D427" s="44" t="s">
        <v>1165</v>
      </c>
      <c r="E427" s="43" t="s">
        <v>1166</v>
      </c>
      <c r="F427" s="45" t="s">
        <v>380</v>
      </c>
      <c r="G427" s="45"/>
      <c r="H427" s="12" t="n">
        <f aca="false">MROUND('Rate Card'!$I$28*O427*P427,10)</f>
        <v>6660</v>
      </c>
      <c r="I427" s="12" t="n">
        <f aca="false">MROUND('Rate Card'!$K$28*O427*P427,10)</f>
        <v>3000</v>
      </c>
      <c r="J427" s="12" t="n">
        <f aca="false">MROUND(H427*4*'Rate Card'!$B$47,100)</f>
        <v>25300</v>
      </c>
      <c r="K427" s="12" t="n">
        <f aca="false">MROUND(I427*4*'Rate Card'!$B$47,100)</f>
        <v>11400</v>
      </c>
      <c r="L427" s="12" t="n">
        <f aca="false">MROUND(H427*120*'Rate Card'!$B$48,500)</f>
        <v>679500</v>
      </c>
      <c r="M427" s="12" t="n">
        <f aca="false">MROUND(I427*120*'Rate Card'!$B$48,500)</f>
        <v>306000</v>
      </c>
      <c r="N427" s="14" t="s">
        <v>1167</v>
      </c>
      <c r="O427" s="46" t="n">
        <v>0.82</v>
      </c>
      <c r="P427" s="46" t="n">
        <v>0.85</v>
      </c>
    </row>
    <row r="428" customFormat="false" ht="15" hidden="false" customHeight="true" outlineLevel="0" collapsed="false">
      <c r="A428" s="9" t="n">
        <v>400</v>
      </c>
      <c r="B428" s="43" t="s">
        <v>139</v>
      </c>
      <c r="C428" s="43" t="s">
        <v>1168</v>
      </c>
      <c r="D428" s="44" t="s">
        <v>1169</v>
      </c>
      <c r="E428" s="43" t="s">
        <v>1170</v>
      </c>
      <c r="F428" s="45" t="s">
        <v>380</v>
      </c>
      <c r="G428" s="45"/>
      <c r="H428" s="12" t="n">
        <f aca="false">MROUND('Rate Card'!$I$28*O428*P428,10)</f>
        <v>4310</v>
      </c>
      <c r="I428" s="12" t="n">
        <f aca="false">MROUND('Rate Card'!$K$28*O428*P428,10)</f>
        <v>1940</v>
      </c>
      <c r="J428" s="12" t="n">
        <f aca="false">MROUND(H428*4*'Rate Card'!$B$47,100)</f>
        <v>16400</v>
      </c>
      <c r="K428" s="12" t="n">
        <f aca="false">MROUND(I428*4*'Rate Card'!$B$47,100)</f>
        <v>7400</v>
      </c>
      <c r="L428" s="12" t="n">
        <f aca="false">MROUND(H428*120*'Rate Card'!$B$48,500)</f>
        <v>439500</v>
      </c>
      <c r="M428" s="12" t="n">
        <f aca="false">MROUND(I428*120*'Rate Card'!$B$48,500)</f>
        <v>198000</v>
      </c>
      <c r="N428" s="14" t="s">
        <v>1152</v>
      </c>
      <c r="O428" s="46" t="n">
        <v>0.82</v>
      </c>
      <c r="P428" s="46" t="n">
        <v>0.55</v>
      </c>
    </row>
    <row r="429" customFormat="false" ht="15" hidden="false" customHeight="true" outlineLevel="0" collapsed="false">
      <c r="A429" s="9" t="n">
        <v>401</v>
      </c>
      <c r="B429" s="43" t="s">
        <v>139</v>
      </c>
      <c r="C429" s="43" t="s">
        <v>676</v>
      </c>
      <c r="D429" s="44" t="s">
        <v>1171</v>
      </c>
      <c r="E429" s="43" t="s">
        <v>1172</v>
      </c>
      <c r="F429" s="45" t="s">
        <v>380</v>
      </c>
      <c r="G429" s="45"/>
      <c r="H429" s="12" t="n">
        <f aca="false">MROUND('Rate Card'!$I$28*O429*P429,10)</f>
        <v>8220</v>
      </c>
      <c r="I429" s="12" t="n">
        <f aca="false">MROUND('Rate Card'!$K$28*O429*P429,10)</f>
        <v>3700</v>
      </c>
      <c r="J429" s="12" t="n">
        <f aca="false">MROUND(H429*4*'Rate Card'!$B$47,100)</f>
        <v>31200</v>
      </c>
      <c r="K429" s="12" t="n">
        <f aca="false">MROUND(I429*4*'Rate Card'!$B$47,100)</f>
        <v>14100</v>
      </c>
      <c r="L429" s="12" t="n">
        <f aca="false">MROUND(H429*120*'Rate Card'!$B$48,500)</f>
        <v>838500</v>
      </c>
      <c r="M429" s="12" t="n">
        <f aca="false">MROUND(I429*120*'Rate Card'!$B$48,500)</f>
        <v>377500</v>
      </c>
      <c r="N429" s="14" t="s">
        <v>1173</v>
      </c>
      <c r="O429" s="46" t="n">
        <v>0.82</v>
      </c>
      <c r="P429" s="46" t="n">
        <v>1.05</v>
      </c>
    </row>
    <row r="430" customFormat="false" ht="15" hidden="false" customHeight="true" outlineLevel="0" collapsed="false">
      <c r="A430" s="9" t="n">
        <v>402</v>
      </c>
      <c r="B430" s="43" t="s">
        <v>139</v>
      </c>
      <c r="C430" s="43" t="s">
        <v>1147</v>
      </c>
      <c r="D430" s="44" t="s">
        <v>1174</v>
      </c>
      <c r="E430" s="43" t="s">
        <v>1175</v>
      </c>
      <c r="F430" s="45" t="s">
        <v>310</v>
      </c>
      <c r="G430" s="45"/>
      <c r="H430" s="12" t="n">
        <f aca="false">MROUND('Rate Card'!$I$28*O430*P430,10)</f>
        <v>6660</v>
      </c>
      <c r="I430" s="12" t="n">
        <f aca="false">MROUND('Rate Card'!$K$28*O430*P430,10)</f>
        <v>3000</v>
      </c>
      <c r="J430" s="12" t="n">
        <f aca="false">MROUND(H430*4*'Rate Card'!$B$47,100)</f>
        <v>25300</v>
      </c>
      <c r="K430" s="12" t="n">
        <f aca="false">MROUND(I430*4*'Rate Card'!$B$47,100)</f>
        <v>11400</v>
      </c>
      <c r="L430" s="12" t="n">
        <f aca="false">MROUND(H430*120*'Rate Card'!$B$48,500)</f>
        <v>679500</v>
      </c>
      <c r="M430" s="12" t="n">
        <f aca="false">MROUND(I430*120*'Rate Card'!$B$48,500)</f>
        <v>306000</v>
      </c>
      <c r="N430" s="14" t="s">
        <v>1167</v>
      </c>
      <c r="O430" s="46" t="n">
        <v>0.82</v>
      </c>
      <c r="P430" s="46" t="n">
        <v>0.85</v>
      </c>
    </row>
    <row r="431" customFormat="false" ht="15" hidden="false" customHeight="true" outlineLevel="0" collapsed="false">
      <c r="A431" s="9" t="n">
        <v>403</v>
      </c>
      <c r="B431" s="43" t="s">
        <v>139</v>
      </c>
      <c r="C431" s="43" t="s">
        <v>369</v>
      </c>
      <c r="D431" s="44" t="s">
        <v>1176</v>
      </c>
      <c r="E431" s="43" t="s">
        <v>1177</v>
      </c>
      <c r="F431" s="45" t="s">
        <v>310</v>
      </c>
      <c r="G431" s="45"/>
      <c r="H431" s="12" t="n">
        <f aca="false">MROUND('Rate Card'!$I$28*O431*P431,10)</f>
        <v>4310</v>
      </c>
      <c r="I431" s="12" t="n">
        <f aca="false">MROUND('Rate Card'!$K$28*O431*P431,10)</f>
        <v>1940</v>
      </c>
      <c r="J431" s="12" t="n">
        <f aca="false">MROUND(H431*4*'Rate Card'!$B$47,100)</f>
        <v>16400</v>
      </c>
      <c r="K431" s="12" t="n">
        <f aca="false">MROUND(I431*4*'Rate Card'!$B$47,100)</f>
        <v>7400</v>
      </c>
      <c r="L431" s="12" t="n">
        <f aca="false">MROUND(H431*120*'Rate Card'!$B$48,500)</f>
        <v>439500</v>
      </c>
      <c r="M431" s="12" t="n">
        <f aca="false">MROUND(I431*120*'Rate Card'!$B$48,500)</f>
        <v>198000</v>
      </c>
      <c r="N431" s="14" t="s">
        <v>1152</v>
      </c>
      <c r="O431" s="46" t="n">
        <v>0.82</v>
      </c>
      <c r="P431" s="46" t="n">
        <v>0.55</v>
      </c>
    </row>
    <row r="432" customFormat="false" ht="15" hidden="false" customHeight="true" outlineLevel="0" collapsed="false">
      <c r="A432" s="9" t="n">
        <v>404</v>
      </c>
      <c r="B432" s="43" t="s">
        <v>139</v>
      </c>
      <c r="C432" s="43" t="s">
        <v>369</v>
      </c>
      <c r="D432" s="44" t="s">
        <v>1178</v>
      </c>
      <c r="E432" s="43" t="s">
        <v>1179</v>
      </c>
      <c r="F432" s="45" t="s">
        <v>310</v>
      </c>
      <c r="G432" s="45"/>
      <c r="H432" s="12" t="n">
        <f aca="false">MROUND('Rate Card'!$I$28*O432*P432,10)</f>
        <v>5480</v>
      </c>
      <c r="I432" s="12" t="n">
        <f aca="false">MROUND('Rate Card'!$K$28*O432*P432,10)</f>
        <v>2470</v>
      </c>
      <c r="J432" s="12" t="n">
        <f aca="false">MROUND(H432*4*'Rate Card'!$B$47,100)</f>
        <v>20800</v>
      </c>
      <c r="K432" s="12" t="n">
        <f aca="false">MROUND(I432*4*'Rate Card'!$B$47,100)</f>
        <v>9400</v>
      </c>
      <c r="L432" s="12" t="n">
        <f aca="false">MROUND(H432*120*'Rate Card'!$B$48,500)</f>
        <v>559000</v>
      </c>
      <c r="M432" s="12" t="n">
        <f aca="false">MROUND(I432*120*'Rate Card'!$B$48,500)</f>
        <v>252000</v>
      </c>
      <c r="N432" s="14" t="s">
        <v>1160</v>
      </c>
      <c r="O432" s="46" t="n">
        <v>0.82</v>
      </c>
      <c r="P432" s="46" t="n">
        <v>0.7</v>
      </c>
    </row>
    <row r="433" customFormat="false" ht="15" hidden="false" customHeight="true" outlineLevel="0" collapsed="false">
      <c r="A433" s="9" t="n">
        <v>405</v>
      </c>
      <c r="B433" s="43" t="s">
        <v>139</v>
      </c>
      <c r="C433" s="43" t="s">
        <v>369</v>
      </c>
      <c r="D433" s="44" t="s">
        <v>1180</v>
      </c>
      <c r="E433" s="43" t="s">
        <v>1181</v>
      </c>
      <c r="F433" s="45" t="s">
        <v>748</v>
      </c>
      <c r="G433" s="45"/>
      <c r="H433" s="12" t="n">
        <f aca="false">MROUND('Rate Card'!$I$28*O433*P433,10)</f>
        <v>6660</v>
      </c>
      <c r="I433" s="12" t="n">
        <f aca="false">MROUND('Rate Card'!$K$28*O433*P433,10)</f>
        <v>3000</v>
      </c>
      <c r="J433" s="12" t="n">
        <f aca="false">MROUND(H433*4*'Rate Card'!$B$47,100)</f>
        <v>25300</v>
      </c>
      <c r="K433" s="12" t="n">
        <f aca="false">MROUND(I433*4*'Rate Card'!$B$47,100)</f>
        <v>11400</v>
      </c>
      <c r="L433" s="12" t="n">
        <f aca="false">MROUND(H433*120*'Rate Card'!$B$48,500)</f>
        <v>679500</v>
      </c>
      <c r="M433" s="12" t="n">
        <f aca="false">MROUND(I433*120*'Rate Card'!$B$48,500)</f>
        <v>306000</v>
      </c>
      <c r="N433" s="14" t="s">
        <v>1167</v>
      </c>
      <c r="O433" s="46" t="n">
        <v>0.82</v>
      </c>
      <c r="P433" s="46" t="n">
        <v>0.85</v>
      </c>
    </row>
    <row r="434" customFormat="false" ht="15" hidden="false" customHeight="true" outlineLevel="0" collapsed="false">
      <c r="A434" s="9" t="n">
        <v>406</v>
      </c>
      <c r="B434" s="43" t="s">
        <v>139</v>
      </c>
      <c r="C434" s="43" t="s">
        <v>1182</v>
      </c>
      <c r="D434" s="44" t="s">
        <v>1183</v>
      </c>
      <c r="E434" s="43" t="s">
        <v>1184</v>
      </c>
      <c r="F434" s="45" t="s">
        <v>389</v>
      </c>
      <c r="G434" s="45"/>
      <c r="H434" s="12" t="n">
        <f aca="false">MROUND('Rate Card'!$I$28*O434*P434,10)</f>
        <v>7830</v>
      </c>
      <c r="I434" s="12" t="n">
        <f aca="false">MROUND('Rate Card'!$K$28*O434*P434,10)</f>
        <v>3530</v>
      </c>
      <c r="J434" s="12" t="n">
        <f aca="false">MROUND(H434*4*'Rate Card'!$B$47,100)</f>
        <v>29800</v>
      </c>
      <c r="K434" s="12" t="n">
        <f aca="false">MROUND(I434*4*'Rate Card'!$B$47,100)</f>
        <v>13400</v>
      </c>
      <c r="L434" s="12" t="n">
        <f aca="false">MROUND(H434*120*'Rate Card'!$B$48,500)</f>
        <v>798500</v>
      </c>
      <c r="M434" s="12" t="n">
        <f aca="false">MROUND(I434*120*'Rate Card'!$B$48,500)</f>
        <v>360000</v>
      </c>
      <c r="N434" s="14"/>
      <c r="O434" s="46" t="n">
        <v>0.82</v>
      </c>
      <c r="P434" s="46" t="n">
        <v>1</v>
      </c>
    </row>
    <row r="435" customFormat="false" ht="15" hidden="false" customHeight="true" outlineLevel="0" collapsed="false">
      <c r="A435" s="9" t="n">
        <v>407</v>
      </c>
      <c r="B435" s="43" t="s">
        <v>139</v>
      </c>
      <c r="C435" s="43" t="s">
        <v>369</v>
      </c>
      <c r="D435" s="44" t="s">
        <v>1185</v>
      </c>
      <c r="E435" s="43" t="s">
        <v>1181</v>
      </c>
      <c r="F435" s="45" t="s">
        <v>389</v>
      </c>
      <c r="G435" s="45"/>
      <c r="H435" s="12" t="n">
        <f aca="false">MROUND('Rate Card'!$I$28*O435*P435,10)</f>
        <v>6660</v>
      </c>
      <c r="I435" s="12" t="n">
        <f aca="false">MROUND('Rate Card'!$K$28*O435*P435,10)</f>
        <v>3000</v>
      </c>
      <c r="J435" s="12" t="n">
        <f aca="false">MROUND(H435*4*'Rate Card'!$B$47,100)</f>
        <v>25300</v>
      </c>
      <c r="K435" s="12" t="n">
        <f aca="false">MROUND(I435*4*'Rate Card'!$B$47,100)</f>
        <v>11400</v>
      </c>
      <c r="L435" s="12" t="n">
        <f aca="false">MROUND(H435*120*'Rate Card'!$B$48,500)</f>
        <v>679500</v>
      </c>
      <c r="M435" s="12" t="n">
        <f aca="false">MROUND(I435*120*'Rate Card'!$B$48,500)</f>
        <v>306000</v>
      </c>
      <c r="N435" s="14" t="s">
        <v>1167</v>
      </c>
      <c r="O435" s="46" t="n">
        <v>0.82</v>
      </c>
      <c r="P435" s="46" t="n">
        <v>0.85</v>
      </c>
    </row>
    <row r="436" customFormat="false" ht="15" hidden="false" customHeight="true" outlineLevel="0" collapsed="false">
      <c r="A436" s="9" t="n">
        <v>408</v>
      </c>
      <c r="B436" s="43" t="s">
        <v>139</v>
      </c>
      <c r="C436" s="43" t="s">
        <v>1168</v>
      </c>
      <c r="D436" s="44" t="s">
        <v>1186</v>
      </c>
      <c r="E436" s="43" t="s">
        <v>1187</v>
      </c>
      <c r="F436" s="45" t="s">
        <v>389</v>
      </c>
      <c r="G436" s="45"/>
      <c r="H436" s="12" t="n">
        <f aca="false">MROUND('Rate Card'!$I$28*O436*P436,10)</f>
        <v>4310</v>
      </c>
      <c r="I436" s="12" t="n">
        <f aca="false">MROUND('Rate Card'!$K$28*O436*P436,10)</f>
        <v>1940</v>
      </c>
      <c r="J436" s="12" t="n">
        <f aca="false">MROUND(H436*4*'Rate Card'!$B$47,100)</f>
        <v>16400</v>
      </c>
      <c r="K436" s="12" t="n">
        <f aca="false">MROUND(I436*4*'Rate Card'!$B$47,100)</f>
        <v>7400</v>
      </c>
      <c r="L436" s="12" t="n">
        <f aca="false">MROUND(H436*120*'Rate Card'!$B$48,500)</f>
        <v>439500</v>
      </c>
      <c r="M436" s="12" t="n">
        <f aca="false">MROUND(I436*120*'Rate Card'!$B$48,500)</f>
        <v>198000</v>
      </c>
      <c r="N436" s="14" t="s">
        <v>1152</v>
      </c>
      <c r="O436" s="46" t="n">
        <v>0.82</v>
      </c>
      <c r="P436" s="46" t="n">
        <v>0.55</v>
      </c>
    </row>
    <row r="437" customFormat="false" ht="23.25" hidden="false" customHeight="true" outlineLevel="0" collapsed="false">
      <c r="A437" s="9" t="n">
        <v>409</v>
      </c>
      <c r="B437" s="43" t="s">
        <v>139</v>
      </c>
      <c r="C437" s="43" t="s">
        <v>369</v>
      </c>
      <c r="D437" s="44" t="s">
        <v>1188</v>
      </c>
      <c r="E437" s="43" t="s">
        <v>1189</v>
      </c>
      <c r="F437" s="45" t="s">
        <v>392</v>
      </c>
      <c r="G437" s="45"/>
      <c r="H437" s="12" t="n">
        <f aca="false">MROUND('Rate Card'!$I$28*O437*P437,10)</f>
        <v>4810</v>
      </c>
      <c r="I437" s="12" t="n">
        <f aca="false">MROUND('Rate Card'!$K$28*O437*P437,10)</f>
        <v>2170</v>
      </c>
      <c r="J437" s="12" t="n">
        <f aca="false">MROUND(H437*4*'Rate Card'!$B$47,100)</f>
        <v>18300</v>
      </c>
      <c r="K437" s="12" t="n">
        <f aca="false">MROUND(I437*4*'Rate Card'!$B$47,100)</f>
        <v>8200</v>
      </c>
      <c r="L437" s="12" t="n">
        <f aca="false">MROUND(H437*120*'Rate Card'!$B$48,500)</f>
        <v>490500</v>
      </c>
      <c r="M437" s="12" t="n">
        <f aca="false">MROUND(I437*120*'Rate Card'!$B$48,500)</f>
        <v>221500</v>
      </c>
      <c r="N437" s="14" t="s">
        <v>1190</v>
      </c>
      <c r="O437" s="46" t="n">
        <v>0.72</v>
      </c>
      <c r="P437" s="46" t="n">
        <v>0.7</v>
      </c>
    </row>
    <row r="438" customFormat="false" ht="23.25" hidden="false" customHeight="true" outlineLevel="0" collapsed="false">
      <c r="A438" s="9" t="n">
        <v>410</v>
      </c>
      <c r="B438" s="43" t="s">
        <v>139</v>
      </c>
      <c r="C438" s="43" t="s">
        <v>369</v>
      </c>
      <c r="D438" s="44" t="s">
        <v>1191</v>
      </c>
      <c r="E438" s="43" t="s">
        <v>1192</v>
      </c>
      <c r="F438" s="45" t="s">
        <v>392</v>
      </c>
      <c r="G438" s="45"/>
      <c r="H438" s="12" t="n">
        <f aca="false">MROUND('Rate Card'!$I$28*O438*P438,10)</f>
        <v>3780</v>
      </c>
      <c r="I438" s="12" t="n">
        <f aca="false">MROUND('Rate Card'!$K$28*O438*P438,10)</f>
        <v>1700</v>
      </c>
      <c r="J438" s="12" t="n">
        <f aca="false">MROUND(H438*4*'Rate Card'!$B$47,100)</f>
        <v>14400</v>
      </c>
      <c r="K438" s="12" t="n">
        <f aca="false">MROUND(I438*4*'Rate Card'!$B$47,100)</f>
        <v>6500</v>
      </c>
      <c r="L438" s="12" t="n">
        <f aca="false">MROUND(H438*120*'Rate Card'!$B$48,500)</f>
        <v>385500</v>
      </c>
      <c r="M438" s="12" t="n">
        <f aca="false">MROUND(I438*120*'Rate Card'!$B$48,500)</f>
        <v>173500</v>
      </c>
      <c r="N438" s="14" t="s">
        <v>1193</v>
      </c>
      <c r="O438" s="46" t="n">
        <v>0.72</v>
      </c>
      <c r="P438" s="46" t="n">
        <v>0.55</v>
      </c>
    </row>
    <row r="439" customFormat="false" ht="23.25" hidden="false" customHeight="true" outlineLevel="0" collapsed="false">
      <c r="A439" s="9" t="n">
        <v>411</v>
      </c>
      <c r="B439" s="43" t="s">
        <v>139</v>
      </c>
      <c r="C439" s="43" t="s">
        <v>369</v>
      </c>
      <c r="D439" s="44" t="s">
        <v>1194</v>
      </c>
      <c r="E439" s="43" t="s">
        <v>1195</v>
      </c>
      <c r="F439" s="45" t="s">
        <v>392</v>
      </c>
      <c r="G439" s="45"/>
      <c r="H439" s="12" t="n">
        <f aca="false">MROUND('Rate Card'!$I$28*O439*P439,10)</f>
        <v>3780</v>
      </c>
      <c r="I439" s="12" t="n">
        <f aca="false">MROUND('Rate Card'!$K$28*O439*P439,10)</f>
        <v>1700</v>
      </c>
      <c r="J439" s="12" t="n">
        <f aca="false">MROUND(H439*4*'Rate Card'!$B$47,100)</f>
        <v>14400</v>
      </c>
      <c r="K439" s="12" t="n">
        <f aca="false">MROUND(I439*4*'Rate Card'!$B$47,100)</f>
        <v>6500</v>
      </c>
      <c r="L439" s="12" t="n">
        <f aca="false">MROUND(H439*120*'Rate Card'!$B$48,500)</f>
        <v>385500</v>
      </c>
      <c r="M439" s="12" t="n">
        <f aca="false">MROUND(I439*120*'Rate Card'!$B$48,500)</f>
        <v>173500</v>
      </c>
      <c r="N439" s="14" t="s">
        <v>1193</v>
      </c>
      <c r="O439" s="46" t="n">
        <v>0.72</v>
      </c>
      <c r="P439" s="46" t="n">
        <v>0.55</v>
      </c>
    </row>
    <row r="440" customFormat="false" ht="15" hidden="false" customHeight="true" outlineLevel="0" collapsed="false">
      <c r="A440" s="9" t="n">
        <v>412</v>
      </c>
      <c r="B440" s="43" t="s">
        <v>139</v>
      </c>
      <c r="C440" s="43" t="s">
        <v>369</v>
      </c>
      <c r="D440" s="44" t="s">
        <v>1196</v>
      </c>
      <c r="E440" s="43" t="s">
        <v>1197</v>
      </c>
      <c r="F440" s="45" t="s">
        <v>392</v>
      </c>
      <c r="G440" s="45"/>
      <c r="H440" s="12" t="n">
        <f aca="false">MROUND('Rate Card'!$I$28*O440*P440,10)</f>
        <v>6880</v>
      </c>
      <c r="I440" s="12" t="n">
        <f aca="false">MROUND('Rate Card'!$K$28*O440*P440,10)</f>
        <v>3100</v>
      </c>
      <c r="J440" s="12" t="n">
        <f aca="false">MROUND(H440*4*'Rate Card'!$B$47,100)</f>
        <v>26100</v>
      </c>
      <c r="K440" s="12" t="n">
        <f aca="false">MROUND(I440*4*'Rate Card'!$B$47,100)</f>
        <v>11800</v>
      </c>
      <c r="L440" s="12" t="n">
        <f aca="false">MROUND(H440*120*'Rate Card'!$B$48,500)</f>
        <v>702000</v>
      </c>
      <c r="M440" s="12" t="n">
        <f aca="false">MROUND(I440*120*'Rate Card'!$B$48,500)</f>
        <v>316000</v>
      </c>
      <c r="N440" s="14" t="s">
        <v>350</v>
      </c>
      <c r="O440" s="46" t="n">
        <v>0.72</v>
      </c>
      <c r="P440" s="46" t="n">
        <v>1</v>
      </c>
    </row>
    <row r="441" customFormat="false" ht="23.25" hidden="false" customHeight="true" outlineLevel="0" collapsed="false">
      <c r="A441" s="9" t="n">
        <v>413</v>
      </c>
      <c r="B441" s="43" t="s">
        <v>139</v>
      </c>
      <c r="C441" s="43" t="s">
        <v>369</v>
      </c>
      <c r="D441" s="44" t="s">
        <v>1198</v>
      </c>
      <c r="E441" s="43" t="s">
        <v>1199</v>
      </c>
      <c r="F441" s="45" t="s">
        <v>392</v>
      </c>
      <c r="G441" s="45"/>
      <c r="H441" s="12" t="n">
        <f aca="false">MROUND('Rate Card'!$I$28*O441*P441,10)</f>
        <v>3780</v>
      </c>
      <c r="I441" s="12" t="n">
        <f aca="false">MROUND('Rate Card'!$K$28*O441*P441,10)</f>
        <v>1700</v>
      </c>
      <c r="J441" s="12" t="n">
        <f aca="false">MROUND(H441*4*'Rate Card'!$B$47,100)</f>
        <v>14400</v>
      </c>
      <c r="K441" s="12" t="n">
        <f aca="false">MROUND(I441*4*'Rate Card'!$B$47,100)</f>
        <v>6500</v>
      </c>
      <c r="L441" s="12" t="n">
        <f aca="false">MROUND(H441*120*'Rate Card'!$B$48,500)</f>
        <v>385500</v>
      </c>
      <c r="M441" s="12" t="n">
        <f aca="false">MROUND(I441*120*'Rate Card'!$B$48,500)</f>
        <v>173500</v>
      </c>
      <c r="N441" s="14" t="s">
        <v>1193</v>
      </c>
      <c r="O441" s="46" t="n">
        <v>0.72</v>
      </c>
      <c r="P441" s="46" t="n">
        <v>0.55</v>
      </c>
    </row>
    <row r="442" customFormat="false" ht="15" hidden="false" customHeight="true" outlineLevel="0" collapsed="false">
      <c r="A442" s="9" t="n">
        <v>414</v>
      </c>
      <c r="B442" s="43" t="s">
        <v>139</v>
      </c>
      <c r="C442" s="43" t="s">
        <v>476</v>
      </c>
      <c r="D442" s="44" t="s">
        <v>1200</v>
      </c>
      <c r="E442" s="43" t="s">
        <v>472</v>
      </c>
      <c r="F442" s="45" t="s">
        <v>472</v>
      </c>
      <c r="G442" s="45"/>
      <c r="H442" s="12" t="n">
        <f aca="false">MROUND('Rate Card'!$I$28*O442*P442,10)</f>
        <v>5540</v>
      </c>
      <c r="I442" s="12" t="n">
        <f aca="false">MROUND('Rate Card'!$K$28*O442*P442,10)</f>
        <v>2490</v>
      </c>
      <c r="J442" s="12" t="n">
        <f aca="false">MROUND(H442*4*'Rate Card'!$B$47,100)</f>
        <v>21100</v>
      </c>
      <c r="K442" s="12" t="n">
        <f aca="false">MROUND(I442*4*'Rate Card'!$B$47,100)</f>
        <v>9500</v>
      </c>
      <c r="L442" s="12" t="n">
        <f aca="false">MROUND(H442*120*'Rate Card'!$B$48,500)</f>
        <v>565000</v>
      </c>
      <c r="M442" s="12" t="n">
        <f aca="false">MROUND(I442*120*'Rate Card'!$B$48,500)</f>
        <v>254000</v>
      </c>
      <c r="N442" s="14" t="s">
        <v>486</v>
      </c>
      <c r="O442" s="46" t="n">
        <v>0.58</v>
      </c>
      <c r="P442" s="46" t="n">
        <v>1</v>
      </c>
    </row>
    <row r="443" customFormat="false" ht="23.25" hidden="false" customHeight="true" outlineLevel="0" collapsed="false">
      <c r="A443" s="9" t="n">
        <v>415</v>
      </c>
      <c r="B443" s="43" t="s">
        <v>139</v>
      </c>
      <c r="C443" s="43" t="s">
        <v>1132</v>
      </c>
      <c r="D443" s="44" t="s">
        <v>1201</v>
      </c>
      <c r="E443" s="43" t="s">
        <v>1202</v>
      </c>
      <c r="F443" s="45" t="s">
        <v>472</v>
      </c>
      <c r="G443" s="45"/>
      <c r="H443" s="12" t="n">
        <f aca="false">MROUND('Rate Card'!$I$28*O443*P443,10)</f>
        <v>7200</v>
      </c>
      <c r="I443" s="12" t="n">
        <f aca="false">MROUND('Rate Card'!$K$28*O443*P443,10)</f>
        <v>3240</v>
      </c>
      <c r="J443" s="12" t="n">
        <f aca="false">MROUND(H443*4*'Rate Card'!$B$47,100)</f>
        <v>27400</v>
      </c>
      <c r="K443" s="12" t="n">
        <f aca="false">MROUND(I443*4*'Rate Card'!$B$47,100)</f>
        <v>12300</v>
      </c>
      <c r="L443" s="12" t="n">
        <f aca="false">MROUND(H443*120*'Rate Card'!$B$48,500)</f>
        <v>734500</v>
      </c>
      <c r="M443" s="12" t="n">
        <f aca="false">MROUND(I443*120*'Rate Card'!$B$48,500)</f>
        <v>330500</v>
      </c>
      <c r="N443" s="14" t="s">
        <v>1203</v>
      </c>
      <c r="O443" s="46" t="n">
        <v>0.58</v>
      </c>
      <c r="P443" s="46" t="n">
        <v>1.3</v>
      </c>
    </row>
    <row r="444" customFormat="false" ht="23.25" hidden="false" customHeight="true" outlineLevel="0" collapsed="false">
      <c r="A444" s="9" t="n">
        <v>416</v>
      </c>
      <c r="B444" s="43" t="s">
        <v>139</v>
      </c>
      <c r="C444" s="43" t="s">
        <v>1132</v>
      </c>
      <c r="D444" s="44" t="s">
        <v>1204</v>
      </c>
      <c r="E444" s="43" t="s">
        <v>1134</v>
      </c>
      <c r="F444" s="45" t="s">
        <v>472</v>
      </c>
      <c r="G444" s="45"/>
      <c r="H444" s="12" t="n">
        <f aca="false">MROUND('Rate Card'!$I$28*O444*P444,10)</f>
        <v>3600</v>
      </c>
      <c r="I444" s="12" t="n">
        <f aca="false">MROUND('Rate Card'!$K$28*O444*P444,10)</f>
        <v>1620</v>
      </c>
      <c r="J444" s="12" t="n">
        <f aca="false">MROUND(H444*4*'Rate Card'!$B$47,100)</f>
        <v>13700</v>
      </c>
      <c r="K444" s="12" t="n">
        <f aca="false">MROUND(I444*4*'Rate Card'!$B$47,100)</f>
        <v>6200</v>
      </c>
      <c r="L444" s="12" t="n">
        <f aca="false">MROUND(H444*120*'Rate Card'!$B$48,500)</f>
        <v>367000</v>
      </c>
      <c r="M444" s="12" t="n">
        <f aca="false">MROUND(I444*120*'Rate Card'!$B$48,500)</f>
        <v>165000</v>
      </c>
      <c r="N444" s="14" t="s">
        <v>1205</v>
      </c>
      <c r="O444" s="46" t="n">
        <v>0.58</v>
      </c>
      <c r="P444" s="46" t="n">
        <v>0.65</v>
      </c>
    </row>
    <row r="445" customFormat="false" ht="23.25" hidden="false" customHeight="true" outlineLevel="0" collapsed="false">
      <c r="A445" s="9" t="n">
        <v>417</v>
      </c>
      <c r="B445" s="43" t="s">
        <v>139</v>
      </c>
      <c r="C445" s="43" t="s">
        <v>1132</v>
      </c>
      <c r="D445" s="44" t="s">
        <v>1206</v>
      </c>
      <c r="E445" s="43" t="s">
        <v>1207</v>
      </c>
      <c r="F445" s="45" t="s">
        <v>472</v>
      </c>
      <c r="G445" s="45"/>
      <c r="H445" s="12" t="n">
        <f aca="false">MROUND('Rate Card'!$I$28*O445*P445,10)</f>
        <v>6090</v>
      </c>
      <c r="I445" s="12" t="n">
        <f aca="false">MROUND('Rate Card'!$K$28*O445*P445,10)</f>
        <v>2740</v>
      </c>
      <c r="J445" s="12" t="n">
        <f aca="false">MROUND(H445*4*'Rate Card'!$B$47,100)</f>
        <v>23100</v>
      </c>
      <c r="K445" s="12" t="n">
        <f aca="false">MROUND(I445*4*'Rate Card'!$B$47,100)</f>
        <v>10400</v>
      </c>
      <c r="L445" s="12" t="n">
        <f aca="false">MROUND(H445*120*'Rate Card'!$B$48,500)</f>
        <v>621000</v>
      </c>
      <c r="M445" s="12" t="n">
        <f aca="false">MROUND(I445*120*'Rate Card'!$B$48,500)</f>
        <v>279500</v>
      </c>
      <c r="N445" s="14" t="s">
        <v>1208</v>
      </c>
      <c r="O445" s="46" t="n">
        <v>0.58</v>
      </c>
      <c r="P445" s="46" t="n">
        <v>1.1</v>
      </c>
    </row>
    <row r="446" customFormat="false" ht="23.25" hidden="false" customHeight="true" outlineLevel="0" collapsed="false">
      <c r="A446" s="9" t="n">
        <v>418</v>
      </c>
      <c r="B446" s="43" t="s">
        <v>139</v>
      </c>
      <c r="C446" s="43" t="s">
        <v>1132</v>
      </c>
      <c r="D446" s="44" t="s">
        <v>1209</v>
      </c>
      <c r="E446" s="43" t="s">
        <v>1210</v>
      </c>
      <c r="F446" s="45" t="s">
        <v>472</v>
      </c>
      <c r="G446" s="45"/>
      <c r="H446" s="12" t="n">
        <f aca="false">MROUND('Rate Card'!$I$28*O446*P446,10)</f>
        <v>7200</v>
      </c>
      <c r="I446" s="12" t="n">
        <f aca="false">MROUND('Rate Card'!$K$28*O446*P446,10)</f>
        <v>3240</v>
      </c>
      <c r="J446" s="12" t="n">
        <f aca="false">MROUND(H446*4*'Rate Card'!$B$47,100)</f>
        <v>27400</v>
      </c>
      <c r="K446" s="12" t="n">
        <f aca="false">MROUND(I446*4*'Rate Card'!$B$47,100)</f>
        <v>12300</v>
      </c>
      <c r="L446" s="12" t="n">
        <f aca="false">MROUND(H446*120*'Rate Card'!$B$48,500)</f>
        <v>734500</v>
      </c>
      <c r="M446" s="12" t="n">
        <f aca="false">MROUND(I446*120*'Rate Card'!$B$48,500)</f>
        <v>330500</v>
      </c>
      <c r="N446" s="14" t="s">
        <v>1203</v>
      </c>
      <c r="O446" s="46" t="n">
        <v>0.58</v>
      </c>
      <c r="P446" s="46" t="n">
        <v>1.3</v>
      </c>
    </row>
    <row r="447" customFormat="false" ht="23.25" hidden="false" customHeight="true" outlineLevel="0" collapsed="false">
      <c r="A447" s="9" t="n">
        <v>419</v>
      </c>
      <c r="B447" s="43" t="s">
        <v>139</v>
      </c>
      <c r="C447" s="43" t="s">
        <v>1132</v>
      </c>
      <c r="D447" s="44" t="s">
        <v>1211</v>
      </c>
      <c r="E447" s="43" t="s">
        <v>1212</v>
      </c>
      <c r="F447" s="45" t="s">
        <v>472</v>
      </c>
      <c r="G447" s="45"/>
      <c r="H447" s="12" t="n">
        <f aca="false">MROUND('Rate Card'!$I$28*O447*P447,10)</f>
        <v>6090</v>
      </c>
      <c r="I447" s="12" t="n">
        <f aca="false">MROUND('Rate Card'!$K$28*O447*P447,10)</f>
        <v>2740</v>
      </c>
      <c r="J447" s="12" t="n">
        <f aca="false">MROUND(H447*4*'Rate Card'!$B$47,100)</f>
        <v>23100</v>
      </c>
      <c r="K447" s="12" t="n">
        <f aca="false">MROUND(I447*4*'Rate Card'!$B$47,100)</f>
        <v>10400</v>
      </c>
      <c r="L447" s="12" t="n">
        <f aca="false">MROUND(H447*120*'Rate Card'!$B$48,500)</f>
        <v>621000</v>
      </c>
      <c r="M447" s="12" t="n">
        <f aca="false">MROUND(I447*120*'Rate Card'!$B$48,500)</f>
        <v>279500</v>
      </c>
      <c r="N447" s="14" t="s">
        <v>1208</v>
      </c>
      <c r="O447" s="46" t="n">
        <v>0.58</v>
      </c>
      <c r="P447" s="46" t="n">
        <v>1.1</v>
      </c>
    </row>
    <row r="448" customFormat="false" ht="23.25" hidden="false" customHeight="true" outlineLevel="0" collapsed="false">
      <c r="A448" s="9" t="n">
        <v>420</v>
      </c>
      <c r="B448" s="43" t="s">
        <v>139</v>
      </c>
      <c r="C448" s="43" t="s">
        <v>718</v>
      </c>
      <c r="D448" s="44" t="s">
        <v>1213</v>
      </c>
      <c r="E448" s="43" t="s">
        <v>1214</v>
      </c>
      <c r="F448" s="45" t="s">
        <v>472</v>
      </c>
      <c r="G448" s="45"/>
      <c r="H448" s="12" t="n">
        <f aca="false">MROUND('Rate Card'!$I$28*O448*P448,10)</f>
        <v>4710</v>
      </c>
      <c r="I448" s="12" t="n">
        <f aca="false">MROUND('Rate Card'!$K$28*O448*P448,10)</f>
        <v>2120</v>
      </c>
      <c r="J448" s="12" t="n">
        <f aca="false">MROUND(H448*4*'Rate Card'!$B$47,100)</f>
        <v>17900</v>
      </c>
      <c r="K448" s="12" t="n">
        <f aca="false">MROUND(I448*4*'Rate Card'!$B$47,100)</f>
        <v>8100</v>
      </c>
      <c r="L448" s="12" t="n">
        <f aca="false">MROUND(H448*120*'Rate Card'!$B$48,500)</f>
        <v>480500</v>
      </c>
      <c r="M448" s="12" t="n">
        <f aca="false">MROUND(I448*120*'Rate Card'!$B$48,500)</f>
        <v>216000</v>
      </c>
      <c r="N448" s="14" t="s">
        <v>1215</v>
      </c>
      <c r="O448" s="46" t="n">
        <v>0.58</v>
      </c>
      <c r="P448" s="46" t="n">
        <v>0.85</v>
      </c>
    </row>
    <row r="449" customFormat="false" ht="23.25" hidden="false" customHeight="true" outlineLevel="0" collapsed="false">
      <c r="A449" s="9" t="n">
        <v>421</v>
      </c>
      <c r="B449" s="43" t="s">
        <v>139</v>
      </c>
      <c r="C449" s="43" t="s">
        <v>375</v>
      </c>
      <c r="D449" s="44" t="s">
        <v>1216</v>
      </c>
      <c r="E449" s="43" t="s">
        <v>1217</v>
      </c>
      <c r="F449" s="45" t="s">
        <v>472</v>
      </c>
      <c r="G449" s="45"/>
      <c r="H449" s="12" t="n">
        <f aca="false">MROUND('Rate Card'!$I$28*O449*P449,10)</f>
        <v>5820</v>
      </c>
      <c r="I449" s="12" t="n">
        <f aca="false">MROUND('Rate Card'!$K$28*O449*P449,10)</f>
        <v>2620</v>
      </c>
      <c r="J449" s="12" t="n">
        <f aca="false">MROUND(H449*4*'Rate Card'!$B$47,100)</f>
        <v>22100</v>
      </c>
      <c r="K449" s="12" t="n">
        <f aca="false">MROUND(I449*4*'Rate Card'!$B$47,100)</f>
        <v>10000</v>
      </c>
      <c r="L449" s="12" t="n">
        <f aca="false">MROUND(H449*120*'Rate Card'!$B$48,500)</f>
        <v>593500</v>
      </c>
      <c r="M449" s="12" t="n">
        <f aca="false">MROUND(I449*120*'Rate Card'!$B$48,500)</f>
        <v>267000</v>
      </c>
      <c r="N449" s="14" t="s">
        <v>1218</v>
      </c>
      <c r="O449" s="46" t="n">
        <v>0.58</v>
      </c>
      <c r="P449" s="46" t="n">
        <v>1.05</v>
      </c>
    </row>
    <row r="450" customFormat="false" ht="15" hidden="false" customHeight="true" outlineLevel="0" collapsed="false">
      <c r="A450" s="42" t="s">
        <v>1219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</row>
    <row r="451" customFormat="false" ht="15" hidden="false" customHeight="true" outlineLevel="0" collapsed="false">
      <c r="A451" s="9" t="n">
        <v>422</v>
      </c>
      <c r="B451" s="43" t="s">
        <v>141</v>
      </c>
      <c r="C451" s="43" t="s">
        <v>394</v>
      </c>
      <c r="D451" s="44" t="s">
        <v>1220</v>
      </c>
      <c r="E451" s="43" t="s">
        <v>1221</v>
      </c>
      <c r="F451" s="45" t="s">
        <v>450</v>
      </c>
      <c r="G451" s="45" t="s">
        <v>1222</v>
      </c>
      <c r="H451" s="12" t="n">
        <f aca="false">MROUND('Rate Card'!$I$29*O451*P451,10)</f>
        <v>2710</v>
      </c>
      <c r="I451" s="12" t="n">
        <f aca="false">MROUND('Rate Card'!$K$29*O451*P451,10)</f>
        <v>1380</v>
      </c>
      <c r="J451" s="12" t="n">
        <f aca="false">MROUND(H451*4*'Rate Card'!$B$47,100)</f>
        <v>10300</v>
      </c>
      <c r="K451" s="12" t="n">
        <f aca="false">MROUND(I451*4*'Rate Card'!$B$47,100)</f>
        <v>5200</v>
      </c>
      <c r="L451" s="12" t="n">
        <f aca="false">MROUND(H451*120*'Rate Card'!$B$48,500)</f>
        <v>276500</v>
      </c>
      <c r="M451" s="12" t="n">
        <f aca="false">MROUND(I451*120*'Rate Card'!$B$48,500)</f>
        <v>141000</v>
      </c>
      <c r="N451" s="14"/>
      <c r="O451" s="46" t="n">
        <v>0.92</v>
      </c>
      <c r="P451" s="46" t="n">
        <v>1</v>
      </c>
    </row>
    <row r="452" customFormat="false" ht="15" hidden="false" customHeight="true" outlineLevel="0" collapsed="false">
      <c r="A452" s="9" t="n">
        <v>423</v>
      </c>
      <c r="B452" s="43" t="s">
        <v>141</v>
      </c>
      <c r="C452" s="43" t="s">
        <v>404</v>
      </c>
      <c r="D452" s="44" t="s">
        <v>1223</v>
      </c>
      <c r="E452" s="43" t="s">
        <v>1069</v>
      </c>
      <c r="F452" s="45" t="s">
        <v>748</v>
      </c>
      <c r="G452" s="45" t="s">
        <v>1224</v>
      </c>
      <c r="H452" s="12" t="n">
        <f aca="false">MROUND('Rate Card'!$I$29*O452*P452,10)</f>
        <v>2420</v>
      </c>
      <c r="I452" s="12" t="n">
        <f aca="false">MROUND('Rate Card'!$K$29*O452*P452,10)</f>
        <v>1230</v>
      </c>
      <c r="J452" s="12" t="n">
        <f aca="false">MROUND(H452*4*'Rate Card'!$B$47,100)</f>
        <v>9200</v>
      </c>
      <c r="K452" s="12" t="n">
        <f aca="false">MROUND(I452*4*'Rate Card'!$B$47,100)</f>
        <v>4700</v>
      </c>
      <c r="L452" s="12" t="n">
        <f aca="false">MROUND(H452*120*'Rate Card'!$B$48,500)</f>
        <v>247000</v>
      </c>
      <c r="M452" s="12" t="n">
        <f aca="false">MROUND(I452*120*'Rate Card'!$B$48,500)</f>
        <v>125500</v>
      </c>
      <c r="N452" s="14"/>
      <c r="O452" s="46" t="n">
        <v>0.82</v>
      </c>
      <c r="P452" s="46" t="n">
        <v>1</v>
      </c>
    </row>
    <row r="453" customFormat="false" ht="15" hidden="false" customHeight="true" outlineLevel="0" collapsed="false">
      <c r="A453" s="9" t="n">
        <v>424</v>
      </c>
      <c r="B453" s="43" t="s">
        <v>141</v>
      </c>
      <c r="C453" s="43" t="s">
        <v>416</v>
      </c>
      <c r="D453" s="44" t="s">
        <v>1225</v>
      </c>
      <c r="E453" s="43" t="s">
        <v>1088</v>
      </c>
      <c r="F453" s="45" t="s">
        <v>729</v>
      </c>
      <c r="G453" s="45" t="s">
        <v>1091</v>
      </c>
      <c r="H453" s="12" t="n">
        <f aca="false">MROUND('Rate Card'!$I$29*O453*P453,10)</f>
        <v>2120</v>
      </c>
      <c r="I453" s="12" t="n">
        <f aca="false">MROUND('Rate Card'!$K$29*O453*P453,10)</f>
        <v>1080</v>
      </c>
      <c r="J453" s="12" t="n">
        <f aca="false">MROUND(H453*4*'Rate Card'!$B$47,100)</f>
        <v>8100</v>
      </c>
      <c r="K453" s="12" t="n">
        <f aca="false">MROUND(I453*4*'Rate Card'!$B$47,100)</f>
        <v>4100</v>
      </c>
      <c r="L453" s="12" t="n">
        <f aca="false">MROUND(H453*120*'Rate Card'!$B$48,500)</f>
        <v>216000</v>
      </c>
      <c r="M453" s="12" t="n">
        <f aca="false">MROUND(I453*120*'Rate Card'!$B$48,500)</f>
        <v>110000</v>
      </c>
      <c r="N453" s="14" t="s">
        <v>350</v>
      </c>
      <c r="O453" s="46" t="n">
        <v>0.72</v>
      </c>
      <c r="P453" s="46" t="n">
        <v>1</v>
      </c>
    </row>
    <row r="454" customFormat="false" ht="15" hidden="false" customHeight="true" outlineLevel="0" collapsed="false">
      <c r="A454" s="9" t="n">
        <v>425</v>
      </c>
      <c r="B454" s="43" t="s">
        <v>141</v>
      </c>
      <c r="C454" s="43" t="s">
        <v>416</v>
      </c>
      <c r="D454" s="44" t="s">
        <v>1226</v>
      </c>
      <c r="E454" s="43" t="s">
        <v>1088</v>
      </c>
      <c r="F454" s="45" t="s">
        <v>423</v>
      </c>
      <c r="G454" s="45" t="s">
        <v>1097</v>
      </c>
      <c r="H454" s="12" t="n">
        <f aca="false">MROUND('Rate Card'!$I$29*O454*P454,10)</f>
        <v>1920</v>
      </c>
      <c r="I454" s="12" t="n">
        <f aca="false">MROUND('Rate Card'!$K$29*O454*P454,10)</f>
        <v>980</v>
      </c>
      <c r="J454" s="12" t="n">
        <f aca="false">MROUND(H454*4*'Rate Card'!$B$47,100)</f>
        <v>7300</v>
      </c>
      <c r="K454" s="12" t="n">
        <f aca="false">MROUND(I454*4*'Rate Card'!$B$47,100)</f>
        <v>3700</v>
      </c>
      <c r="L454" s="12" t="n">
        <f aca="false">MROUND(H454*120*'Rate Card'!$B$48,500)</f>
        <v>196000</v>
      </c>
      <c r="M454" s="12" t="n">
        <f aca="false">MROUND(I454*120*'Rate Card'!$B$48,500)</f>
        <v>100000</v>
      </c>
      <c r="N454" s="14" t="s">
        <v>355</v>
      </c>
      <c r="O454" s="46" t="n">
        <v>0.65</v>
      </c>
      <c r="P454" s="46" t="n">
        <v>1</v>
      </c>
    </row>
    <row r="455" customFormat="false" ht="15" hidden="false" customHeight="true" outlineLevel="0" collapsed="false">
      <c r="A455" s="9" t="n">
        <v>426</v>
      </c>
      <c r="B455" s="43" t="s">
        <v>141</v>
      </c>
      <c r="C455" s="43" t="s">
        <v>416</v>
      </c>
      <c r="D455" s="44" t="s">
        <v>1227</v>
      </c>
      <c r="E455" s="43" t="s">
        <v>1228</v>
      </c>
      <c r="F455" s="45" t="s">
        <v>428</v>
      </c>
      <c r="G455" s="45" t="s">
        <v>1229</v>
      </c>
      <c r="H455" s="12" t="n">
        <f aca="false">MROUND('Rate Card'!$I$29*O455*P455,10)</f>
        <v>1920</v>
      </c>
      <c r="I455" s="12" t="n">
        <f aca="false">MROUND('Rate Card'!$K$29*O455*P455,10)</f>
        <v>980</v>
      </c>
      <c r="J455" s="12" t="n">
        <f aca="false">MROUND(H455*4*'Rate Card'!$B$47,100)</f>
        <v>7300</v>
      </c>
      <c r="K455" s="12" t="n">
        <f aca="false">MROUND(I455*4*'Rate Card'!$B$47,100)</f>
        <v>3700</v>
      </c>
      <c r="L455" s="12" t="n">
        <f aca="false">MROUND(H455*120*'Rate Card'!$B$48,500)</f>
        <v>196000</v>
      </c>
      <c r="M455" s="12" t="n">
        <f aca="false">MROUND(I455*120*'Rate Card'!$B$48,500)</f>
        <v>100000</v>
      </c>
      <c r="N455" s="14" t="s">
        <v>355</v>
      </c>
      <c r="O455" s="46" t="n">
        <v>0.65</v>
      </c>
      <c r="P455" s="46" t="n">
        <v>1</v>
      </c>
    </row>
    <row r="456" customFormat="false" ht="15" hidden="false" customHeight="true" outlineLevel="0" collapsed="false">
      <c r="A456" s="9" t="n">
        <v>427</v>
      </c>
      <c r="B456" s="43" t="s">
        <v>141</v>
      </c>
      <c r="C456" s="43" t="s">
        <v>394</v>
      </c>
      <c r="D456" s="44" t="s">
        <v>1230</v>
      </c>
      <c r="E456" s="43" t="s">
        <v>1231</v>
      </c>
      <c r="F456" s="45" t="s">
        <v>829</v>
      </c>
      <c r="G456" s="45" t="s">
        <v>1232</v>
      </c>
      <c r="H456" s="12" t="n">
        <f aca="false">MROUND('Rate Card'!$I$29*O456*P456,10)</f>
        <v>1710</v>
      </c>
      <c r="I456" s="12" t="n">
        <f aca="false">MROUND('Rate Card'!$K$29*O456*P456,10)</f>
        <v>870</v>
      </c>
      <c r="J456" s="12" t="n">
        <f aca="false">MROUND(H456*4*'Rate Card'!$B$47,100)</f>
        <v>6500</v>
      </c>
      <c r="K456" s="12" t="n">
        <f aca="false">MROUND(I456*4*'Rate Card'!$B$47,100)</f>
        <v>3300</v>
      </c>
      <c r="L456" s="12" t="n">
        <f aca="false">MROUND(H456*120*'Rate Card'!$B$48,500)</f>
        <v>174500</v>
      </c>
      <c r="M456" s="12" t="n">
        <f aca="false">MROUND(I456*120*'Rate Card'!$B$48,500)</f>
        <v>88500</v>
      </c>
      <c r="N456" s="14" t="s">
        <v>364</v>
      </c>
      <c r="O456" s="46" t="n">
        <v>0.58</v>
      </c>
      <c r="P456" s="46" t="n">
        <v>1</v>
      </c>
    </row>
    <row r="457" customFormat="false" ht="15" hidden="false" customHeight="true" outlineLevel="0" collapsed="false">
      <c r="A457" s="9" t="n">
        <v>428</v>
      </c>
      <c r="B457" s="43" t="s">
        <v>141</v>
      </c>
      <c r="C457" s="43" t="s">
        <v>394</v>
      </c>
      <c r="D457" s="44" t="s">
        <v>1233</v>
      </c>
      <c r="E457" s="43" t="s">
        <v>1234</v>
      </c>
      <c r="F457" s="45" t="s">
        <v>444</v>
      </c>
      <c r="G457" s="45" t="s">
        <v>1235</v>
      </c>
      <c r="H457" s="12" t="n">
        <f aca="false">MROUND('Rate Card'!$I$29*O457*P457,10)</f>
        <v>1710</v>
      </c>
      <c r="I457" s="12" t="n">
        <f aca="false">MROUND('Rate Card'!$K$29*O457*P457,10)</f>
        <v>870</v>
      </c>
      <c r="J457" s="12" t="n">
        <f aca="false">MROUND(H457*4*'Rate Card'!$B$47,100)</f>
        <v>6500</v>
      </c>
      <c r="K457" s="12" t="n">
        <f aca="false">MROUND(I457*4*'Rate Card'!$B$47,100)</f>
        <v>3300</v>
      </c>
      <c r="L457" s="12" t="n">
        <f aca="false">MROUND(H457*120*'Rate Card'!$B$48,500)</f>
        <v>174500</v>
      </c>
      <c r="M457" s="12" t="n">
        <f aca="false">MROUND(I457*120*'Rate Card'!$B$48,500)</f>
        <v>88500</v>
      </c>
      <c r="N457" s="14" t="s">
        <v>364</v>
      </c>
      <c r="O457" s="46" t="n">
        <v>0.58</v>
      </c>
      <c r="P457" s="46" t="n">
        <v>1</v>
      </c>
    </row>
    <row r="458" customFormat="false" ht="15" hidden="false" customHeight="true" outlineLevel="0" collapsed="false">
      <c r="A458" s="9" t="n">
        <v>429</v>
      </c>
      <c r="B458" s="43" t="s">
        <v>141</v>
      </c>
      <c r="C458" s="43" t="s">
        <v>476</v>
      </c>
      <c r="D458" s="44" t="s">
        <v>1236</v>
      </c>
      <c r="E458" s="43" t="s">
        <v>472</v>
      </c>
      <c r="F458" s="45" t="s">
        <v>472</v>
      </c>
      <c r="G458" s="45"/>
      <c r="H458" s="12" t="n">
        <f aca="false">MROUND('Rate Card'!$I$29*O458*P458,10)</f>
        <v>1710</v>
      </c>
      <c r="I458" s="12" t="n">
        <f aca="false">MROUND('Rate Card'!$K$29*O458*P458,10)</f>
        <v>870</v>
      </c>
      <c r="J458" s="12" t="n">
        <f aca="false">MROUND(H458*4*'Rate Card'!$B$47,100)</f>
        <v>6500</v>
      </c>
      <c r="K458" s="12" t="n">
        <f aca="false">MROUND(I458*4*'Rate Card'!$B$47,100)</f>
        <v>3300</v>
      </c>
      <c r="L458" s="12" t="n">
        <f aca="false">MROUND(H458*120*'Rate Card'!$B$48,500)</f>
        <v>174500</v>
      </c>
      <c r="M458" s="12" t="n">
        <f aca="false">MROUND(I458*120*'Rate Card'!$B$48,500)</f>
        <v>88500</v>
      </c>
      <c r="N458" s="14" t="s">
        <v>486</v>
      </c>
      <c r="O458" s="46" t="n">
        <v>0.58</v>
      </c>
      <c r="P458" s="46" t="n">
        <v>1</v>
      </c>
    </row>
    <row r="459" customFormat="false" ht="15" hidden="false" customHeight="true" outlineLevel="0" collapsed="false">
      <c r="A459" s="9" t="n">
        <v>430</v>
      </c>
      <c r="B459" s="43" t="s">
        <v>141</v>
      </c>
      <c r="C459" s="43" t="s">
        <v>476</v>
      </c>
      <c r="D459" s="44" t="s">
        <v>1237</v>
      </c>
      <c r="E459" s="43" t="s">
        <v>472</v>
      </c>
      <c r="F459" s="45" t="s">
        <v>472</v>
      </c>
      <c r="G459" s="45" t="s">
        <v>1238</v>
      </c>
      <c r="H459" s="12" t="n">
        <f aca="false">MROUND('Rate Card'!$I$29*O459*P459,10)</f>
        <v>1710</v>
      </c>
      <c r="I459" s="12" t="n">
        <f aca="false">MROUND('Rate Card'!$K$29*O459*P459,10)</f>
        <v>870</v>
      </c>
      <c r="J459" s="12" t="n">
        <f aca="false">MROUND(H459*4*'Rate Card'!$B$47,100)</f>
        <v>6500</v>
      </c>
      <c r="K459" s="12" t="n">
        <f aca="false">MROUND(I459*4*'Rate Card'!$B$47,100)</f>
        <v>3300</v>
      </c>
      <c r="L459" s="12" t="n">
        <f aca="false">MROUND(H459*120*'Rate Card'!$B$48,500)</f>
        <v>174500</v>
      </c>
      <c r="M459" s="12" t="n">
        <f aca="false">MROUND(I459*120*'Rate Card'!$B$48,500)</f>
        <v>88500</v>
      </c>
      <c r="N459" s="14" t="s">
        <v>486</v>
      </c>
      <c r="O459" s="46" t="n">
        <v>0.58</v>
      </c>
      <c r="P459" s="46" t="n">
        <v>1</v>
      </c>
    </row>
    <row r="460" customFormat="false" ht="15" hidden="false" customHeight="true" outlineLevel="0" collapsed="false">
      <c r="A460" s="9" t="n">
        <v>431</v>
      </c>
      <c r="B460" s="43" t="s">
        <v>141</v>
      </c>
      <c r="C460" s="43" t="s">
        <v>476</v>
      </c>
      <c r="D460" s="44" t="s">
        <v>1239</v>
      </c>
      <c r="E460" s="43" t="s">
        <v>472</v>
      </c>
      <c r="F460" s="45" t="s">
        <v>472</v>
      </c>
      <c r="G460" s="45" t="s">
        <v>1240</v>
      </c>
      <c r="H460" s="12" t="n">
        <f aca="false">MROUND('Rate Card'!$I$29*O460*P460,10)</f>
        <v>1710</v>
      </c>
      <c r="I460" s="12" t="n">
        <f aca="false">MROUND('Rate Card'!$K$29*O460*P460,10)</f>
        <v>870</v>
      </c>
      <c r="J460" s="12" t="n">
        <f aca="false">MROUND(H460*4*'Rate Card'!$B$47,100)</f>
        <v>6500</v>
      </c>
      <c r="K460" s="12" t="n">
        <f aca="false">MROUND(I460*4*'Rate Card'!$B$47,100)</f>
        <v>3300</v>
      </c>
      <c r="L460" s="12" t="n">
        <f aca="false">MROUND(H460*120*'Rate Card'!$B$48,500)</f>
        <v>174500</v>
      </c>
      <c r="M460" s="12" t="n">
        <f aca="false">MROUND(I460*120*'Rate Card'!$B$48,500)</f>
        <v>88500</v>
      </c>
      <c r="N460" s="14" t="s">
        <v>486</v>
      </c>
      <c r="O460" s="46" t="n">
        <v>0.58</v>
      </c>
      <c r="P460" s="46" t="n">
        <v>1</v>
      </c>
    </row>
    <row r="461" customFormat="false" ht="15" hidden="false" customHeight="true" outlineLevel="0" collapsed="false">
      <c r="A461" s="9" t="n">
        <v>432</v>
      </c>
      <c r="B461" s="43" t="s">
        <v>141</v>
      </c>
      <c r="C461" s="43" t="s">
        <v>476</v>
      </c>
      <c r="D461" s="44" t="s">
        <v>1241</v>
      </c>
      <c r="E461" s="43" t="s">
        <v>472</v>
      </c>
      <c r="F461" s="45" t="s">
        <v>472</v>
      </c>
      <c r="G461" s="45" t="s">
        <v>1242</v>
      </c>
      <c r="H461" s="12" t="n">
        <f aca="false">MROUND('Rate Card'!$I$29*O461*P461,10)</f>
        <v>1710</v>
      </c>
      <c r="I461" s="12" t="n">
        <f aca="false">MROUND('Rate Card'!$K$29*O461*P461,10)</f>
        <v>870</v>
      </c>
      <c r="J461" s="12" t="n">
        <f aca="false">MROUND(H461*4*'Rate Card'!$B$47,100)</f>
        <v>6500</v>
      </c>
      <c r="K461" s="12" t="n">
        <f aca="false">MROUND(I461*4*'Rate Card'!$B$47,100)</f>
        <v>3300</v>
      </c>
      <c r="L461" s="12" t="n">
        <f aca="false">MROUND(H461*120*'Rate Card'!$B$48,500)</f>
        <v>174500</v>
      </c>
      <c r="M461" s="12" t="n">
        <f aca="false">MROUND(I461*120*'Rate Card'!$B$48,500)</f>
        <v>88500</v>
      </c>
      <c r="N461" s="14" t="s">
        <v>486</v>
      </c>
      <c r="O461" s="46" t="n">
        <v>0.58</v>
      </c>
      <c r="P461" s="46" t="n">
        <v>1</v>
      </c>
    </row>
    <row r="462" customFormat="false" ht="15" hidden="false" customHeight="true" outlineLevel="0" collapsed="false">
      <c r="A462" s="9" t="n">
        <v>433</v>
      </c>
      <c r="B462" s="43" t="s">
        <v>141</v>
      </c>
      <c r="C462" s="43" t="s">
        <v>476</v>
      </c>
      <c r="D462" s="44" t="s">
        <v>1243</v>
      </c>
      <c r="E462" s="43" t="s">
        <v>472</v>
      </c>
      <c r="F462" s="45" t="s">
        <v>472</v>
      </c>
      <c r="G462" s="45" t="s">
        <v>1244</v>
      </c>
      <c r="H462" s="12" t="n">
        <f aca="false">MROUND('Rate Card'!$I$29*O462*P462,10)</f>
        <v>1710</v>
      </c>
      <c r="I462" s="12" t="n">
        <f aca="false">MROUND('Rate Card'!$K$29*O462*P462,10)</f>
        <v>870</v>
      </c>
      <c r="J462" s="12" t="n">
        <f aca="false">MROUND(H462*4*'Rate Card'!$B$47,100)</f>
        <v>6500</v>
      </c>
      <c r="K462" s="12" t="n">
        <f aca="false">MROUND(I462*4*'Rate Card'!$B$47,100)</f>
        <v>3300</v>
      </c>
      <c r="L462" s="12" t="n">
        <f aca="false">MROUND(H462*120*'Rate Card'!$B$48,500)</f>
        <v>174500</v>
      </c>
      <c r="M462" s="12" t="n">
        <f aca="false">MROUND(I462*120*'Rate Card'!$B$48,500)</f>
        <v>88500</v>
      </c>
      <c r="N462" s="14" t="s">
        <v>486</v>
      </c>
      <c r="O462" s="46" t="n">
        <v>0.58</v>
      </c>
      <c r="P462" s="46" t="n">
        <v>1</v>
      </c>
    </row>
    <row r="463" customFormat="false" ht="15" hidden="false" customHeight="true" outlineLevel="0" collapsed="false">
      <c r="A463" s="9" t="n">
        <v>434</v>
      </c>
      <c r="B463" s="43" t="s">
        <v>141</v>
      </c>
      <c r="C463" s="43" t="s">
        <v>476</v>
      </c>
      <c r="D463" s="44" t="s">
        <v>1245</v>
      </c>
      <c r="E463" s="43" t="s">
        <v>472</v>
      </c>
      <c r="F463" s="45" t="s">
        <v>472</v>
      </c>
      <c r="G463" s="45" t="s">
        <v>1246</v>
      </c>
      <c r="H463" s="12" t="n">
        <f aca="false">MROUND('Rate Card'!$I$29*O463*P463,10)</f>
        <v>1710</v>
      </c>
      <c r="I463" s="12" t="n">
        <f aca="false">MROUND('Rate Card'!$K$29*O463*P463,10)</f>
        <v>870</v>
      </c>
      <c r="J463" s="12" t="n">
        <f aca="false">MROUND(H463*4*'Rate Card'!$B$47,100)</f>
        <v>6500</v>
      </c>
      <c r="K463" s="12" t="n">
        <f aca="false">MROUND(I463*4*'Rate Card'!$B$47,100)</f>
        <v>3300</v>
      </c>
      <c r="L463" s="12" t="n">
        <f aca="false">MROUND(H463*120*'Rate Card'!$B$48,500)</f>
        <v>174500</v>
      </c>
      <c r="M463" s="12" t="n">
        <f aca="false">MROUND(I463*120*'Rate Card'!$B$48,500)</f>
        <v>88500</v>
      </c>
      <c r="N463" s="14" t="s">
        <v>486</v>
      </c>
      <c r="O463" s="46" t="n">
        <v>0.58</v>
      </c>
      <c r="P463" s="46" t="n">
        <v>1</v>
      </c>
    </row>
    <row r="464" customFormat="false" ht="15" hidden="false" customHeight="true" outlineLevel="0" collapsed="false">
      <c r="A464" s="9" t="n">
        <v>435</v>
      </c>
      <c r="B464" s="43" t="s">
        <v>141</v>
      </c>
      <c r="C464" s="43" t="s">
        <v>476</v>
      </c>
      <c r="D464" s="44" t="s">
        <v>1247</v>
      </c>
      <c r="E464" s="43" t="s">
        <v>472</v>
      </c>
      <c r="F464" s="45" t="s">
        <v>472</v>
      </c>
      <c r="G464" s="45"/>
      <c r="H464" s="12" t="n">
        <f aca="false">MROUND('Rate Card'!$I$29*O464*P464,10)</f>
        <v>1710</v>
      </c>
      <c r="I464" s="12" t="n">
        <f aca="false">MROUND('Rate Card'!$K$29*O464*P464,10)</f>
        <v>870</v>
      </c>
      <c r="J464" s="12" t="n">
        <f aca="false">MROUND(H464*4*'Rate Card'!$B$47,100)</f>
        <v>6500</v>
      </c>
      <c r="K464" s="12" t="n">
        <f aca="false">MROUND(I464*4*'Rate Card'!$B$47,100)</f>
        <v>3300</v>
      </c>
      <c r="L464" s="12" t="n">
        <f aca="false">MROUND(H464*120*'Rate Card'!$B$48,500)</f>
        <v>174500</v>
      </c>
      <c r="M464" s="12" t="n">
        <f aca="false">MROUND(I464*120*'Rate Card'!$B$48,500)</f>
        <v>88500</v>
      </c>
      <c r="N464" s="14" t="s">
        <v>486</v>
      </c>
      <c r="O464" s="46" t="n">
        <v>0.58</v>
      </c>
      <c r="P464" s="46" t="n">
        <v>1</v>
      </c>
    </row>
    <row r="465" customFormat="false" ht="15" hidden="false" customHeight="true" outlineLevel="0" collapsed="false">
      <c r="A465" s="9" t="n">
        <v>436</v>
      </c>
      <c r="B465" s="43" t="s">
        <v>141</v>
      </c>
      <c r="C465" s="43" t="s">
        <v>476</v>
      </c>
      <c r="D465" s="44" t="s">
        <v>1248</v>
      </c>
      <c r="E465" s="43" t="s">
        <v>472</v>
      </c>
      <c r="F465" s="45" t="s">
        <v>472</v>
      </c>
      <c r="G465" s="45"/>
      <c r="H465" s="12" t="n">
        <f aca="false">MROUND('Rate Card'!$I$29*O465*P465,10)</f>
        <v>1710</v>
      </c>
      <c r="I465" s="12" t="n">
        <f aca="false">MROUND('Rate Card'!$K$29*O465*P465,10)</f>
        <v>870</v>
      </c>
      <c r="J465" s="12" t="n">
        <f aca="false">MROUND(H465*4*'Rate Card'!$B$47,100)</f>
        <v>6500</v>
      </c>
      <c r="K465" s="12" t="n">
        <f aca="false">MROUND(I465*4*'Rate Card'!$B$47,100)</f>
        <v>3300</v>
      </c>
      <c r="L465" s="12" t="n">
        <f aca="false">MROUND(H465*120*'Rate Card'!$B$48,500)</f>
        <v>174500</v>
      </c>
      <c r="M465" s="12" t="n">
        <f aca="false">MROUND(I465*120*'Rate Card'!$B$48,500)</f>
        <v>88500</v>
      </c>
      <c r="N465" s="14" t="s">
        <v>486</v>
      </c>
      <c r="O465" s="46" t="n">
        <v>0.58</v>
      </c>
      <c r="P465" s="46" t="n">
        <v>1</v>
      </c>
    </row>
    <row r="466" customFormat="false" ht="15" hidden="false" customHeight="true" outlineLevel="0" collapsed="false">
      <c r="A466" s="9" t="n">
        <v>437</v>
      </c>
      <c r="B466" s="43" t="s">
        <v>141</v>
      </c>
      <c r="C466" s="43" t="s">
        <v>476</v>
      </c>
      <c r="D466" s="44" t="s">
        <v>1249</v>
      </c>
      <c r="E466" s="43" t="s">
        <v>472</v>
      </c>
      <c r="F466" s="45" t="s">
        <v>472</v>
      </c>
      <c r="G466" s="45" t="s">
        <v>1101</v>
      </c>
      <c r="H466" s="12" t="n">
        <f aca="false">MROUND('Rate Card'!$I$29*O466*P466,10)</f>
        <v>1710</v>
      </c>
      <c r="I466" s="12" t="n">
        <f aca="false">MROUND('Rate Card'!$K$29*O466*P466,10)</f>
        <v>870</v>
      </c>
      <c r="J466" s="12" t="n">
        <f aca="false">MROUND(H466*4*'Rate Card'!$B$47,100)</f>
        <v>6500</v>
      </c>
      <c r="K466" s="12" t="n">
        <f aca="false">MROUND(I466*4*'Rate Card'!$B$47,100)</f>
        <v>3300</v>
      </c>
      <c r="L466" s="12" t="n">
        <f aca="false">MROUND(H466*120*'Rate Card'!$B$48,500)</f>
        <v>174500</v>
      </c>
      <c r="M466" s="12" t="n">
        <f aca="false">MROUND(I466*120*'Rate Card'!$B$48,500)</f>
        <v>88500</v>
      </c>
      <c r="N466" s="14" t="s">
        <v>486</v>
      </c>
      <c r="O466" s="46" t="n">
        <v>0.58</v>
      </c>
      <c r="P466" s="46" t="n">
        <v>1</v>
      </c>
    </row>
    <row r="467" customFormat="false" ht="15" hidden="false" customHeight="true" outlineLevel="0" collapsed="false">
      <c r="A467" s="9" t="n">
        <v>438</v>
      </c>
      <c r="B467" s="43" t="s">
        <v>141</v>
      </c>
      <c r="C467" s="43" t="s">
        <v>476</v>
      </c>
      <c r="D467" s="44" t="s">
        <v>1250</v>
      </c>
      <c r="E467" s="43" t="s">
        <v>472</v>
      </c>
      <c r="F467" s="45" t="s">
        <v>472</v>
      </c>
      <c r="G467" s="45"/>
      <c r="H467" s="12" t="n">
        <f aca="false">MROUND('Rate Card'!$I$29*O467*P467,10)</f>
        <v>1710</v>
      </c>
      <c r="I467" s="12" t="n">
        <f aca="false">MROUND('Rate Card'!$K$29*O467*P467,10)</f>
        <v>870</v>
      </c>
      <c r="J467" s="12" t="n">
        <f aca="false">MROUND(H467*4*'Rate Card'!$B$47,100)</f>
        <v>6500</v>
      </c>
      <c r="K467" s="12" t="n">
        <f aca="false">MROUND(I467*4*'Rate Card'!$B$47,100)</f>
        <v>3300</v>
      </c>
      <c r="L467" s="12" t="n">
        <f aca="false">MROUND(H467*120*'Rate Card'!$B$48,500)</f>
        <v>174500</v>
      </c>
      <c r="M467" s="12" t="n">
        <f aca="false">MROUND(I467*120*'Rate Card'!$B$48,500)</f>
        <v>88500</v>
      </c>
      <c r="N467" s="14" t="s">
        <v>486</v>
      </c>
      <c r="O467" s="46" t="n">
        <v>0.58</v>
      </c>
      <c r="P467" s="46" t="n">
        <v>1</v>
      </c>
    </row>
    <row r="468" customFormat="false" ht="15" hidden="false" customHeight="true" outlineLevel="0" collapsed="false">
      <c r="A468" s="9" t="n">
        <v>439</v>
      </c>
      <c r="B468" s="43" t="s">
        <v>141</v>
      </c>
      <c r="C468" s="43" t="s">
        <v>476</v>
      </c>
      <c r="D468" s="44" t="s">
        <v>1251</v>
      </c>
      <c r="E468" s="43" t="s">
        <v>472</v>
      </c>
      <c r="F468" s="45" t="s">
        <v>472</v>
      </c>
      <c r="G468" s="45"/>
      <c r="H468" s="12" t="n">
        <f aca="false">MROUND('Rate Card'!$I$29*O468*P468,10)</f>
        <v>1710</v>
      </c>
      <c r="I468" s="12" t="n">
        <f aca="false">MROUND('Rate Card'!$K$29*O468*P468,10)</f>
        <v>870</v>
      </c>
      <c r="J468" s="12" t="n">
        <f aca="false">MROUND(H468*4*'Rate Card'!$B$47,100)</f>
        <v>6500</v>
      </c>
      <c r="K468" s="12" t="n">
        <f aca="false">MROUND(I468*4*'Rate Card'!$B$47,100)</f>
        <v>3300</v>
      </c>
      <c r="L468" s="12" t="n">
        <f aca="false">MROUND(H468*120*'Rate Card'!$B$48,500)</f>
        <v>174500</v>
      </c>
      <c r="M468" s="12" t="n">
        <f aca="false">MROUND(I468*120*'Rate Card'!$B$48,500)</f>
        <v>88500</v>
      </c>
      <c r="N468" s="14" t="s">
        <v>486</v>
      </c>
      <c r="O468" s="46" t="n">
        <v>0.58</v>
      </c>
      <c r="P468" s="46" t="n">
        <v>1</v>
      </c>
    </row>
    <row r="469" customFormat="false" ht="15" hidden="false" customHeight="true" outlineLevel="0" collapsed="false">
      <c r="A469" s="9" t="n">
        <v>440</v>
      </c>
      <c r="B469" s="43" t="s">
        <v>141</v>
      </c>
      <c r="C469" s="43" t="s">
        <v>476</v>
      </c>
      <c r="D469" s="44" t="s">
        <v>1252</v>
      </c>
      <c r="E469" s="43" t="s">
        <v>472</v>
      </c>
      <c r="F469" s="45" t="s">
        <v>472</v>
      </c>
      <c r="G469" s="45"/>
      <c r="H469" s="12" t="n">
        <f aca="false">MROUND('Rate Card'!$I$29*O469*P469,10)</f>
        <v>1710</v>
      </c>
      <c r="I469" s="12" t="n">
        <f aca="false">MROUND('Rate Card'!$K$29*O469*P469,10)</f>
        <v>870</v>
      </c>
      <c r="J469" s="12" t="n">
        <f aca="false">MROUND(H469*4*'Rate Card'!$B$47,100)</f>
        <v>6500</v>
      </c>
      <c r="K469" s="12" t="n">
        <f aca="false">MROUND(I469*4*'Rate Card'!$B$47,100)</f>
        <v>3300</v>
      </c>
      <c r="L469" s="12" t="n">
        <f aca="false">MROUND(H469*120*'Rate Card'!$B$48,500)</f>
        <v>174500</v>
      </c>
      <c r="M469" s="12" t="n">
        <f aca="false">MROUND(I469*120*'Rate Card'!$B$48,500)</f>
        <v>88500</v>
      </c>
      <c r="N469" s="14" t="s">
        <v>486</v>
      </c>
      <c r="O469" s="46" t="n">
        <v>0.58</v>
      </c>
      <c r="P469" s="46" t="n">
        <v>1</v>
      </c>
    </row>
    <row r="470" customFormat="false" ht="15" hidden="false" customHeight="true" outlineLevel="0" collapsed="false">
      <c r="A470" s="42" t="s">
        <v>1253</v>
      </c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</row>
    <row r="471" customFormat="false" ht="15" hidden="false" customHeight="true" outlineLevel="0" collapsed="false">
      <c r="A471" s="9" t="n">
        <v>441</v>
      </c>
      <c r="B471" s="43" t="s">
        <v>143</v>
      </c>
      <c r="C471" s="43" t="s">
        <v>792</v>
      </c>
      <c r="D471" s="44" t="s">
        <v>1254</v>
      </c>
      <c r="E471" s="43" t="s">
        <v>1255</v>
      </c>
      <c r="F471" s="45" t="s">
        <v>310</v>
      </c>
      <c r="G471" s="45" t="s">
        <v>1256</v>
      </c>
      <c r="H471" s="12" t="n">
        <f aca="false">MROUND('Rate Card'!$I$30*O471*P471,10)</f>
        <v>1720</v>
      </c>
      <c r="I471" s="12" t="n">
        <f aca="false">MROUND('Rate Card'!$K$30*O471*P471,10)</f>
        <v>940</v>
      </c>
      <c r="J471" s="12" t="n">
        <f aca="false">MROUND(H471*4*'Rate Card'!$B$47,100)</f>
        <v>6500</v>
      </c>
      <c r="K471" s="12" t="n">
        <f aca="false">MROUND(I471*4*'Rate Card'!$B$47,100)</f>
        <v>3600</v>
      </c>
      <c r="L471" s="12" t="n">
        <f aca="false">MROUND(H471*120*'Rate Card'!$B$48,500)</f>
        <v>175500</v>
      </c>
      <c r="M471" s="12" t="n">
        <f aca="false">MROUND(I471*120*'Rate Card'!$B$48,500)</f>
        <v>96000</v>
      </c>
      <c r="N471" s="14"/>
      <c r="O471" s="46" t="n">
        <v>0.82</v>
      </c>
      <c r="P471" s="46" t="n">
        <v>1</v>
      </c>
    </row>
    <row r="472" customFormat="false" ht="15" hidden="false" customHeight="true" outlineLevel="0" collapsed="false">
      <c r="A472" s="9" t="n">
        <v>442</v>
      </c>
      <c r="B472" s="43" t="s">
        <v>143</v>
      </c>
      <c r="C472" s="43" t="s">
        <v>792</v>
      </c>
      <c r="D472" s="44" t="s">
        <v>1257</v>
      </c>
      <c r="E472" s="43" t="s">
        <v>1255</v>
      </c>
      <c r="F472" s="45" t="s">
        <v>310</v>
      </c>
      <c r="G472" s="45" t="s">
        <v>1258</v>
      </c>
      <c r="H472" s="12" t="n">
        <f aca="false">MROUND('Rate Card'!$I$30*O472*P472,10)</f>
        <v>1720</v>
      </c>
      <c r="I472" s="12" t="n">
        <f aca="false">MROUND('Rate Card'!$K$30*O472*P472,10)</f>
        <v>940</v>
      </c>
      <c r="J472" s="12" t="n">
        <f aca="false">MROUND(H472*4*'Rate Card'!$B$47,100)</f>
        <v>6500</v>
      </c>
      <c r="K472" s="12" t="n">
        <f aca="false">MROUND(I472*4*'Rate Card'!$B$47,100)</f>
        <v>3600</v>
      </c>
      <c r="L472" s="12" t="n">
        <f aca="false">MROUND(H472*120*'Rate Card'!$B$48,500)</f>
        <v>175500</v>
      </c>
      <c r="M472" s="12" t="n">
        <f aca="false">MROUND(I472*120*'Rate Card'!$B$48,500)</f>
        <v>96000</v>
      </c>
      <c r="N472" s="14"/>
      <c r="O472" s="46" t="n">
        <v>0.82</v>
      </c>
      <c r="P472" s="46" t="n">
        <v>1</v>
      </c>
    </row>
    <row r="473" customFormat="false" ht="15" hidden="false" customHeight="true" outlineLevel="0" collapsed="false">
      <c r="A473" s="9" t="n">
        <v>443</v>
      </c>
      <c r="B473" s="43" t="s">
        <v>143</v>
      </c>
      <c r="C473" s="43" t="s">
        <v>792</v>
      </c>
      <c r="D473" s="44" t="s">
        <v>1259</v>
      </c>
      <c r="E473" s="43" t="s">
        <v>1260</v>
      </c>
      <c r="F473" s="45" t="s">
        <v>310</v>
      </c>
      <c r="G473" s="45" t="s">
        <v>1261</v>
      </c>
      <c r="H473" s="12" t="n">
        <f aca="false">MROUND('Rate Card'!$I$30*O473*P473,10)</f>
        <v>1720</v>
      </c>
      <c r="I473" s="12" t="n">
        <f aca="false">MROUND('Rate Card'!$K$30*O473*P473,10)</f>
        <v>940</v>
      </c>
      <c r="J473" s="12" t="n">
        <f aca="false">MROUND(H473*4*'Rate Card'!$B$47,100)</f>
        <v>6500</v>
      </c>
      <c r="K473" s="12" t="n">
        <f aca="false">MROUND(I473*4*'Rate Card'!$B$47,100)</f>
        <v>3600</v>
      </c>
      <c r="L473" s="12" t="n">
        <f aca="false">MROUND(H473*120*'Rate Card'!$B$48,500)</f>
        <v>175500</v>
      </c>
      <c r="M473" s="12" t="n">
        <f aca="false">MROUND(I473*120*'Rate Card'!$B$48,500)</f>
        <v>96000</v>
      </c>
      <c r="N473" s="14"/>
      <c r="O473" s="46" t="n">
        <v>0.82</v>
      </c>
      <c r="P473" s="46" t="n">
        <v>1</v>
      </c>
    </row>
    <row r="474" customFormat="false" ht="15" hidden="false" customHeight="true" outlineLevel="0" collapsed="false">
      <c r="A474" s="9" t="n">
        <v>444</v>
      </c>
      <c r="B474" s="43" t="s">
        <v>143</v>
      </c>
      <c r="C474" s="43" t="s">
        <v>1262</v>
      </c>
      <c r="D474" s="44" t="s">
        <v>1263</v>
      </c>
      <c r="E474" s="43" t="s">
        <v>1264</v>
      </c>
      <c r="F474" s="45" t="s">
        <v>310</v>
      </c>
      <c r="G474" s="45" t="s">
        <v>1265</v>
      </c>
      <c r="H474" s="12" t="n">
        <f aca="false">MROUND('Rate Card'!$I$30*O474*P474,10)</f>
        <v>1720</v>
      </c>
      <c r="I474" s="12" t="n">
        <f aca="false">MROUND('Rate Card'!$K$30*O474*P474,10)</f>
        <v>940</v>
      </c>
      <c r="J474" s="12" t="n">
        <f aca="false">MROUND(H474*4*'Rate Card'!$B$47,100)</f>
        <v>6500</v>
      </c>
      <c r="K474" s="12" t="n">
        <f aca="false">MROUND(I474*4*'Rate Card'!$B$47,100)</f>
        <v>3600</v>
      </c>
      <c r="L474" s="12" t="n">
        <f aca="false">MROUND(H474*120*'Rate Card'!$B$48,500)</f>
        <v>175500</v>
      </c>
      <c r="M474" s="12" t="n">
        <f aca="false">MROUND(I474*120*'Rate Card'!$B$48,500)</f>
        <v>96000</v>
      </c>
      <c r="N474" s="14"/>
      <c r="O474" s="46" t="n">
        <v>0.82</v>
      </c>
      <c r="P474" s="46" t="n">
        <v>1</v>
      </c>
    </row>
    <row r="475" customFormat="false" ht="27.75" hidden="false" customHeight="true" outlineLevel="0" collapsed="false">
      <c r="A475" s="9" t="n">
        <v>445</v>
      </c>
      <c r="B475" s="43" t="s">
        <v>143</v>
      </c>
      <c r="C475" s="43" t="s">
        <v>1266</v>
      </c>
      <c r="D475" s="44" t="s">
        <v>1267</v>
      </c>
      <c r="E475" s="43" t="s">
        <v>1268</v>
      </c>
      <c r="F475" s="45" t="s">
        <v>623</v>
      </c>
      <c r="G475" s="45" t="s">
        <v>1269</v>
      </c>
      <c r="H475" s="12" t="n">
        <f aca="false">MROUND('Rate Card'!$I$30*O475*P475,10)</f>
        <v>1510</v>
      </c>
      <c r="I475" s="12" t="n">
        <f aca="false">MROUND('Rate Card'!$K$30*O475*P475,10)</f>
        <v>830</v>
      </c>
      <c r="J475" s="12" t="n">
        <f aca="false">MROUND(H475*4*'Rate Card'!$B$47,100)</f>
        <v>5700</v>
      </c>
      <c r="K475" s="12" t="n">
        <f aca="false">MROUND(I475*4*'Rate Card'!$B$47,100)</f>
        <v>3200</v>
      </c>
      <c r="L475" s="12" t="n">
        <f aca="false">MROUND(H475*120*'Rate Card'!$B$48,500)</f>
        <v>154000</v>
      </c>
      <c r="M475" s="12" t="n">
        <f aca="false">MROUND(I475*120*'Rate Card'!$B$48,500)</f>
        <v>84500</v>
      </c>
      <c r="N475" s="14" t="s">
        <v>350</v>
      </c>
      <c r="O475" s="46" t="n">
        <v>0.72</v>
      </c>
      <c r="P475" s="46" t="n">
        <v>1</v>
      </c>
    </row>
    <row r="476" customFormat="false" ht="15" hidden="false" customHeight="true" outlineLevel="0" collapsed="false">
      <c r="A476" s="9" t="n">
        <v>446</v>
      </c>
      <c r="B476" s="43" t="s">
        <v>143</v>
      </c>
      <c r="C476" s="43" t="s">
        <v>1262</v>
      </c>
      <c r="D476" s="44" t="s">
        <v>1270</v>
      </c>
      <c r="E476" s="43" t="s">
        <v>1264</v>
      </c>
      <c r="F476" s="45" t="s">
        <v>729</v>
      </c>
      <c r="G476" s="45" t="s">
        <v>1271</v>
      </c>
      <c r="H476" s="12" t="n">
        <f aca="false">MROUND('Rate Card'!$I$30*O476*P476,10)</f>
        <v>1510</v>
      </c>
      <c r="I476" s="12" t="n">
        <f aca="false">MROUND('Rate Card'!$K$30*O476*P476,10)</f>
        <v>830</v>
      </c>
      <c r="J476" s="12" t="n">
        <f aca="false">MROUND(H476*4*'Rate Card'!$B$47,100)</f>
        <v>5700</v>
      </c>
      <c r="K476" s="12" t="n">
        <f aca="false">MROUND(I476*4*'Rate Card'!$B$47,100)</f>
        <v>3200</v>
      </c>
      <c r="L476" s="12" t="n">
        <f aca="false">MROUND(H476*120*'Rate Card'!$B$48,500)</f>
        <v>154000</v>
      </c>
      <c r="M476" s="12" t="n">
        <f aca="false">MROUND(I476*120*'Rate Card'!$B$48,500)</f>
        <v>84500</v>
      </c>
      <c r="N476" s="14" t="s">
        <v>350</v>
      </c>
      <c r="O476" s="46" t="n">
        <v>0.72</v>
      </c>
      <c r="P476" s="46" t="n">
        <v>1</v>
      </c>
    </row>
    <row r="477" customFormat="false" ht="15" hidden="false" customHeight="true" outlineLevel="0" collapsed="false">
      <c r="A477" s="9" t="n">
        <v>447</v>
      </c>
      <c r="B477" s="43" t="s">
        <v>143</v>
      </c>
      <c r="C477" s="43" t="s">
        <v>1262</v>
      </c>
      <c r="D477" s="44" t="s">
        <v>1272</v>
      </c>
      <c r="E477" s="43" t="s">
        <v>1264</v>
      </c>
      <c r="F477" s="45" t="s">
        <v>729</v>
      </c>
      <c r="G477" s="45" t="s">
        <v>1273</v>
      </c>
      <c r="H477" s="12" t="n">
        <f aca="false">MROUND('Rate Card'!$I$30*O477*P477,10)</f>
        <v>1510</v>
      </c>
      <c r="I477" s="12" t="n">
        <f aca="false">MROUND('Rate Card'!$K$30*O477*P477,10)</f>
        <v>830</v>
      </c>
      <c r="J477" s="12" t="n">
        <f aca="false">MROUND(H477*4*'Rate Card'!$B$47,100)</f>
        <v>5700</v>
      </c>
      <c r="K477" s="12" t="n">
        <f aca="false">MROUND(I477*4*'Rate Card'!$B$47,100)</f>
        <v>3200</v>
      </c>
      <c r="L477" s="12" t="n">
        <f aca="false">MROUND(H477*120*'Rate Card'!$B$48,500)</f>
        <v>154000</v>
      </c>
      <c r="M477" s="12" t="n">
        <f aca="false">MROUND(I477*120*'Rate Card'!$B$48,500)</f>
        <v>84500</v>
      </c>
      <c r="N477" s="14" t="s">
        <v>350</v>
      </c>
      <c r="O477" s="46" t="n">
        <v>0.72</v>
      </c>
      <c r="P477" s="46" t="n">
        <v>1</v>
      </c>
    </row>
    <row r="478" customFormat="false" ht="27.75" hidden="false" customHeight="true" outlineLevel="0" collapsed="false">
      <c r="A478" s="9" t="n">
        <v>448</v>
      </c>
      <c r="B478" s="43" t="s">
        <v>143</v>
      </c>
      <c r="C478" s="43" t="s">
        <v>1274</v>
      </c>
      <c r="D478" s="44" t="s">
        <v>1275</v>
      </c>
      <c r="E478" s="43" t="s">
        <v>1264</v>
      </c>
      <c r="F478" s="45" t="s">
        <v>1276</v>
      </c>
      <c r="G478" s="45" t="s">
        <v>1277</v>
      </c>
      <c r="H478" s="12" t="n">
        <f aca="false">MROUND('Rate Card'!$I$30*O478*P478,10)</f>
        <v>1220</v>
      </c>
      <c r="I478" s="12" t="n">
        <f aca="false">MROUND('Rate Card'!$K$30*O478*P478,10)</f>
        <v>670</v>
      </c>
      <c r="J478" s="12" t="n">
        <f aca="false">MROUND(H478*4*'Rate Card'!$B$47,100)</f>
        <v>4600</v>
      </c>
      <c r="K478" s="12" t="n">
        <f aca="false">MROUND(I478*4*'Rate Card'!$B$47,100)</f>
        <v>2500</v>
      </c>
      <c r="L478" s="12" t="n">
        <f aca="false">MROUND(H478*120*'Rate Card'!$B$48,500)</f>
        <v>124500</v>
      </c>
      <c r="M478" s="12" t="n">
        <f aca="false">MROUND(I478*120*'Rate Card'!$B$48,500)</f>
        <v>68500</v>
      </c>
      <c r="N478" s="14" t="s">
        <v>364</v>
      </c>
      <c r="O478" s="46" t="n">
        <v>0.58</v>
      </c>
      <c r="P478" s="46" t="n">
        <v>1</v>
      </c>
    </row>
    <row r="479" customFormat="false" ht="27.75" hidden="false" customHeight="true" outlineLevel="0" collapsed="false">
      <c r="A479" s="9" t="n">
        <v>449</v>
      </c>
      <c r="B479" s="43" t="s">
        <v>143</v>
      </c>
      <c r="C479" s="43" t="s">
        <v>1274</v>
      </c>
      <c r="D479" s="44" t="s">
        <v>1278</v>
      </c>
      <c r="E479" s="43" t="s">
        <v>1279</v>
      </c>
      <c r="F479" s="45" t="s">
        <v>1280</v>
      </c>
      <c r="G479" s="45" t="s">
        <v>1281</v>
      </c>
      <c r="H479" s="12" t="n">
        <f aca="false">MROUND('Rate Card'!$I$30*O479*P479,10)</f>
        <v>1220</v>
      </c>
      <c r="I479" s="12" t="n">
        <f aca="false">MROUND('Rate Card'!$K$30*O479*P479,10)</f>
        <v>670</v>
      </c>
      <c r="J479" s="12" t="n">
        <f aca="false">MROUND(H479*4*'Rate Card'!$B$47,100)</f>
        <v>4600</v>
      </c>
      <c r="K479" s="12" t="n">
        <f aca="false">MROUND(I479*4*'Rate Card'!$B$47,100)</f>
        <v>2500</v>
      </c>
      <c r="L479" s="12" t="n">
        <f aca="false">MROUND(H479*120*'Rate Card'!$B$48,500)</f>
        <v>124500</v>
      </c>
      <c r="M479" s="12" t="n">
        <f aca="false">MROUND(I479*120*'Rate Card'!$B$48,500)</f>
        <v>68500</v>
      </c>
      <c r="N479" s="14" t="s">
        <v>364</v>
      </c>
      <c r="O479" s="46" t="n">
        <v>0.58</v>
      </c>
      <c r="P479" s="46" t="n">
        <v>1</v>
      </c>
    </row>
    <row r="480" customFormat="false" ht="15" hidden="false" customHeight="true" outlineLevel="0" collapsed="false">
      <c r="A480" s="9" t="n">
        <v>450</v>
      </c>
      <c r="B480" s="43" t="s">
        <v>143</v>
      </c>
      <c r="C480" s="43" t="s">
        <v>476</v>
      </c>
      <c r="D480" s="44"/>
      <c r="E480" s="43" t="s">
        <v>472</v>
      </c>
      <c r="F480" s="45" t="s">
        <v>472</v>
      </c>
      <c r="G480" s="45" t="s">
        <v>1282</v>
      </c>
      <c r="H480" s="12" t="n">
        <f aca="false">MROUND('Rate Card'!$I$30*O480*P480,10)</f>
        <v>1220</v>
      </c>
      <c r="I480" s="12" t="n">
        <f aca="false">MROUND('Rate Card'!$K$30*O480*P480,10)</f>
        <v>670</v>
      </c>
      <c r="J480" s="12" t="n">
        <f aca="false">MROUND(H480*4*'Rate Card'!$B$47,100)</f>
        <v>4600</v>
      </c>
      <c r="K480" s="12" t="n">
        <f aca="false">MROUND(I480*4*'Rate Card'!$B$47,100)</f>
        <v>2500</v>
      </c>
      <c r="L480" s="12" t="n">
        <f aca="false">MROUND(H480*120*'Rate Card'!$B$48,500)</f>
        <v>124500</v>
      </c>
      <c r="M480" s="12" t="n">
        <f aca="false">MROUND(I480*120*'Rate Card'!$B$48,500)</f>
        <v>68500</v>
      </c>
      <c r="N480" s="14" t="s">
        <v>486</v>
      </c>
      <c r="O480" s="46" t="n">
        <v>0.58</v>
      </c>
      <c r="P480" s="46" t="n">
        <v>1</v>
      </c>
    </row>
    <row r="481" customFormat="false" ht="15" hidden="false" customHeight="true" outlineLevel="0" collapsed="false">
      <c r="A481" s="9" t="n">
        <v>451</v>
      </c>
      <c r="B481" s="43" t="s">
        <v>143</v>
      </c>
      <c r="C481" s="43" t="s">
        <v>476</v>
      </c>
      <c r="D481" s="44"/>
      <c r="E481" s="43" t="s">
        <v>472</v>
      </c>
      <c r="F481" s="45" t="s">
        <v>472</v>
      </c>
      <c r="G481" s="45" t="s">
        <v>1273</v>
      </c>
      <c r="H481" s="12" t="n">
        <f aca="false">MROUND('Rate Card'!$I$30*O481*P481,10)</f>
        <v>1220</v>
      </c>
      <c r="I481" s="12" t="n">
        <f aca="false">MROUND('Rate Card'!$K$30*O481*P481,10)</f>
        <v>670</v>
      </c>
      <c r="J481" s="12" t="n">
        <f aca="false">MROUND(H481*4*'Rate Card'!$B$47,100)</f>
        <v>4600</v>
      </c>
      <c r="K481" s="12" t="n">
        <f aca="false">MROUND(I481*4*'Rate Card'!$B$47,100)</f>
        <v>2500</v>
      </c>
      <c r="L481" s="12" t="n">
        <f aca="false">MROUND(H481*120*'Rate Card'!$B$48,500)</f>
        <v>124500</v>
      </c>
      <c r="M481" s="12" t="n">
        <f aca="false">MROUND(I481*120*'Rate Card'!$B$48,500)</f>
        <v>68500</v>
      </c>
      <c r="N481" s="14" t="s">
        <v>486</v>
      </c>
      <c r="O481" s="46" t="n">
        <v>0.58</v>
      </c>
      <c r="P481" s="46" t="n">
        <v>1</v>
      </c>
    </row>
    <row r="482" customFormat="false" ht="27.75" hidden="false" customHeight="true" outlineLevel="0" collapsed="false">
      <c r="A482" s="9" t="n">
        <v>452</v>
      </c>
      <c r="B482" s="43" t="s">
        <v>143</v>
      </c>
      <c r="C482" s="43" t="s">
        <v>1266</v>
      </c>
      <c r="D482" s="44" t="s">
        <v>1283</v>
      </c>
      <c r="E482" s="43" t="s">
        <v>1268</v>
      </c>
      <c r="F482" s="45" t="s">
        <v>472</v>
      </c>
      <c r="G482" s="45" t="s">
        <v>1269</v>
      </c>
      <c r="H482" s="12" t="n">
        <f aca="false">MROUND('Rate Card'!$I$30*O482*P482,10)</f>
        <v>1220</v>
      </c>
      <c r="I482" s="12" t="n">
        <f aca="false">MROUND('Rate Card'!$K$30*O482*P482,10)</f>
        <v>670</v>
      </c>
      <c r="J482" s="12" t="n">
        <f aca="false">MROUND(H482*4*'Rate Card'!$B$47,100)</f>
        <v>4600</v>
      </c>
      <c r="K482" s="12" t="n">
        <f aca="false">MROUND(I482*4*'Rate Card'!$B$47,100)</f>
        <v>2500</v>
      </c>
      <c r="L482" s="12" t="n">
        <f aca="false">MROUND(H482*120*'Rate Card'!$B$48,500)</f>
        <v>124500</v>
      </c>
      <c r="M482" s="12" t="n">
        <f aca="false">MROUND(I482*120*'Rate Card'!$B$48,500)</f>
        <v>68500</v>
      </c>
      <c r="N482" s="14" t="s">
        <v>486</v>
      </c>
      <c r="O482" s="46" t="n">
        <v>0.58</v>
      </c>
      <c r="P482" s="46" t="n">
        <v>1</v>
      </c>
    </row>
    <row r="483" customFormat="false" ht="15" hidden="false" customHeight="true" outlineLevel="0" collapsed="false">
      <c r="A483" s="42" t="s">
        <v>1284</v>
      </c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</row>
    <row r="484" customFormat="false" ht="15" hidden="false" customHeight="true" outlineLevel="0" collapsed="false">
      <c r="A484" s="9" t="n">
        <v>453</v>
      </c>
      <c r="B484" s="43" t="s">
        <v>145</v>
      </c>
      <c r="C484" s="43" t="s">
        <v>1285</v>
      </c>
      <c r="D484" s="44" t="s">
        <v>1286</v>
      </c>
      <c r="E484" s="43" t="s">
        <v>1287</v>
      </c>
      <c r="F484" s="45" t="s">
        <v>397</v>
      </c>
      <c r="G484" s="45" t="s">
        <v>1288</v>
      </c>
      <c r="H484" s="12" t="n">
        <f aca="false">MROUND('Rate Card'!$I$31*O484*P484,10)</f>
        <v>460</v>
      </c>
      <c r="I484" s="12" t="n">
        <f aca="false">MROUND('Rate Card'!$K$31*O484*P484,10)</f>
        <v>280</v>
      </c>
      <c r="J484" s="12" t="n">
        <f aca="false">MROUND(H484*4*'Rate Card'!$B$47,100)</f>
        <v>1700</v>
      </c>
      <c r="K484" s="12" t="n">
        <f aca="false">MROUND(I484*4*'Rate Card'!$B$47,100)</f>
        <v>1100</v>
      </c>
      <c r="L484" s="12" t="n">
        <f aca="false">MROUND(H484*120*'Rate Card'!$B$48,500)</f>
        <v>47000</v>
      </c>
      <c r="M484" s="12" t="n">
        <f aca="false">MROUND(I484*120*'Rate Card'!$B$48,500)</f>
        <v>28500</v>
      </c>
      <c r="N484" s="14"/>
      <c r="O484" s="46" t="n">
        <v>0.92</v>
      </c>
      <c r="P484" s="46" t="n">
        <v>1</v>
      </c>
    </row>
    <row r="485" customFormat="false" ht="15" hidden="false" customHeight="true" outlineLevel="0" collapsed="false">
      <c r="A485" s="9" t="n">
        <v>454</v>
      </c>
      <c r="B485" s="43" t="s">
        <v>145</v>
      </c>
      <c r="C485" s="43" t="s">
        <v>1285</v>
      </c>
      <c r="D485" s="44"/>
      <c r="E485" s="43" t="s">
        <v>1287</v>
      </c>
      <c r="F485" s="45" t="s">
        <v>397</v>
      </c>
      <c r="G485" s="45"/>
      <c r="H485" s="12" t="n">
        <f aca="false">MROUND('Rate Card'!$I$31*O485*P485,10)</f>
        <v>460</v>
      </c>
      <c r="I485" s="12" t="n">
        <f aca="false">MROUND('Rate Card'!$K$31*O485*P485,10)</f>
        <v>280</v>
      </c>
      <c r="J485" s="12" t="n">
        <f aca="false">MROUND(H485*4*'Rate Card'!$B$47,100)</f>
        <v>1700</v>
      </c>
      <c r="K485" s="12" t="n">
        <f aca="false">MROUND(I485*4*'Rate Card'!$B$47,100)</f>
        <v>1100</v>
      </c>
      <c r="L485" s="12" t="n">
        <f aca="false">MROUND(H485*120*'Rate Card'!$B$48,500)</f>
        <v>47000</v>
      </c>
      <c r="M485" s="12" t="n">
        <f aca="false">MROUND(I485*120*'Rate Card'!$B$48,500)</f>
        <v>28500</v>
      </c>
      <c r="N485" s="14"/>
      <c r="O485" s="46" t="n">
        <v>0.92</v>
      </c>
      <c r="P485" s="46" t="n">
        <v>1</v>
      </c>
    </row>
    <row r="486" customFormat="false" ht="15" hidden="false" customHeight="true" outlineLevel="0" collapsed="false">
      <c r="A486" s="9" t="n">
        <v>455</v>
      </c>
      <c r="B486" s="43" t="s">
        <v>145</v>
      </c>
      <c r="C486" s="43" t="s">
        <v>1285</v>
      </c>
      <c r="D486" s="44" t="s">
        <v>1289</v>
      </c>
      <c r="E486" s="43" t="s">
        <v>1290</v>
      </c>
      <c r="F486" s="45" t="s">
        <v>348</v>
      </c>
      <c r="G486" s="45" t="s">
        <v>1291</v>
      </c>
      <c r="H486" s="12" t="n">
        <f aca="false">MROUND('Rate Card'!$I$31*O486*P486,10)</f>
        <v>460</v>
      </c>
      <c r="I486" s="12" t="n">
        <f aca="false">MROUND('Rate Card'!$K$31*O486*P486,10)</f>
        <v>280</v>
      </c>
      <c r="J486" s="12" t="n">
        <f aca="false">MROUND(H486*4*'Rate Card'!$B$47,100)</f>
        <v>1700</v>
      </c>
      <c r="K486" s="12" t="n">
        <f aca="false">MROUND(I486*4*'Rate Card'!$B$47,100)</f>
        <v>1100</v>
      </c>
      <c r="L486" s="12" t="n">
        <f aca="false">MROUND(H486*120*'Rate Card'!$B$48,500)</f>
        <v>47000</v>
      </c>
      <c r="M486" s="12" t="n">
        <f aca="false">MROUND(I486*120*'Rate Card'!$B$48,500)</f>
        <v>28500</v>
      </c>
      <c r="N486" s="14"/>
      <c r="O486" s="46" t="n">
        <v>0.92</v>
      </c>
      <c r="P486" s="46" t="n">
        <v>1</v>
      </c>
    </row>
    <row r="487" customFormat="false" ht="15" hidden="false" customHeight="true" outlineLevel="0" collapsed="false">
      <c r="A487" s="9" t="n">
        <v>456</v>
      </c>
      <c r="B487" s="43" t="s">
        <v>145</v>
      </c>
      <c r="C487" s="43" t="s">
        <v>1285</v>
      </c>
      <c r="D487" s="44" t="s">
        <v>1292</v>
      </c>
      <c r="E487" s="43" t="s">
        <v>1287</v>
      </c>
      <c r="F487" s="45" t="s">
        <v>748</v>
      </c>
      <c r="G487" s="45" t="s">
        <v>1293</v>
      </c>
      <c r="H487" s="12" t="n">
        <f aca="false">MROUND('Rate Card'!$I$31*O487*P487,10)</f>
        <v>460</v>
      </c>
      <c r="I487" s="12" t="n">
        <f aca="false">MROUND('Rate Card'!$K$31*O487*P487,10)</f>
        <v>280</v>
      </c>
      <c r="J487" s="12" t="n">
        <f aca="false">MROUND(H487*4*'Rate Card'!$B$47,100)</f>
        <v>1700</v>
      </c>
      <c r="K487" s="12" t="n">
        <f aca="false">MROUND(I487*4*'Rate Card'!$B$47,100)</f>
        <v>1100</v>
      </c>
      <c r="L487" s="12" t="n">
        <f aca="false">MROUND(H487*120*'Rate Card'!$B$48,500)</f>
        <v>47000</v>
      </c>
      <c r="M487" s="12" t="n">
        <f aca="false">MROUND(I487*120*'Rate Card'!$B$48,500)</f>
        <v>28500</v>
      </c>
      <c r="N487" s="14"/>
      <c r="O487" s="46" t="n">
        <v>0.92</v>
      </c>
      <c r="P487" s="46" t="n">
        <v>1</v>
      </c>
    </row>
    <row r="488" customFormat="false" ht="15" hidden="false" customHeight="true" outlineLevel="0" collapsed="false">
      <c r="A488" s="9" t="n">
        <v>457</v>
      </c>
      <c r="B488" s="43" t="s">
        <v>145</v>
      </c>
      <c r="C488" s="43" t="s">
        <v>1285</v>
      </c>
      <c r="D488" s="44" t="s">
        <v>1294</v>
      </c>
      <c r="E488" s="43" t="s">
        <v>1287</v>
      </c>
      <c r="F488" s="45" t="s">
        <v>397</v>
      </c>
      <c r="G488" s="45" t="s">
        <v>1295</v>
      </c>
      <c r="H488" s="12" t="n">
        <f aca="false">MROUND('Rate Card'!$I$31*O488*P488,10)</f>
        <v>460</v>
      </c>
      <c r="I488" s="12" t="n">
        <f aca="false">MROUND('Rate Card'!$K$31*O488*P488,10)</f>
        <v>280</v>
      </c>
      <c r="J488" s="12" t="n">
        <f aca="false">MROUND(H488*4*'Rate Card'!$B$47,100)</f>
        <v>1700</v>
      </c>
      <c r="K488" s="12" t="n">
        <f aca="false">MROUND(I488*4*'Rate Card'!$B$47,100)</f>
        <v>1100</v>
      </c>
      <c r="L488" s="12" t="n">
        <f aca="false">MROUND(H488*120*'Rate Card'!$B$48,500)</f>
        <v>47000</v>
      </c>
      <c r="M488" s="12" t="n">
        <f aca="false">MROUND(I488*120*'Rate Card'!$B$48,500)</f>
        <v>28500</v>
      </c>
      <c r="N488" s="14"/>
      <c r="O488" s="46" t="n">
        <v>0.92</v>
      </c>
      <c r="P488" s="46" t="n">
        <v>1</v>
      </c>
    </row>
    <row r="489" customFormat="false" ht="15" hidden="false" customHeight="true" outlineLevel="0" collapsed="false">
      <c r="A489" s="9" t="n">
        <v>458</v>
      </c>
      <c r="B489" s="43" t="s">
        <v>145</v>
      </c>
      <c r="C489" s="43" t="s">
        <v>1285</v>
      </c>
      <c r="D489" s="44" t="s">
        <v>1296</v>
      </c>
      <c r="E489" s="43" t="s">
        <v>1297</v>
      </c>
      <c r="F489" s="45" t="s">
        <v>318</v>
      </c>
      <c r="G489" s="45" t="s">
        <v>1298</v>
      </c>
      <c r="H489" s="12" t="n">
        <f aca="false">MROUND('Rate Card'!$I$31*O489*P489,10)</f>
        <v>460</v>
      </c>
      <c r="I489" s="12" t="n">
        <f aca="false">MROUND('Rate Card'!$K$31*O489*P489,10)</f>
        <v>280</v>
      </c>
      <c r="J489" s="12" t="n">
        <f aca="false">MROUND(H489*4*'Rate Card'!$B$47,100)</f>
        <v>1700</v>
      </c>
      <c r="K489" s="12" t="n">
        <f aca="false">MROUND(I489*4*'Rate Card'!$B$47,100)</f>
        <v>1100</v>
      </c>
      <c r="L489" s="12" t="n">
        <f aca="false">MROUND(H489*120*'Rate Card'!$B$48,500)</f>
        <v>47000</v>
      </c>
      <c r="M489" s="12" t="n">
        <f aca="false">MROUND(I489*120*'Rate Card'!$B$48,500)</f>
        <v>28500</v>
      </c>
      <c r="N489" s="14"/>
      <c r="O489" s="46" t="n">
        <v>0.92</v>
      </c>
      <c r="P489" s="46" t="n">
        <v>1</v>
      </c>
    </row>
    <row r="490" customFormat="false" ht="15" hidden="false" customHeight="true" outlineLevel="0" collapsed="false">
      <c r="A490" s="9" t="n">
        <v>459</v>
      </c>
      <c r="B490" s="43" t="s">
        <v>145</v>
      </c>
      <c r="C490" s="43" t="s">
        <v>1285</v>
      </c>
      <c r="D490" s="44" t="s">
        <v>1299</v>
      </c>
      <c r="E490" s="43" t="s">
        <v>1287</v>
      </c>
      <c r="F490" s="45" t="s">
        <v>318</v>
      </c>
      <c r="G490" s="45" t="s">
        <v>1300</v>
      </c>
      <c r="H490" s="12" t="n">
        <f aca="false">MROUND('Rate Card'!$I$31*O490*P490,10)</f>
        <v>460</v>
      </c>
      <c r="I490" s="12" t="n">
        <f aca="false">MROUND('Rate Card'!$K$31*O490*P490,10)</f>
        <v>280</v>
      </c>
      <c r="J490" s="12" t="n">
        <f aca="false">MROUND(H490*4*'Rate Card'!$B$47,100)</f>
        <v>1700</v>
      </c>
      <c r="K490" s="12" t="n">
        <f aca="false">MROUND(I490*4*'Rate Card'!$B$47,100)</f>
        <v>1100</v>
      </c>
      <c r="L490" s="12" t="n">
        <f aca="false">MROUND(H490*120*'Rate Card'!$B$48,500)</f>
        <v>47000</v>
      </c>
      <c r="M490" s="12" t="n">
        <f aca="false">MROUND(I490*120*'Rate Card'!$B$48,500)</f>
        <v>28500</v>
      </c>
      <c r="N490" s="14"/>
      <c r="O490" s="46" t="n">
        <v>0.92</v>
      </c>
      <c r="P490" s="46" t="n">
        <v>1</v>
      </c>
    </row>
    <row r="491" customFormat="false" ht="15" hidden="false" customHeight="true" outlineLevel="0" collapsed="false">
      <c r="A491" s="9" t="n">
        <v>460</v>
      </c>
      <c r="B491" s="43" t="s">
        <v>145</v>
      </c>
      <c r="C491" s="43" t="s">
        <v>1285</v>
      </c>
      <c r="D491" s="44"/>
      <c r="E491" s="43" t="s">
        <v>1287</v>
      </c>
      <c r="F491" s="45" t="s">
        <v>318</v>
      </c>
      <c r="G491" s="45"/>
      <c r="H491" s="12" t="n">
        <f aca="false">MROUND('Rate Card'!$I$31*O491*P491,10)</f>
        <v>460</v>
      </c>
      <c r="I491" s="12" t="n">
        <f aca="false">MROUND('Rate Card'!$K$31*O491*P491,10)</f>
        <v>280</v>
      </c>
      <c r="J491" s="12" t="n">
        <f aca="false">MROUND(H491*4*'Rate Card'!$B$47,100)</f>
        <v>1700</v>
      </c>
      <c r="K491" s="12" t="n">
        <f aca="false">MROUND(I491*4*'Rate Card'!$B$47,100)</f>
        <v>1100</v>
      </c>
      <c r="L491" s="12" t="n">
        <f aca="false">MROUND(H491*120*'Rate Card'!$B$48,500)</f>
        <v>47000</v>
      </c>
      <c r="M491" s="12" t="n">
        <f aca="false">MROUND(I491*120*'Rate Card'!$B$48,500)</f>
        <v>28500</v>
      </c>
      <c r="N491" s="14"/>
      <c r="O491" s="46" t="n">
        <v>0.92</v>
      </c>
      <c r="P491" s="46" t="n">
        <v>1</v>
      </c>
    </row>
    <row r="492" customFormat="false" ht="15" hidden="false" customHeight="true" outlineLevel="0" collapsed="false">
      <c r="A492" s="9" t="n">
        <v>461</v>
      </c>
      <c r="B492" s="43" t="s">
        <v>145</v>
      </c>
      <c r="C492" s="43" t="s">
        <v>1285</v>
      </c>
      <c r="D492" s="44"/>
      <c r="E492" s="43" t="s">
        <v>1287</v>
      </c>
      <c r="F492" s="45" t="s">
        <v>318</v>
      </c>
      <c r="G492" s="45"/>
      <c r="H492" s="12" t="n">
        <f aca="false">MROUND('Rate Card'!$I$31*O492*P492,10)</f>
        <v>460</v>
      </c>
      <c r="I492" s="12" t="n">
        <f aca="false">MROUND('Rate Card'!$K$31*O492*P492,10)</f>
        <v>280</v>
      </c>
      <c r="J492" s="12" t="n">
        <f aca="false">MROUND(H492*4*'Rate Card'!$B$47,100)</f>
        <v>1700</v>
      </c>
      <c r="K492" s="12" t="n">
        <f aca="false">MROUND(I492*4*'Rate Card'!$B$47,100)</f>
        <v>1100</v>
      </c>
      <c r="L492" s="12" t="n">
        <f aca="false">MROUND(H492*120*'Rate Card'!$B$48,500)</f>
        <v>47000</v>
      </c>
      <c r="M492" s="12" t="n">
        <f aca="false">MROUND(I492*120*'Rate Card'!$B$48,500)</f>
        <v>28500</v>
      </c>
      <c r="N492" s="14"/>
      <c r="O492" s="46" t="n">
        <v>0.92</v>
      </c>
      <c r="P492" s="46" t="n">
        <v>1</v>
      </c>
    </row>
    <row r="493" customFormat="false" ht="15" hidden="false" customHeight="true" outlineLevel="0" collapsed="false">
      <c r="A493" s="9" t="n">
        <v>462</v>
      </c>
      <c r="B493" s="43" t="s">
        <v>145</v>
      </c>
      <c r="C493" s="43" t="s">
        <v>1287</v>
      </c>
      <c r="D493" s="44" t="s">
        <v>1301</v>
      </c>
      <c r="E493" s="43" t="s">
        <v>1287</v>
      </c>
      <c r="F493" s="45" t="s">
        <v>318</v>
      </c>
      <c r="G493" s="45" t="s">
        <v>1302</v>
      </c>
      <c r="H493" s="12" t="n">
        <f aca="false">MROUND('Rate Card'!$I$31*O493*P493,10)</f>
        <v>460</v>
      </c>
      <c r="I493" s="12" t="n">
        <f aca="false">MROUND('Rate Card'!$K$31*O493*P493,10)</f>
        <v>280</v>
      </c>
      <c r="J493" s="12" t="n">
        <f aca="false">MROUND(H493*4*'Rate Card'!$B$47,100)</f>
        <v>1700</v>
      </c>
      <c r="K493" s="12" t="n">
        <f aca="false">MROUND(I493*4*'Rate Card'!$B$47,100)</f>
        <v>1100</v>
      </c>
      <c r="L493" s="12" t="n">
        <f aca="false">MROUND(H493*120*'Rate Card'!$B$48,500)</f>
        <v>47000</v>
      </c>
      <c r="M493" s="12" t="n">
        <f aca="false">MROUND(I493*120*'Rate Card'!$B$48,500)</f>
        <v>28500</v>
      </c>
      <c r="N493" s="14"/>
      <c r="O493" s="46" t="n">
        <v>0.92</v>
      </c>
      <c r="P493" s="46" t="n">
        <v>1</v>
      </c>
    </row>
    <row r="494" customFormat="false" ht="15" hidden="false" customHeight="true" outlineLevel="0" collapsed="false">
      <c r="A494" s="9" t="n">
        <v>463</v>
      </c>
      <c r="B494" s="43" t="s">
        <v>145</v>
      </c>
      <c r="C494" s="43" t="s">
        <v>1285</v>
      </c>
      <c r="D494" s="44" t="s">
        <v>1303</v>
      </c>
      <c r="E494" s="43" t="s">
        <v>1287</v>
      </c>
      <c r="F494" s="45" t="s">
        <v>315</v>
      </c>
      <c r="G494" s="45" t="s">
        <v>1304</v>
      </c>
      <c r="H494" s="12" t="n">
        <f aca="false">MROUND('Rate Card'!$I$31*O494*P494,10)</f>
        <v>460</v>
      </c>
      <c r="I494" s="12" t="n">
        <f aca="false">MROUND('Rate Card'!$K$31*O494*P494,10)</f>
        <v>280</v>
      </c>
      <c r="J494" s="12" t="n">
        <f aca="false">MROUND(H494*4*'Rate Card'!$B$47,100)</f>
        <v>1700</v>
      </c>
      <c r="K494" s="12" t="n">
        <f aca="false">MROUND(I494*4*'Rate Card'!$B$47,100)</f>
        <v>1100</v>
      </c>
      <c r="L494" s="12" t="n">
        <f aca="false">MROUND(H494*120*'Rate Card'!$B$48,500)</f>
        <v>47000</v>
      </c>
      <c r="M494" s="12" t="n">
        <f aca="false">MROUND(I494*120*'Rate Card'!$B$48,500)</f>
        <v>28500</v>
      </c>
      <c r="N494" s="14"/>
      <c r="O494" s="46" t="n">
        <v>0.92</v>
      </c>
      <c r="P494" s="46" t="n">
        <v>1</v>
      </c>
    </row>
    <row r="495" customFormat="false" ht="15" hidden="false" customHeight="true" outlineLevel="0" collapsed="false">
      <c r="A495" s="9" t="n">
        <v>464</v>
      </c>
      <c r="B495" s="43" t="s">
        <v>145</v>
      </c>
      <c r="C495" s="43" t="s">
        <v>1285</v>
      </c>
      <c r="D495" s="44"/>
      <c r="E495" s="43" t="s">
        <v>1287</v>
      </c>
      <c r="F495" s="45" t="s">
        <v>315</v>
      </c>
      <c r="G495" s="45"/>
      <c r="H495" s="12" t="n">
        <f aca="false">MROUND('Rate Card'!$I$31*O495*P495,10)</f>
        <v>460</v>
      </c>
      <c r="I495" s="12" t="n">
        <f aca="false">MROUND('Rate Card'!$K$31*O495*P495,10)</f>
        <v>280</v>
      </c>
      <c r="J495" s="12" t="n">
        <f aca="false">MROUND(H495*4*'Rate Card'!$B$47,100)</f>
        <v>1700</v>
      </c>
      <c r="K495" s="12" t="n">
        <f aca="false">MROUND(I495*4*'Rate Card'!$B$47,100)</f>
        <v>1100</v>
      </c>
      <c r="L495" s="12" t="n">
        <f aca="false">MROUND(H495*120*'Rate Card'!$B$48,500)</f>
        <v>47000</v>
      </c>
      <c r="M495" s="12" t="n">
        <f aca="false">MROUND(I495*120*'Rate Card'!$B$48,500)</f>
        <v>28500</v>
      </c>
      <c r="N495" s="14"/>
      <c r="O495" s="46" t="n">
        <v>0.92</v>
      </c>
      <c r="P495" s="46" t="n">
        <v>1</v>
      </c>
    </row>
    <row r="496" customFormat="false" ht="15" hidden="false" customHeight="true" outlineLevel="0" collapsed="false">
      <c r="A496" s="9" t="n">
        <v>465</v>
      </c>
      <c r="B496" s="43" t="s">
        <v>145</v>
      </c>
      <c r="C496" s="43" t="s">
        <v>1285</v>
      </c>
      <c r="D496" s="44" t="s">
        <v>1305</v>
      </c>
      <c r="E496" s="43" t="s">
        <v>1306</v>
      </c>
      <c r="F496" s="45" t="s">
        <v>315</v>
      </c>
      <c r="G496" s="45" t="s">
        <v>1307</v>
      </c>
      <c r="H496" s="12" t="n">
        <f aca="false">MROUND('Rate Card'!$I$31*O496*P496,10)</f>
        <v>460</v>
      </c>
      <c r="I496" s="12" t="n">
        <f aca="false">MROUND('Rate Card'!$K$31*O496*P496,10)</f>
        <v>280</v>
      </c>
      <c r="J496" s="12" t="n">
        <f aca="false">MROUND(H496*4*'Rate Card'!$B$47,100)</f>
        <v>1700</v>
      </c>
      <c r="K496" s="12" t="n">
        <f aca="false">MROUND(I496*4*'Rate Card'!$B$47,100)</f>
        <v>1100</v>
      </c>
      <c r="L496" s="12" t="n">
        <f aca="false">MROUND(H496*120*'Rate Card'!$B$48,500)</f>
        <v>47000</v>
      </c>
      <c r="M496" s="12" t="n">
        <f aca="false">MROUND(I496*120*'Rate Card'!$B$48,500)</f>
        <v>28500</v>
      </c>
      <c r="N496" s="14"/>
      <c r="O496" s="46" t="n">
        <v>0.92</v>
      </c>
      <c r="P496" s="46" t="n">
        <v>1</v>
      </c>
    </row>
    <row r="497" customFormat="false" ht="15" hidden="false" customHeight="true" outlineLevel="0" collapsed="false">
      <c r="A497" s="9" t="n">
        <v>466</v>
      </c>
      <c r="B497" s="43" t="s">
        <v>145</v>
      </c>
      <c r="C497" s="43" t="s">
        <v>1285</v>
      </c>
      <c r="D497" s="44"/>
      <c r="E497" s="43" t="s">
        <v>1306</v>
      </c>
      <c r="F497" s="45" t="s">
        <v>315</v>
      </c>
      <c r="G497" s="45"/>
      <c r="H497" s="12" t="n">
        <f aca="false">MROUND('Rate Card'!$I$31*O497*P497,10)</f>
        <v>460</v>
      </c>
      <c r="I497" s="12" t="n">
        <f aca="false">MROUND('Rate Card'!$K$31*O497*P497,10)</f>
        <v>280</v>
      </c>
      <c r="J497" s="12" t="n">
        <f aca="false">MROUND(H497*4*'Rate Card'!$B$47,100)</f>
        <v>1700</v>
      </c>
      <c r="K497" s="12" t="n">
        <f aca="false">MROUND(I497*4*'Rate Card'!$B$47,100)</f>
        <v>1100</v>
      </c>
      <c r="L497" s="12" t="n">
        <f aca="false">MROUND(H497*120*'Rate Card'!$B$48,500)</f>
        <v>47000</v>
      </c>
      <c r="M497" s="12" t="n">
        <f aca="false">MROUND(I497*120*'Rate Card'!$B$48,500)</f>
        <v>28500</v>
      </c>
      <c r="N497" s="14"/>
      <c r="O497" s="46" t="n">
        <v>0.92</v>
      </c>
      <c r="P497" s="46" t="n">
        <v>1</v>
      </c>
    </row>
    <row r="498" customFormat="false" ht="15" hidden="false" customHeight="true" outlineLevel="0" collapsed="false">
      <c r="A498" s="9" t="n">
        <v>467</v>
      </c>
      <c r="B498" s="43" t="s">
        <v>145</v>
      </c>
      <c r="C498" s="43" t="s">
        <v>1285</v>
      </c>
      <c r="D498" s="44" t="s">
        <v>1308</v>
      </c>
      <c r="E498" s="43" t="s">
        <v>1309</v>
      </c>
      <c r="F498" s="45" t="s">
        <v>380</v>
      </c>
      <c r="G498" s="45" t="s">
        <v>1310</v>
      </c>
      <c r="H498" s="12" t="n">
        <f aca="false">MROUND('Rate Card'!$I$31*O498*P498,10)</f>
        <v>410</v>
      </c>
      <c r="I498" s="12" t="n">
        <f aca="false">MROUND('Rate Card'!$K$31*O498*P498,10)</f>
        <v>250</v>
      </c>
      <c r="J498" s="12" t="n">
        <f aca="false">MROUND(H498*4*'Rate Card'!$B$47,100)</f>
        <v>1600</v>
      </c>
      <c r="K498" s="12" t="n">
        <f aca="false">MROUND(I498*4*'Rate Card'!$B$47,100)</f>
        <v>1000</v>
      </c>
      <c r="L498" s="12" t="n">
        <f aca="false">MROUND(H498*120*'Rate Card'!$B$48,500)</f>
        <v>42000</v>
      </c>
      <c r="M498" s="12" t="n">
        <f aca="false">MROUND(I498*120*'Rate Card'!$B$48,500)</f>
        <v>25500</v>
      </c>
      <c r="N498" s="14"/>
      <c r="O498" s="46" t="n">
        <v>0.82</v>
      </c>
      <c r="P498" s="46" t="n">
        <v>1</v>
      </c>
    </row>
    <row r="499" customFormat="false" ht="15" hidden="false" customHeight="true" outlineLevel="0" collapsed="false">
      <c r="A499" s="9" t="n">
        <v>468</v>
      </c>
      <c r="B499" s="43" t="s">
        <v>145</v>
      </c>
      <c r="C499" s="43" t="s">
        <v>1285</v>
      </c>
      <c r="D499" s="44"/>
      <c r="E499" s="43" t="s">
        <v>1309</v>
      </c>
      <c r="F499" s="45" t="s">
        <v>380</v>
      </c>
      <c r="G499" s="45"/>
      <c r="H499" s="12" t="n">
        <f aca="false">MROUND('Rate Card'!$I$31*O499*P499,10)</f>
        <v>410</v>
      </c>
      <c r="I499" s="12" t="n">
        <f aca="false">MROUND('Rate Card'!$K$31*O499*P499,10)</f>
        <v>250</v>
      </c>
      <c r="J499" s="12" t="n">
        <f aca="false">MROUND(H499*4*'Rate Card'!$B$47,100)</f>
        <v>1600</v>
      </c>
      <c r="K499" s="12" t="n">
        <f aca="false">MROUND(I499*4*'Rate Card'!$B$47,100)</f>
        <v>1000</v>
      </c>
      <c r="L499" s="12" t="n">
        <f aca="false">MROUND(H499*120*'Rate Card'!$B$48,500)</f>
        <v>42000</v>
      </c>
      <c r="M499" s="12" t="n">
        <f aca="false">MROUND(I499*120*'Rate Card'!$B$48,500)</f>
        <v>25500</v>
      </c>
      <c r="N499" s="14"/>
      <c r="O499" s="46" t="n">
        <v>0.82</v>
      </c>
      <c r="P499" s="46" t="n">
        <v>1</v>
      </c>
    </row>
    <row r="500" customFormat="false" ht="15" hidden="false" customHeight="true" outlineLevel="0" collapsed="false">
      <c r="A500" s="9" t="n">
        <v>469</v>
      </c>
      <c r="B500" s="43" t="s">
        <v>145</v>
      </c>
      <c r="C500" s="43" t="s">
        <v>1285</v>
      </c>
      <c r="D500" s="44" t="s">
        <v>1311</v>
      </c>
      <c r="E500" s="43" t="s">
        <v>1287</v>
      </c>
      <c r="F500" s="45" t="s">
        <v>310</v>
      </c>
      <c r="G500" s="45" t="s">
        <v>1312</v>
      </c>
      <c r="H500" s="12" t="n">
        <f aca="false">MROUND('Rate Card'!$I$31*O500*P500,10)</f>
        <v>410</v>
      </c>
      <c r="I500" s="12" t="n">
        <f aca="false">MROUND('Rate Card'!$K$31*O500*P500,10)</f>
        <v>250</v>
      </c>
      <c r="J500" s="12" t="n">
        <f aca="false">MROUND(H500*4*'Rate Card'!$B$47,100)</f>
        <v>1600</v>
      </c>
      <c r="K500" s="12" t="n">
        <f aca="false">MROUND(I500*4*'Rate Card'!$B$47,100)</f>
        <v>1000</v>
      </c>
      <c r="L500" s="12" t="n">
        <f aca="false">MROUND(H500*120*'Rate Card'!$B$48,500)</f>
        <v>42000</v>
      </c>
      <c r="M500" s="12" t="n">
        <f aca="false">MROUND(I500*120*'Rate Card'!$B$48,500)</f>
        <v>25500</v>
      </c>
      <c r="N500" s="14"/>
      <c r="O500" s="46" t="n">
        <v>0.82</v>
      </c>
      <c r="P500" s="46" t="n">
        <v>1</v>
      </c>
    </row>
    <row r="501" customFormat="false" ht="15" hidden="false" customHeight="true" outlineLevel="0" collapsed="false">
      <c r="A501" s="9" t="n">
        <v>470</v>
      </c>
      <c r="B501" s="43" t="s">
        <v>145</v>
      </c>
      <c r="C501" s="43" t="s">
        <v>1285</v>
      </c>
      <c r="D501" s="44"/>
      <c r="E501" s="43" t="s">
        <v>1287</v>
      </c>
      <c r="F501" s="45" t="s">
        <v>310</v>
      </c>
      <c r="G501" s="45"/>
      <c r="H501" s="12" t="n">
        <f aca="false">MROUND('Rate Card'!$I$31*O501*P501,10)</f>
        <v>410</v>
      </c>
      <c r="I501" s="12" t="n">
        <f aca="false">MROUND('Rate Card'!$K$31*O501*P501,10)</f>
        <v>250</v>
      </c>
      <c r="J501" s="12" t="n">
        <f aca="false">MROUND(H501*4*'Rate Card'!$B$47,100)</f>
        <v>1600</v>
      </c>
      <c r="K501" s="12" t="n">
        <f aca="false">MROUND(I501*4*'Rate Card'!$B$47,100)</f>
        <v>1000</v>
      </c>
      <c r="L501" s="12" t="n">
        <f aca="false">MROUND(H501*120*'Rate Card'!$B$48,500)</f>
        <v>42000</v>
      </c>
      <c r="M501" s="12" t="n">
        <f aca="false">MROUND(I501*120*'Rate Card'!$B$48,500)</f>
        <v>25500</v>
      </c>
      <c r="N501" s="14"/>
      <c r="O501" s="46" t="n">
        <v>0.82</v>
      </c>
      <c r="P501" s="46" t="n">
        <v>1</v>
      </c>
    </row>
    <row r="502" customFormat="false" ht="15" hidden="false" customHeight="true" outlineLevel="0" collapsed="false">
      <c r="A502" s="9" t="n">
        <v>471</v>
      </c>
      <c r="B502" s="43" t="s">
        <v>145</v>
      </c>
      <c r="C502" s="43" t="s">
        <v>1285</v>
      </c>
      <c r="D502" s="44"/>
      <c r="E502" s="43" t="s">
        <v>1287</v>
      </c>
      <c r="F502" s="45" t="s">
        <v>310</v>
      </c>
      <c r="G502" s="45"/>
      <c r="H502" s="12" t="n">
        <f aca="false">MROUND('Rate Card'!$I$31*O502*P502,10)</f>
        <v>410</v>
      </c>
      <c r="I502" s="12" t="n">
        <f aca="false">MROUND('Rate Card'!$K$31*O502*P502,10)</f>
        <v>250</v>
      </c>
      <c r="J502" s="12" t="n">
        <f aca="false">MROUND(H502*4*'Rate Card'!$B$47,100)</f>
        <v>1600</v>
      </c>
      <c r="K502" s="12" t="n">
        <f aca="false">MROUND(I502*4*'Rate Card'!$B$47,100)</f>
        <v>1000</v>
      </c>
      <c r="L502" s="12" t="n">
        <f aca="false">MROUND(H502*120*'Rate Card'!$B$48,500)</f>
        <v>42000</v>
      </c>
      <c r="M502" s="12" t="n">
        <f aca="false">MROUND(I502*120*'Rate Card'!$B$48,500)</f>
        <v>25500</v>
      </c>
      <c r="N502" s="14"/>
      <c r="O502" s="46" t="n">
        <v>0.82</v>
      </c>
      <c r="P502" s="46" t="n">
        <v>1</v>
      </c>
    </row>
    <row r="503" customFormat="false" ht="15" hidden="false" customHeight="true" outlineLevel="0" collapsed="false">
      <c r="A503" s="9" t="n">
        <v>472</v>
      </c>
      <c r="B503" s="43" t="s">
        <v>145</v>
      </c>
      <c r="C503" s="43" t="s">
        <v>1285</v>
      </c>
      <c r="D503" s="44" t="s">
        <v>1313</v>
      </c>
      <c r="E503" s="43" t="s">
        <v>1309</v>
      </c>
      <c r="F503" s="45" t="s">
        <v>310</v>
      </c>
      <c r="G503" s="45" t="s">
        <v>1314</v>
      </c>
      <c r="H503" s="12" t="n">
        <f aca="false">MROUND('Rate Card'!$I$31*O503*P503,10)</f>
        <v>410</v>
      </c>
      <c r="I503" s="12" t="n">
        <f aca="false">MROUND('Rate Card'!$K$31*O503*P503,10)</f>
        <v>250</v>
      </c>
      <c r="J503" s="12" t="n">
        <f aca="false">MROUND(H503*4*'Rate Card'!$B$47,100)</f>
        <v>1600</v>
      </c>
      <c r="K503" s="12" t="n">
        <f aca="false">MROUND(I503*4*'Rate Card'!$B$47,100)</f>
        <v>1000</v>
      </c>
      <c r="L503" s="12" t="n">
        <f aca="false">MROUND(H503*120*'Rate Card'!$B$48,500)</f>
        <v>42000</v>
      </c>
      <c r="M503" s="12" t="n">
        <f aca="false">MROUND(I503*120*'Rate Card'!$B$48,500)</f>
        <v>25500</v>
      </c>
      <c r="N503" s="14"/>
      <c r="O503" s="46" t="n">
        <v>0.82</v>
      </c>
      <c r="P503" s="46" t="n">
        <v>1</v>
      </c>
    </row>
    <row r="504" customFormat="false" ht="15" hidden="false" customHeight="true" outlineLevel="0" collapsed="false">
      <c r="A504" s="9" t="n">
        <v>473</v>
      </c>
      <c r="B504" s="43" t="s">
        <v>145</v>
      </c>
      <c r="C504" s="43" t="s">
        <v>1285</v>
      </c>
      <c r="D504" s="44"/>
      <c r="E504" s="43" t="s">
        <v>1309</v>
      </c>
      <c r="F504" s="45" t="s">
        <v>310</v>
      </c>
      <c r="G504" s="45"/>
      <c r="H504" s="12" t="n">
        <f aca="false">MROUND('Rate Card'!$I$31*O504*P504,10)</f>
        <v>410</v>
      </c>
      <c r="I504" s="12" t="n">
        <f aca="false">MROUND('Rate Card'!$K$31*O504*P504,10)</f>
        <v>250</v>
      </c>
      <c r="J504" s="12" t="n">
        <f aca="false">MROUND(H504*4*'Rate Card'!$B$47,100)</f>
        <v>1600</v>
      </c>
      <c r="K504" s="12" t="n">
        <f aca="false">MROUND(I504*4*'Rate Card'!$B$47,100)</f>
        <v>1000</v>
      </c>
      <c r="L504" s="12" t="n">
        <f aca="false">MROUND(H504*120*'Rate Card'!$B$48,500)</f>
        <v>42000</v>
      </c>
      <c r="M504" s="12" t="n">
        <f aca="false">MROUND(I504*120*'Rate Card'!$B$48,500)</f>
        <v>25500</v>
      </c>
      <c r="N504" s="14"/>
      <c r="O504" s="46" t="n">
        <v>0.82</v>
      </c>
      <c r="P504" s="46" t="n">
        <v>1</v>
      </c>
    </row>
    <row r="505" customFormat="false" ht="15" hidden="false" customHeight="true" outlineLevel="0" collapsed="false">
      <c r="A505" s="9" t="n">
        <v>474</v>
      </c>
      <c r="B505" s="43" t="s">
        <v>145</v>
      </c>
      <c r="C505" s="43" t="s">
        <v>1285</v>
      </c>
      <c r="D505" s="44"/>
      <c r="E505" s="43" t="s">
        <v>1309</v>
      </c>
      <c r="F505" s="45" t="s">
        <v>310</v>
      </c>
      <c r="G505" s="45"/>
      <c r="H505" s="12" t="n">
        <f aca="false">MROUND('Rate Card'!$I$31*O505*P505,10)</f>
        <v>410</v>
      </c>
      <c r="I505" s="12" t="n">
        <f aca="false">MROUND('Rate Card'!$K$31*O505*P505,10)</f>
        <v>250</v>
      </c>
      <c r="J505" s="12" t="n">
        <f aca="false">MROUND(H505*4*'Rate Card'!$B$47,100)</f>
        <v>1600</v>
      </c>
      <c r="K505" s="12" t="n">
        <f aca="false">MROUND(I505*4*'Rate Card'!$B$47,100)</f>
        <v>1000</v>
      </c>
      <c r="L505" s="12" t="n">
        <f aca="false">MROUND(H505*120*'Rate Card'!$B$48,500)</f>
        <v>42000</v>
      </c>
      <c r="M505" s="12" t="n">
        <f aca="false">MROUND(I505*120*'Rate Card'!$B$48,500)</f>
        <v>25500</v>
      </c>
      <c r="N505" s="14"/>
      <c r="O505" s="46" t="n">
        <v>0.82</v>
      </c>
      <c r="P505" s="46" t="n">
        <v>1</v>
      </c>
    </row>
    <row r="506" customFormat="false" ht="15" hidden="false" customHeight="true" outlineLevel="0" collapsed="false">
      <c r="A506" s="9" t="n">
        <v>475</v>
      </c>
      <c r="B506" s="43" t="s">
        <v>145</v>
      </c>
      <c r="C506" s="43" t="s">
        <v>1285</v>
      </c>
      <c r="D506" s="44" t="s">
        <v>1315</v>
      </c>
      <c r="E506" s="43" t="s">
        <v>1309</v>
      </c>
      <c r="F506" s="45" t="s">
        <v>748</v>
      </c>
      <c r="G506" s="45" t="s">
        <v>1316</v>
      </c>
      <c r="H506" s="12" t="n">
        <f aca="false">MROUND('Rate Card'!$I$31*O506*P506,10)</f>
        <v>410</v>
      </c>
      <c r="I506" s="12" t="n">
        <f aca="false">MROUND('Rate Card'!$K$31*O506*P506,10)</f>
        <v>250</v>
      </c>
      <c r="J506" s="12" t="n">
        <f aca="false">MROUND(H506*4*'Rate Card'!$B$47,100)</f>
        <v>1600</v>
      </c>
      <c r="K506" s="12" t="n">
        <f aca="false">MROUND(I506*4*'Rate Card'!$B$47,100)</f>
        <v>1000</v>
      </c>
      <c r="L506" s="12" t="n">
        <f aca="false">MROUND(H506*120*'Rate Card'!$B$48,500)</f>
        <v>42000</v>
      </c>
      <c r="M506" s="12" t="n">
        <f aca="false">MROUND(I506*120*'Rate Card'!$B$48,500)</f>
        <v>25500</v>
      </c>
      <c r="N506" s="14"/>
      <c r="O506" s="46" t="n">
        <v>0.82</v>
      </c>
      <c r="P506" s="46" t="n">
        <v>1</v>
      </c>
    </row>
    <row r="507" customFormat="false" ht="15" hidden="false" customHeight="true" outlineLevel="0" collapsed="false">
      <c r="A507" s="9" t="n">
        <v>476</v>
      </c>
      <c r="B507" s="43" t="s">
        <v>145</v>
      </c>
      <c r="C507" s="43" t="s">
        <v>1285</v>
      </c>
      <c r="D507" s="44"/>
      <c r="E507" s="43" t="s">
        <v>1309</v>
      </c>
      <c r="F507" s="45" t="s">
        <v>748</v>
      </c>
      <c r="G507" s="45"/>
      <c r="H507" s="12" t="n">
        <f aca="false">MROUND('Rate Card'!$I$31*O507*P507,10)</f>
        <v>410</v>
      </c>
      <c r="I507" s="12" t="n">
        <f aca="false">MROUND('Rate Card'!$K$31*O507*P507,10)</f>
        <v>250</v>
      </c>
      <c r="J507" s="12" t="n">
        <f aca="false">MROUND(H507*4*'Rate Card'!$B$47,100)</f>
        <v>1600</v>
      </c>
      <c r="K507" s="12" t="n">
        <f aca="false">MROUND(I507*4*'Rate Card'!$B$47,100)</f>
        <v>1000</v>
      </c>
      <c r="L507" s="12" t="n">
        <f aca="false">MROUND(H507*120*'Rate Card'!$B$48,500)</f>
        <v>42000</v>
      </c>
      <c r="M507" s="12" t="n">
        <f aca="false">MROUND(I507*120*'Rate Card'!$B$48,500)</f>
        <v>25500</v>
      </c>
      <c r="N507" s="14"/>
      <c r="O507" s="46" t="n">
        <v>0.82</v>
      </c>
      <c r="P507" s="46" t="n">
        <v>1</v>
      </c>
    </row>
    <row r="508" customFormat="false" ht="15" hidden="false" customHeight="true" outlineLevel="0" collapsed="false">
      <c r="A508" s="9" t="n">
        <v>477</v>
      </c>
      <c r="B508" s="43" t="s">
        <v>145</v>
      </c>
      <c r="C508" s="43" t="s">
        <v>1285</v>
      </c>
      <c r="D508" s="44"/>
      <c r="E508" s="43" t="s">
        <v>1309</v>
      </c>
      <c r="F508" s="45" t="s">
        <v>748</v>
      </c>
      <c r="G508" s="45"/>
      <c r="H508" s="12" t="n">
        <f aca="false">MROUND('Rate Card'!$I$31*O508*P508,10)</f>
        <v>410</v>
      </c>
      <c r="I508" s="12" t="n">
        <f aca="false">MROUND('Rate Card'!$K$31*O508*P508,10)</f>
        <v>250</v>
      </c>
      <c r="J508" s="12" t="n">
        <f aca="false">MROUND(H508*4*'Rate Card'!$B$47,100)</f>
        <v>1600</v>
      </c>
      <c r="K508" s="12" t="n">
        <f aca="false">MROUND(I508*4*'Rate Card'!$B$47,100)</f>
        <v>1000</v>
      </c>
      <c r="L508" s="12" t="n">
        <f aca="false">MROUND(H508*120*'Rate Card'!$B$48,500)</f>
        <v>42000</v>
      </c>
      <c r="M508" s="12" t="n">
        <f aca="false">MROUND(I508*120*'Rate Card'!$B$48,500)</f>
        <v>25500</v>
      </c>
      <c r="N508" s="14"/>
      <c r="O508" s="46" t="n">
        <v>0.82</v>
      </c>
      <c r="P508" s="46" t="n">
        <v>1</v>
      </c>
    </row>
    <row r="509" customFormat="false" ht="15" hidden="false" customHeight="true" outlineLevel="0" collapsed="false">
      <c r="A509" s="9" t="n">
        <v>478</v>
      </c>
      <c r="B509" s="43" t="s">
        <v>145</v>
      </c>
      <c r="C509" s="43" t="s">
        <v>1285</v>
      </c>
      <c r="D509" s="44" t="s">
        <v>1317</v>
      </c>
      <c r="E509" s="43" t="s">
        <v>1318</v>
      </c>
      <c r="F509" s="45" t="s">
        <v>810</v>
      </c>
      <c r="G509" s="45" t="s">
        <v>1319</v>
      </c>
      <c r="H509" s="12" t="n">
        <f aca="false">MROUND('Rate Card'!$I$31*O509*P509,10)</f>
        <v>360</v>
      </c>
      <c r="I509" s="12" t="n">
        <f aca="false">MROUND('Rate Card'!$K$31*O509*P509,10)</f>
        <v>220</v>
      </c>
      <c r="J509" s="12" t="n">
        <f aca="false">MROUND(H509*4*'Rate Card'!$B$47,100)</f>
        <v>1400</v>
      </c>
      <c r="K509" s="12" t="n">
        <f aca="false">MROUND(I509*4*'Rate Card'!$B$47,100)</f>
        <v>800</v>
      </c>
      <c r="L509" s="12" t="n">
        <f aca="false">MROUND(H509*120*'Rate Card'!$B$48,500)</f>
        <v>36500</v>
      </c>
      <c r="M509" s="12" t="n">
        <f aca="false">MROUND(I509*120*'Rate Card'!$B$48,500)</f>
        <v>22500</v>
      </c>
      <c r="N509" s="14" t="s">
        <v>350</v>
      </c>
      <c r="O509" s="46" t="n">
        <v>0.72</v>
      </c>
      <c r="P509" s="46" t="n">
        <v>1</v>
      </c>
    </row>
    <row r="510" customFormat="false" ht="15" hidden="false" customHeight="true" outlineLevel="0" collapsed="false">
      <c r="A510" s="9" t="n">
        <v>479</v>
      </c>
      <c r="B510" s="43" t="s">
        <v>145</v>
      </c>
      <c r="C510" s="43" t="s">
        <v>1285</v>
      </c>
      <c r="D510" s="44" t="s">
        <v>1320</v>
      </c>
      <c r="E510" s="43" t="s">
        <v>1321</v>
      </c>
      <c r="F510" s="45" t="s">
        <v>348</v>
      </c>
      <c r="G510" s="45" t="s">
        <v>1322</v>
      </c>
      <c r="H510" s="12" t="n">
        <f aca="false">MROUND('Rate Card'!$I$31*O510*P510,10)</f>
        <v>360</v>
      </c>
      <c r="I510" s="12" t="n">
        <f aca="false">MROUND('Rate Card'!$K$31*O510*P510,10)</f>
        <v>220</v>
      </c>
      <c r="J510" s="12" t="n">
        <f aca="false">MROUND(H510*4*'Rate Card'!$B$47,100)</f>
        <v>1400</v>
      </c>
      <c r="K510" s="12" t="n">
        <f aca="false">MROUND(I510*4*'Rate Card'!$B$47,100)</f>
        <v>800</v>
      </c>
      <c r="L510" s="12" t="n">
        <f aca="false">MROUND(H510*120*'Rate Card'!$B$48,500)</f>
        <v>36500</v>
      </c>
      <c r="M510" s="12" t="n">
        <f aca="false">MROUND(I510*120*'Rate Card'!$B$48,500)</f>
        <v>22500</v>
      </c>
      <c r="N510" s="14" t="s">
        <v>350</v>
      </c>
      <c r="O510" s="46" t="n">
        <v>0.72</v>
      </c>
      <c r="P510" s="46" t="n">
        <v>1</v>
      </c>
    </row>
    <row r="511" customFormat="false" ht="15" hidden="false" customHeight="true" outlineLevel="0" collapsed="false">
      <c r="A511" s="9" t="n">
        <v>480</v>
      </c>
      <c r="B511" s="43" t="s">
        <v>145</v>
      </c>
      <c r="C511" s="43" t="s">
        <v>1285</v>
      </c>
      <c r="D511" s="44"/>
      <c r="E511" s="43" t="s">
        <v>1321</v>
      </c>
      <c r="F511" s="45" t="s">
        <v>348</v>
      </c>
      <c r="G511" s="45"/>
      <c r="H511" s="12" t="n">
        <f aca="false">MROUND('Rate Card'!$I$31*O511*P511,10)</f>
        <v>360</v>
      </c>
      <c r="I511" s="12" t="n">
        <f aca="false">MROUND('Rate Card'!$K$31*O511*P511,10)</f>
        <v>220</v>
      </c>
      <c r="J511" s="12" t="n">
        <f aca="false">MROUND(H511*4*'Rate Card'!$B$47,100)</f>
        <v>1400</v>
      </c>
      <c r="K511" s="12" t="n">
        <f aca="false">MROUND(I511*4*'Rate Card'!$B$47,100)</f>
        <v>800</v>
      </c>
      <c r="L511" s="12" t="n">
        <f aca="false">MROUND(H511*120*'Rate Card'!$B$48,500)</f>
        <v>36500</v>
      </c>
      <c r="M511" s="12" t="n">
        <f aca="false">MROUND(I511*120*'Rate Card'!$B$48,500)</f>
        <v>22500</v>
      </c>
      <c r="N511" s="14" t="s">
        <v>350</v>
      </c>
      <c r="O511" s="46" t="n">
        <v>0.72</v>
      </c>
      <c r="P511" s="46" t="n">
        <v>1</v>
      </c>
    </row>
    <row r="512" customFormat="false" ht="15" hidden="false" customHeight="true" outlineLevel="0" collapsed="false">
      <c r="A512" s="9" t="n">
        <v>481</v>
      </c>
      <c r="B512" s="43" t="s">
        <v>145</v>
      </c>
      <c r="C512" s="43" t="s">
        <v>1323</v>
      </c>
      <c r="D512" s="44" t="s">
        <v>1324</v>
      </c>
      <c r="E512" s="43" t="s">
        <v>1325</v>
      </c>
      <c r="F512" s="45" t="s">
        <v>348</v>
      </c>
      <c r="G512" s="45" t="s">
        <v>1326</v>
      </c>
      <c r="H512" s="12" t="n">
        <f aca="false">MROUND('Rate Card'!$I$31*O512*P512,10)</f>
        <v>360</v>
      </c>
      <c r="I512" s="12" t="n">
        <f aca="false">MROUND('Rate Card'!$K$31*O512*P512,10)</f>
        <v>220</v>
      </c>
      <c r="J512" s="12" t="n">
        <f aca="false">MROUND(H512*4*'Rate Card'!$B$47,100)</f>
        <v>1400</v>
      </c>
      <c r="K512" s="12" t="n">
        <f aca="false">MROUND(I512*4*'Rate Card'!$B$47,100)</f>
        <v>800</v>
      </c>
      <c r="L512" s="12" t="n">
        <f aca="false">MROUND(H512*120*'Rate Card'!$B$48,500)</f>
        <v>36500</v>
      </c>
      <c r="M512" s="12" t="n">
        <f aca="false">MROUND(I512*120*'Rate Card'!$B$48,500)</f>
        <v>22500</v>
      </c>
      <c r="N512" s="14" t="s">
        <v>350</v>
      </c>
      <c r="O512" s="46" t="n">
        <v>0.72</v>
      </c>
      <c r="P512" s="46" t="n">
        <v>1</v>
      </c>
    </row>
    <row r="513" customFormat="false" ht="15" hidden="false" customHeight="true" outlineLevel="0" collapsed="false">
      <c r="A513" s="9" t="n">
        <v>482</v>
      </c>
      <c r="B513" s="43" t="s">
        <v>145</v>
      </c>
      <c r="C513" s="43" t="s">
        <v>1327</v>
      </c>
      <c r="D513" s="44" t="s">
        <v>1328</v>
      </c>
      <c r="E513" s="43" t="s">
        <v>1329</v>
      </c>
      <c r="F513" s="45" t="s">
        <v>353</v>
      </c>
      <c r="G513" s="45" t="s">
        <v>1330</v>
      </c>
      <c r="H513" s="12" t="n">
        <f aca="false">MROUND('Rate Card'!$I$31*O513*P513,10)</f>
        <v>330</v>
      </c>
      <c r="I513" s="12" t="n">
        <f aca="false">MROUND('Rate Card'!$K$31*O513*P513,10)</f>
        <v>200</v>
      </c>
      <c r="J513" s="12" t="n">
        <f aca="false">MROUND(H513*4*'Rate Card'!$B$47,100)</f>
        <v>1300</v>
      </c>
      <c r="K513" s="12" t="n">
        <f aca="false">MROUND(I513*4*'Rate Card'!$B$47,100)</f>
        <v>800</v>
      </c>
      <c r="L513" s="12" t="n">
        <f aca="false">MROUND(H513*120*'Rate Card'!$B$48,500)</f>
        <v>33500</v>
      </c>
      <c r="M513" s="12" t="n">
        <f aca="false">MROUND(I513*120*'Rate Card'!$B$48,500)</f>
        <v>20500</v>
      </c>
      <c r="N513" s="14" t="s">
        <v>355</v>
      </c>
      <c r="O513" s="46" t="n">
        <v>0.65</v>
      </c>
      <c r="P513" s="46" t="n">
        <v>1</v>
      </c>
    </row>
    <row r="514" customFormat="false" ht="15" hidden="false" customHeight="true" outlineLevel="0" collapsed="false">
      <c r="A514" s="9" t="n">
        <v>483</v>
      </c>
      <c r="B514" s="43" t="s">
        <v>145</v>
      </c>
      <c r="C514" s="43" t="s">
        <v>1285</v>
      </c>
      <c r="D514" s="44" t="s">
        <v>1331</v>
      </c>
      <c r="E514" s="43" t="s">
        <v>1332</v>
      </c>
      <c r="F514" s="45" t="s">
        <v>423</v>
      </c>
      <c r="G514" s="45" t="s">
        <v>1333</v>
      </c>
      <c r="H514" s="12" t="n">
        <f aca="false">MROUND('Rate Card'!$I$31*O514*P514,10)</f>
        <v>330</v>
      </c>
      <c r="I514" s="12" t="n">
        <f aca="false">MROUND('Rate Card'!$K$31*O514*P514,10)</f>
        <v>200</v>
      </c>
      <c r="J514" s="12" t="n">
        <f aca="false">MROUND(H514*4*'Rate Card'!$B$47,100)</f>
        <v>1300</v>
      </c>
      <c r="K514" s="12" t="n">
        <f aca="false">MROUND(I514*4*'Rate Card'!$B$47,100)</f>
        <v>800</v>
      </c>
      <c r="L514" s="12" t="n">
        <f aca="false">MROUND(H514*120*'Rate Card'!$B$48,500)</f>
        <v>33500</v>
      </c>
      <c r="M514" s="12" t="n">
        <f aca="false">MROUND(I514*120*'Rate Card'!$B$48,500)</f>
        <v>20500</v>
      </c>
      <c r="N514" s="14" t="s">
        <v>355</v>
      </c>
      <c r="O514" s="46" t="n">
        <v>0.65</v>
      </c>
      <c r="P514" s="46" t="n">
        <v>1</v>
      </c>
    </row>
    <row r="515" customFormat="false" ht="15" hidden="false" customHeight="true" outlineLevel="0" collapsed="false">
      <c r="A515" s="9" t="n">
        <v>484</v>
      </c>
      <c r="B515" s="43" t="s">
        <v>145</v>
      </c>
      <c r="C515" s="43" t="s">
        <v>1285</v>
      </c>
      <c r="D515" s="44" t="s">
        <v>1334</v>
      </c>
      <c r="E515" s="43" t="s">
        <v>472</v>
      </c>
      <c r="F515" s="45" t="s">
        <v>472</v>
      </c>
      <c r="G515" s="45" t="s">
        <v>1335</v>
      </c>
      <c r="H515" s="12" t="n">
        <f aca="false">MROUND('Rate Card'!$I$31*O515*P515,10)</f>
        <v>290</v>
      </c>
      <c r="I515" s="12" t="n">
        <f aca="false">MROUND('Rate Card'!$K$31*O515*P515,10)</f>
        <v>170</v>
      </c>
      <c r="J515" s="12" t="n">
        <f aca="false">MROUND(H515*4*'Rate Card'!$B$47,100)</f>
        <v>1100</v>
      </c>
      <c r="K515" s="12" t="n">
        <f aca="false">MROUND(I515*4*'Rate Card'!$B$47,100)</f>
        <v>600</v>
      </c>
      <c r="L515" s="12" t="n">
        <f aca="false">MROUND(H515*120*'Rate Card'!$B$48,500)</f>
        <v>29500</v>
      </c>
      <c r="M515" s="12" t="n">
        <f aca="false">MROUND(I515*120*'Rate Card'!$B$48,500)</f>
        <v>17500</v>
      </c>
      <c r="N515" s="14" t="s">
        <v>486</v>
      </c>
      <c r="O515" s="46" t="n">
        <v>0.58</v>
      </c>
      <c r="P515" s="46" t="n">
        <v>1</v>
      </c>
    </row>
    <row r="516" customFormat="false" ht="15" hidden="false" customHeight="true" outlineLevel="0" collapsed="false">
      <c r="A516" s="9" t="n">
        <v>485</v>
      </c>
      <c r="B516" s="43" t="s">
        <v>145</v>
      </c>
      <c r="C516" s="43" t="s">
        <v>1285</v>
      </c>
      <c r="D516" s="44" t="s">
        <v>1336</v>
      </c>
      <c r="E516" s="43" t="s">
        <v>472</v>
      </c>
      <c r="F516" s="45" t="s">
        <v>472</v>
      </c>
      <c r="G516" s="45" t="s">
        <v>1337</v>
      </c>
      <c r="H516" s="12" t="n">
        <f aca="false">MROUND('Rate Card'!$I$31*O516*P516,10)</f>
        <v>290</v>
      </c>
      <c r="I516" s="12" t="n">
        <f aca="false">MROUND('Rate Card'!$K$31*O516*P516,10)</f>
        <v>170</v>
      </c>
      <c r="J516" s="12" t="n">
        <f aca="false">MROUND(H516*4*'Rate Card'!$B$47,100)</f>
        <v>1100</v>
      </c>
      <c r="K516" s="12" t="n">
        <f aca="false">MROUND(I516*4*'Rate Card'!$B$47,100)</f>
        <v>600</v>
      </c>
      <c r="L516" s="12" t="n">
        <f aca="false">MROUND(H516*120*'Rate Card'!$B$48,500)</f>
        <v>29500</v>
      </c>
      <c r="M516" s="12" t="n">
        <f aca="false">MROUND(I516*120*'Rate Card'!$B$48,500)</f>
        <v>17500</v>
      </c>
      <c r="N516" s="14" t="s">
        <v>486</v>
      </c>
      <c r="O516" s="46" t="n">
        <v>0.58</v>
      </c>
      <c r="P516" s="46" t="n">
        <v>1</v>
      </c>
    </row>
    <row r="517" customFormat="false" ht="15" hidden="false" customHeight="true" outlineLevel="0" collapsed="false">
      <c r="A517" s="9" t="n">
        <v>486</v>
      </c>
      <c r="B517" s="43" t="s">
        <v>145</v>
      </c>
      <c r="C517" s="43" t="s">
        <v>1285</v>
      </c>
      <c r="D517" s="44" t="s">
        <v>1338</v>
      </c>
      <c r="E517" s="43" t="s">
        <v>472</v>
      </c>
      <c r="F517" s="45" t="s">
        <v>472</v>
      </c>
      <c r="G517" s="45" t="s">
        <v>1339</v>
      </c>
      <c r="H517" s="12" t="n">
        <f aca="false">MROUND('Rate Card'!$I$31*O517*P517,10)</f>
        <v>290</v>
      </c>
      <c r="I517" s="12" t="n">
        <f aca="false">MROUND('Rate Card'!$K$31*O517*P517,10)</f>
        <v>170</v>
      </c>
      <c r="J517" s="12" t="n">
        <f aca="false">MROUND(H517*4*'Rate Card'!$B$47,100)</f>
        <v>1100</v>
      </c>
      <c r="K517" s="12" t="n">
        <f aca="false">MROUND(I517*4*'Rate Card'!$B$47,100)</f>
        <v>600</v>
      </c>
      <c r="L517" s="12" t="n">
        <f aca="false">MROUND(H517*120*'Rate Card'!$B$48,500)</f>
        <v>29500</v>
      </c>
      <c r="M517" s="12" t="n">
        <f aca="false">MROUND(I517*120*'Rate Card'!$B$48,500)</f>
        <v>17500</v>
      </c>
      <c r="N517" s="14" t="s">
        <v>486</v>
      </c>
      <c r="O517" s="46" t="n">
        <v>0.58</v>
      </c>
      <c r="P517" s="46" t="n">
        <v>1</v>
      </c>
    </row>
    <row r="518" customFormat="false" ht="15" hidden="false" customHeight="true" outlineLevel="0" collapsed="false">
      <c r="A518" s="9" t="n">
        <v>487</v>
      </c>
      <c r="B518" s="43" t="s">
        <v>145</v>
      </c>
      <c r="C518" s="43" t="s">
        <v>1285</v>
      </c>
      <c r="D518" s="44" t="s">
        <v>1340</v>
      </c>
      <c r="E518" s="43" t="s">
        <v>472</v>
      </c>
      <c r="F518" s="45" t="s">
        <v>472</v>
      </c>
      <c r="G518" s="45" t="s">
        <v>1341</v>
      </c>
      <c r="H518" s="12" t="n">
        <f aca="false">MROUND('Rate Card'!$I$31*O518*P518,10)</f>
        <v>290</v>
      </c>
      <c r="I518" s="12" t="n">
        <f aca="false">MROUND('Rate Card'!$K$31*O518*P518,10)</f>
        <v>170</v>
      </c>
      <c r="J518" s="12" t="n">
        <f aca="false">MROUND(H518*4*'Rate Card'!$B$47,100)</f>
        <v>1100</v>
      </c>
      <c r="K518" s="12" t="n">
        <f aca="false">MROUND(I518*4*'Rate Card'!$B$47,100)</f>
        <v>600</v>
      </c>
      <c r="L518" s="12" t="n">
        <f aca="false">MROUND(H518*120*'Rate Card'!$B$48,500)</f>
        <v>29500</v>
      </c>
      <c r="M518" s="12" t="n">
        <f aca="false">MROUND(I518*120*'Rate Card'!$B$48,500)</f>
        <v>17500</v>
      </c>
      <c r="N518" s="14" t="s">
        <v>486</v>
      </c>
      <c r="O518" s="46" t="n">
        <v>0.58</v>
      </c>
      <c r="P518" s="46" t="n">
        <v>1</v>
      </c>
    </row>
    <row r="519" customFormat="false" ht="41.25" hidden="false" customHeight="true" outlineLevel="0" collapsed="false">
      <c r="A519" s="9" t="n">
        <v>488</v>
      </c>
      <c r="B519" s="43" t="s">
        <v>145</v>
      </c>
      <c r="C519" s="43" t="s">
        <v>1285</v>
      </c>
      <c r="D519" s="44" t="s">
        <v>1342</v>
      </c>
      <c r="E519" s="43" t="s">
        <v>472</v>
      </c>
      <c r="F519" s="45" t="s">
        <v>315</v>
      </c>
      <c r="G519" s="45" t="s">
        <v>1343</v>
      </c>
      <c r="H519" s="12" t="n">
        <f aca="false">MROUND('Rate Card'!$I$31*O519*P519,10)</f>
        <v>290</v>
      </c>
      <c r="I519" s="12" t="n">
        <f aca="false">MROUND('Rate Card'!$K$31*O519*P519,10)</f>
        <v>170</v>
      </c>
      <c r="J519" s="12" t="n">
        <f aca="false">MROUND(H519*4*'Rate Card'!$B$47,100)</f>
        <v>1100</v>
      </c>
      <c r="K519" s="12" t="n">
        <f aca="false">MROUND(I519*4*'Rate Card'!$B$47,100)</f>
        <v>600</v>
      </c>
      <c r="L519" s="12" t="n">
        <f aca="false">MROUND(H519*120*'Rate Card'!$B$48,500)</f>
        <v>29500</v>
      </c>
      <c r="M519" s="12" t="n">
        <f aca="false">MROUND(I519*120*'Rate Card'!$B$48,500)</f>
        <v>17500</v>
      </c>
      <c r="N519" s="14" t="s">
        <v>364</v>
      </c>
      <c r="O519" s="46" t="n">
        <v>0.58</v>
      </c>
      <c r="P519" s="46" t="n">
        <v>1</v>
      </c>
    </row>
    <row r="520" customFormat="false" ht="41.25" hidden="false" customHeight="true" outlineLevel="0" collapsed="false">
      <c r="A520" s="9" t="n">
        <v>489</v>
      </c>
      <c r="B520" s="43" t="s">
        <v>145</v>
      </c>
      <c r="C520" s="43" t="s">
        <v>1285</v>
      </c>
      <c r="D520" s="44" t="s">
        <v>1344</v>
      </c>
      <c r="E520" s="43" t="s">
        <v>472</v>
      </c>
      <c r="F520" s="45" t="s">
        <v>318</v>
      </c>
      <c r="G520" s="45" t="s">
        <v>1345</v>
      </c>
      <c r="H520" s="12" t="n">
        <f aca="false">MROUND('Rate Card'!$I$31*O520*P520,10)</f>
        <v>290</v>
      </c>
      <c r="I520" s="12" t="n">
        <f aca="false">MROUND('Rate Card'!$K$31*O520*P520,10)</f>
        <v>170</v>
      </c>
      <c r="J520" s="12" t="n">
        <f aca="false">MROUND(H520*4*'Rate Card'!$B$47,100)</f>
        <v>1100</v>
      </c>
      <c r="K520" s="12" t="n">
        <f aca="false">MROUND(I520*4*'Rate Card'!$B$47,100)</f>
        <v>600</v>
      </c>
      <c r="L520" s="12" t="n">
        <f aca="false">MROUND(H520*120*'Rate Card'!$B$48,500)</f>
        <v>29500</v>
      </c>
      <c r="M520" s="12" t="n">
        <f aca="false">MROUND(I520*120*'Rate Card'!$B$48,500)</f>
        <v>17500</v>
      </c>
      <c r="N520" s="14" t="s">
        <v>364</v>
      </c>
      <c r="O520" s="46" t="n">
        <v>0.58</v>
      </c>
      <c r="P520" s="46" t="n">
        <v>1</v>
      </c>
    </row>
    <row r="521" customFormat="false" ht="41.25" hidden="false" customHeight="true" outlineLevel="0" collapsed="false">
      <c r="A521" s="9" t="n">
        <v>490</v>
      </c>
      <c r="B521" s="43" t="s">
        <v>145</v>
      </c>
      <c r="C521" s="43" t="s">
        <v>1285</v>
      </c>
      <c r="D521" s="44" t="s">
        <v>1346</v>
      </c>
      <c r="E521" s="43" t="s">
        <v>472</v>
      </c>
      <c r="F521" s="45" t="s">
        <v>315</v>
      </c>
      <c r="G521" s="45" t="s">
        <v>1347</v>
      </c>
      <c r="H521" s="12" t="n">
        <f aca="false">MROUND('Rate Card'!$I$31*O521*P521,10)</f>
        <v>290</v>
      </c>
      <c r="I521" s="12" t="n">
        <f aca="false">MROUND('Rate Card'!$K$31*O521*P521,10)</f>
        <v>170</v>
      </c>
      <c r="J521" s="12" t="n">
        <f aca="false">MROUND(H521*4*'Rate Card'!$B$47,100)</f>
        <v>1100</v>
      </c>
      <c r="K521" s="12" t="n">
        <f aca="false">MROUND(I521*4*'Rate Card'!$B$47,100)</f>
        <v>600</v>
      </c>
      <c r="L521" s="12" t="n">
        <f aca="false">MROUND(H521*120*'Rate Card'!$B$48,500)</f>
        <v>29500</v>
      </c>
      <c r="M521" s="12" t="n">
        <f aca="false">MROUND(I521*120*'Rate Card'!$B$48,500)</f>
        <v>17500</v>
      </c>
      <c r="N521" s="14" t="s">
        <v>364</v>
      </c>
      <c r="O521" s="46" t="n">
        <v>0.58</v>
      </c>
      <c r="P521" s="46" t="n">
        <v>1</v>
      </c>
    </row>
    <row r="522" customFormat="false" ht="54.75" hidden="false" customHeight="true" outlineLevel="0" collapsed="false">
      <c r="A522" s="9" t="n">
        <v>491</v>
      </c>
      <c r="B522" s="43" t="s">
        <v>145</v>
      </c>
      <c r="C522" s="43" t="s">
        <v>1285</v>
      </c>
      <c r="D522" s="44" t="s">
        <v>1348</v>
      </c>
      <c r="E522" s="43" t="s">
        <v>472</v>
      </c>
      <c r="F522" s="45" t="s">
        <v>310</v>
      </c>
      <c r="G522" s="45" t="s">
        <v>1349</v>
      </c>
      <c r="H522" s="12" t="n">
        <f aca="false">MROUND('Rate Card'!$I$31*O522*P522,10)</f>
        <v>290</v>
      </c>
      <c r="I522" s="12" t="n">
        <f aca="false">MROUND('Rate Card'!$K$31*O522*P522,10)</f>
        <v>170</v>
      </c>
      <c r="J522" s="12" t="n">
        <f aca="false">MROUND(H522*4*'Rate Card'!$B$47,100)</f>
        <v>1100</v>
      </c>
      <c r="K522" s="12" t="n">
        <f aca="false">MROUND(I522*4*'Rate Card'!$B$47,100)</f>
        <v>600</v>
      </c>
      <c r="L522" s="12" t="n">
        <f aca="false">MROUND(H522*120*'Rate Card'!$B$48,500)</f>
        <v>29500</v>
      </c>
      <c r="M522" s="12" t="n">
        <f aca="false">MROUND(I522*120*'Rate Card'!$B$48,500)</f>
        <v>17500</v>
      </c>
      <c r="N522" s="14" t="s">
        <v>364</v>
      </c>
      <c r="O522" s="46" t="n">
        <v>0.58</v>
      </c>
      <c r="P522" s="46" t="n">
        <v>1</v>
      </c>
    </row>
    <row r="523" customFormat="false" ht="15" hidden="false" customHeight="true" outlineLevel="0" collapsed="false">
      <c r="A523" s="9" t="n">
        <v>492</v>
      </c>
      <c r="B523" s="43" t="s">
        <v>145</v>
      </c>
      <c r="C523" s="43" t="s">
        <v>1285</v>
      </c>
      <c r="D523" s="44" t="s">
        <v>1350</v>
      </c>
      <c r="E523" s="43" t="s">
        <v>472</v>
      </c>
      <c r="F523" s="45" t="s">
        <v>472</v>
      </c>
      <c r="G523" s="45" t="s">
        <v>1351</v>
      </c>
      <c r="H523" s="12" t="n">
        <f aca="false">MROUND('Rate Card'!$I$31*O523*P523,10)</f>
        <v>290</v>
      </c>
      <c r="I523" s="12" t="n">
        <f aca="false">MROUND('Rate Card'!$K$31*O523*P523,10)</f>
        <v>170</v>
      </c>
      <c r="J523" s="12" t="n">
        <f aca="false">MROUND(H523*4*'Rate Card'!$B$47,100)</f>
        <v>1100</v>
      </c>
      <c r="K523" s="12" t="n">
        <f aca="false">MROUND(I523*4*'Rate Card'!$B$47,100)</f>
        <v>600</v>
      </c>
      <c r="L523" s="12" t="n">
        <f aca="false">MROUND(H523*120*'Rate Card'!$B$48,500)</f>
        <v>29500</v>
      </c>
      <c r="M523" s="12" t="n">
        <f aca="false">MROUND(I523*120*'Rate Card'!$B$48,500)</f>
        <v>17500</v>
      </c>
      <c r="N523" s="14" t="s">
        <v>486</v>
      </c>
      <c r="O523" s="46" t="n">
        <v>0.58</v>
      </c>
      <c r="P523" s="46" t="n">
        <v>1</v>
      </c>
    </row>
    <row r="524" customFormat="false" ht="41.25" hidden="false" customHeight="true" outlineLevel="0" collapsed="false">
      <c r="A524" s="9" t="n">
        <v>493</v>
      </c>
      <c r="B524" s="43" t="s">
        <v>145</v>
      </c>
      <c r="C524" s="43" t="s">
        <v>1285</v>
      </c>
      <c r="D524" s="44" t="s">
        <v>1352</v>
      </c>
      <c r="E524" s="43" t="s">
        <v>472</v>
      </c>
      <c r="F524" s="45" t="s">
        <v>748</v>
      </c>
      <c r="G524" s="45" t="s">
        <v>1353</v>
      </c>
      <c r="H524" s="12" t="n">
        <f aca="false">MROUND('Rate Card'!$I$31*O524*P524,10)</f>
        <v>290</v>
      </c>
      <c r="I524" s="12" t="n">
        <f aca="false">MROUND('Rate Card'!$K$31*O524*P524,10)</f>
        <v>170</v>
      </c>
      <c r="J524" s="12" t="n">
        <f aca="false">MROUND(H524*4*'Rate Card'!$B$47,100)</f>
        <v>1100</v>
      </c>
      <c r="K524" s="12" t="n">
        <f aca="false">MROUND(I524*4*'Rate Card'!$B$47,100)</f>
        <v>600</v>
      </c>
      <c r="L524" s="12" t="n">
        <f aca="false">MROUND(H524*120*'Rate Card'!$B$48,500)</f>
        <v>29500</v>
      </c>
      <c r="M524" s="12" t="n">
        <f aca="false">MROUND(I524*120*'Rate Card'!$B$48,500)</f>
        <v>17500</v>
      </c>
      <c r="N524" s="14" t="s">
        <v>364</v>
      </c>
      <c r="O524" s="46" t="n">
        <v>0.58</v>
      </c>
      <c r="P524" s="46" t="n">
        <v>1</v>
      </c>
    </row>
    <row r="525" customFormat="false" ht="41.25" hidden="false" customHeight="true" outlineLevel="0" collapsed="false">
      <c r="A525" s="9" t="n">
        <v>494</v>
      </c>
      <c r="B525" s="43" t="s">
        <v>145</v>
      </c>
      <c r="C525" s="43" t="s">
        <v>476</v>
      </c>
      <c r="D525" s="44"/>
      <c r="E525" s="43" t="s">
        <v>472</v>
      </c>
      <c r="F525" s="45" t="s">
        <v>1354</v>
      </c>
      <c r="G525" s="45" t="s">
        <v>1355</v>
      </c>
      <c r="H525" s="12" t="n">
        <f aca="false">MROUND('Rate Card'!$I$31*O525*P525,10)</f>
        <v>290</v>
      </c>
      <c r="I525" s="12" t="n">
        <f aca="false">MROUND('Rate Card'!$K$31*O525*P525,10)</f>
        <v>170</v>
      </c>
      <c r="J525" s="12" t="n">
        <f aca="false">MROUND(H525*4*'Rate Card'!$B$47,100)</f>
        <v>1100</v>
      </c>
      <c r="K525" s="12" t="n">
        <f aca="false">MROUND(I525*4*'Rate Card'!$B$47,100)</f>
        <v>600</v>
      </c>
      <c r="L525" s="12" t="n">
        <f aca="false">MROUND(H525*120*'Rate Card'!$B$48,500)</f>
        <v>29500</v>
      </c>
      <c r="M525" s="12" t="n">
        <f aca="false">MROUND(I525*120*'Rate Card'!$B$48,500)</f>
        <v>17500</v>
      </c>
      <c r="N525" s="14" t="s">
        <v>364</v>
      </c>
      <c r="O525" s="46" t="n">
        <v>0.58</v>
      </c>
      <c r="P525" s="46" t="n">
        <v>1</v>
      </c>
    </row>
    <row r="526" customFormat="false" ht="54.75" hidden="false" customHeight="true" outlineLevel="0" collapsed="false">
      <c r="A526" s="9" t="n">
        <v>495</v>
      </c>
      <c r="B526" s="43" t="s">
        <v>145</v>
      </c>
      <c r="C526" s="43" t="s">
        <v>1287</v>
      </c>
      <c r="D526" s="44" t="s">
        <v>1356</v>
      </c>
      <c r="E526" s="43" t="s">
        <v>472</v>
      </c>
      <c r="F526" s="45" t="s">
        <v>397</v>
      </c>
      <c r="G526" s="45" t="s">
        <v>1357</v>
      </c>
      <c r="H526" s="12" t="n">
        <f aca="false">MROUND('Rate Card'!$I$31*O526*P526,10)</f>
        <v>290</v>
      </c>
      <c r="I526" s="12" t="n">
        <f aca="false">MROUND('Rate Card'!$K$31*O526*P526,10)</f>
        <v>170</v>
      </c>
      <c r="J526" s="12" t="n">
        <f aca="false">MROUND(H526*4*'Rate Card'!$B$47,100)</f>
        <v>1100</v>
      </c>
      <c r="K526" s="12" t="n">
        <f aca="false">MROUND(I526*4*'Rate Card'!$B$47,100)</f>
        <v>600</v>
      </c>
      <c r="L526" s="12" t="n">
        <f aca="false">MROUND(H526*120*'Rate Card'!$B$48,500)</f>
        <v>29500</v>
      </c>
      <c r="M526" s="12" t="n">
        <f aca="false">MROUND(I526*120*'Rate Card'!$B$48,500)</f>
        <v>17500</v>
      </c>
      <c r="N526" s="14" t="s">
        <v>364</v>
      </c>
      <c r="O526" s="46" t="n">
        <v>0.58</v>
      </c>
      <c r="P526" s="46" t="n">
        <v>1</v>
      </c>
    </row>
    <row r="527" customFormat="false" ht="54.75" hidden="false" customHeight="true" outlineLevel="0" collapsed="false">
      <c r="A527" s="9" t="n">
        <v>496</v>
      </c>
      <c r="B527" s="43" t="s">
        <v>145</v>
      </c>
      <c r="C527" s="43" t="s">
        <v>476</v>
      </c>
      <c r="D527" s="44"/>
      <c r="E527" s="43" t="s">
        <v>472</v>
      </c>
      <c r="F527" s="45" t="s">
        <v>1358</v>
      </c>
      <c r="G527" s="45" t="s">
        <v>1359</v>
      </c>
      <c r="H527" s="12" t="n">
        <f aca="false">MROUND('Rate Card'!$I$31*O527*P527,10)</f>
        <v>290</v>
      </c>
      <c r="I527" s="12" t="n">
        <f aca="false">MROUND('Rate Card'!$K$31*O527*P527,10)</f>
        <v>170</v>
      </c>
      <c r="J527" s="12" t="n">
        <f aca="false">MROUND(H527*4*'Rate Card'!$B$47,100)</f>
        <v>1100</v>
      </c>
      <c r="K527" s="12" t="n">
        <f aca="false">MROUND(I527*4*'Rate Card'!$B$47,100)</f>
        <v>600</v>
      </c>
      <c r="L527" s="12" t="n">
        <f aca="false">MROUND(H527*120*'Rate Card'!$B$48,500)</f>
        <v>29500</v>
      </c>
      <c r="M527" s="12" t="n">
        <f aca="false">MROUND(I527*120*'Rate Card'!$B$48,500)</f>
        <v>17500</v>
      </c>
      <c r="N527" s="14" t="s">
        <v>364</v>
      </c>
      <c r="O527" s="46" t="n">
        <v>0.58</v>
      </c>
      <c r="P527" s="46" t="n">
        <v>1</v>
      </c>
    </row>
    <row r="528" customFormat="false" ht="54.75" hidden="false" customHeight="true" outlineLevel="0" collapsed="false">
      <c r="A528" s="9" t="n">
        <v>497</v>
      </c>
      <c r="B528" s="43" t="s">
        <v>145</v>
      </c>
      <c r="C528" s="43" t="s">
        <v>476</v>
      </c>
      <c r="D528" s="44"/>
      <c r="E528" s="43" t="s">
        <v>472</v>
      </c>
      <c r="F528" s="45" t="s">
        <v>1360</v>
      </c>
      <c r="G528" s="45" t="s">
        <v>1361</v>
      </c>
      <c r="H528" s="12" t="n">
        <f aca="false">MROUND('Rate Card'!$I$31*O528*P528,10)</f>
        <v>290</v>
      </c>
      <c r="I528" s="12" t="n">
        <f aca="false">MROUND('Rate Card'!$K$31*O528*P528,10)</f>
        <v>170</v>
      </c>
      <c r="J528" s="12" t="n">
        <f aca="false">MROUND(H528*4*'Rate Card'!$B$47,100)</f>
        <v>1100</v>
      </c>
      <c r="K528" s="12" t="n">
        <f aca="false">MROUND(I528*4*'Rate Card'!$B$47,100)</f>
        <v>600</v>
      </c>
      <c r="L528" s="12" t="n">
        <f aca="false">MROUND(H528*120*'Rate Card'!$B$48,500)</f>
        <v>29500</v>
      </c>
      <c r="M528" s="12" t="n">
        <f aca="false">MROUND(I528*120*'Rate Card'!$B$48,500)</f>
        <v>17500</v>
      </c>
      <c r="N528" s="14" t="s">
        <v>364</v>
      </c>
      <c r="O528" s="46" t="n">
        <v>0.58</v>
      </c>
      <c r="P528" s="46" t="n">
        <v>1</v>
      </c>
    </row>
    <row r="529" customFormat="false" ht="15" hidden="false" customHeight="true" outlineLevel="0" collapsed="false">
      <c r="A529" s="9" t="n">
        <v>498</v>
      </c>
      <c r="B529" s="43" t="s">
        <v>145</v>
      </c>
      <c r="C529" s="43" t="s">
        <v>476</v>
      </c>
      <c r="D529" s="44"/>
      <c r="E529" s="43" t="s">
        <v>472</v>
      </c>
      <c r="F529" s="45" t="s">
        <v>472</v>
      </c>
      <c r="G529" s="45" t="s">
        <v>1362</v>
      </c>
      <c r="H529" s="12" t="n">
        <f aca="false">MROUND('Rate Card'!$I$31*O529*P529,10)</f>
        <v>290</v>
      </c>
      <c r="I529" s="12" t="n">
        <f aca="false">MROUND('Rate Card'!$K$31*O529*P529,10)</f>
        <v>170</v>
      </c>
      <c r="J529" s="12" t="n">
        <f aca="false">MROUND(H529*4*'Rate Card'!$B$47,100)</f>
        <v>1100</v>
      </c>
      <c r="K529" s="12" t="n">
        <f aca="false">MROUND(I529*4*'Rate Card'!$B$47,100)</f>
        <v>600</v>
      </c>
      <c r="L529" s="12" t="n">
        <f aca="false">MROUND(H529*120*'Rate Card'!$B$48,500)</f>
        <v>29500</v>
      </c>
      <c r="M529" s="12" t="n">
        <f aca="false">MROUND(I529*120*'Rate Card'!$B$48,500)</f>
        <v>17500</v>
      </c>
      <c r="N529" s="14" t="s">
        <v>486</v>
      </c>
      <c r="O529" s="46" t="n">
        <v>0.58</v>
      </c>
      <c r="P529" s="46" t="n">
        <v>1</v>
      </c>
    </row>
    <row r="530" customFormat="false" ht="15" hidden="false" customHeight="true" outlineLevel="0" collapsed="false">
      <c r="A530" s="9" t="n">
        <v>499</v>
      </c>
      <c r="B530" s="43" t="s">
        <v>145</v>
      </c>
      <c r="C530" s="43" t="s">
        <v>476</v>
      </c>
      <c r="D530" s="44"/>
      <c r="E530" s="43" t="s">
        <v>472</v>
      </c>
      <c r="F530" s="45" t="s">
        <v>472</v>
      </c>
      <c r="G530" s="45" t="s">
        <v>1363</v>
      </c>
      <c r="H530" s="12" t="n">
        <f aca="false">MROUND('Rate Card'!$I$31*O530*P530,10)</f>
        <v>290</v>
      </c>
      <c r="I530" s="12" t="n">
        <f aca="false">MROUND('Rate Card'!$K$31*O530*P530,10)</f>
        <v>170</v>
      </c>
      <c r="J530" s="12" t="n">
        <f aca="false">MROUND(H530*4*'Rate Card'!$B$47,100)</f>
        <v>1100</v>
      </c>
      <c r="K530" s="12" t="n">
        <f aca="false">MROUND(I530*4*'Rate Card'!$B$47,100)</f>
        <v>600</v>
      </c>
      <c r="L530" s="12" t="n">
        <f aca="false">MROUND(H530*120*'Rate Card'!$B$48,500)</f>
        <v>29500</v>
      </c>
      <c r="M530" s="12" t="n">
        <f aca="false">MROUND(I530*120*'Rate Card'!$B$48,500)</f>
        <v>17500</v>
      </c>
      <c r="N530" s="14" t="s">
        <v>486</v>
      </c>
      <c r="O530" s="46" t="n">
        <v>0.58</v>
      </c>
      <c r="P530" s="46" t="n">
        <v>1</v>
      </c>
    </row>
    <row r="531" customFormat="false" ht="15" hidden="false" customHeight="true" outlineLevel="0" collapsed="false">
      <c r="A531" s="9" t="n">
        <v>500</v>
      </c>
      <c r="B531" s="43" t="s">
        <v>145</v>
      </c>
      <c r="C531" s="43" t="s">
        <v>476</v>
      </c>
      <c r="D531" s="44"/>
      <c r="E531" s="43" t="s">
        <v>472</v>
      </c>
      <c r="F531" s="45" t="s">
        <v>472</v>
      </c>
      <c r="G531" s="45" t="s">
        <v>1364</v>
      </c>
      <c r="H531" s="12" t="n">
        <f aca="false">MROUND('Rate Card'!$I$31*O531*P531,10)</f>
        <v>290</v>
      </c>
      <c r="I531" s="12" t="n">
        <f aca="false">MROUND('Rate Card'!$K$31*O531*P531,10)</f>
        <v>170</v>
      </c>
      <c r="J531" s="12" t="n">
        <f aca="false">MROUND(H531*4*'Rate Card'!$B$47,100)</f>
        <v>1100</v>
      </c>
      <c r="K531" s="12" t="n">
        <f aca="false">MROUND(I531*4*'Rate Card'!$B$47,100)</f>
        <v>600</v>
      </c>
      <c r="L531" s="12" t="n">
        <f aca="false">MROUND(H531*120*'Rate Card'!$B$48,500)</f>
        <v>29500</v>
      </c>
      <c r="M531" s="12" t="n">
        <f aca="false">MROUND(I531*120*'Rate Card'!$B$48,500)</f>
        <v>17500</v>
      </c>
      <c r="N531" s="14" t="s">
        <v>486</v>
      </c>
      <c r="O531" s="46" t="n">
        <v>0.58</v>
      </c>
      <c r="P531" s="46" t="n">
        <v>1</v>
      </c>
    </row>
    <row r="532" customFormat="false" ht="15" hidden="false" customHeight="true" outlineLevel="0" collapsed="false">
      <c r="A532" s="9" t="n">
        <v>501</v>
      </c>
      <c r="B532" s="43" t="s">
        <v>145</v>
      </c>
      <c r="C532" s="43" t="s">
        <v>476</v>
      </c>
      <c r="D532" s="44"/>
      <c r="E532" s="43" t="s">
        <v>472</v>
      </c>
      <c r="F532" s="45" t="s">
        <v>472</v>
      </c>
      <c r="G532" s="45" t="s">
        <v>1365</v>
      </c>
      <c r="H532" s="12" t="n">
        <f aca="false">MROUND('Rate Card'!$I$31*O532*P532,10)</f>
        <v>290</v>
      </c>
      <c r="I532" s="12" t="n">
        <f aca="false">MROUND('Rate Card'!$K$31*O532*P532,10)</f>
        <v>170</v>
      </c>
      <c r="J532" s="12" t="n">
        <f aca="false">MROUND(H532*4*'Rate Card'!$B$47,100)</f>
        <v>1100</v>
      </c>
      <c r="K532" s="12" t="n">
        <f aca="false">MROUND(I532*4*'Rate Card'!$B$47,100)</f>
        <v>600</v>
      </c>
      <c r="L532" s="12" t="n">
        <f aca="false">MROUND(H532*120*'Rate Card'!$B$48,500)</f>
        <v>29500</v>
      </c>
      <c r="M532" s="12" t="n">
        <f aca="false">MROUND(I532*120*'Rate Card'!$B$48,500)</f>
        <v>17500</v>
      </c>
      <c r="N532" s="14" t="s">
        <v>486</v>
      </c>
      <c r="O532" s="46" t="n">
        <v>0.58</v>
      </c>
      <c r="P532" s="46" t="n">
        <v>1</v>
      </c>
    </row>
    <row r="533" customFormat="false" ht="41.25" hidden="false" customHeight="true" outlineLevel="0" collapsed="false">
      <c r="A533" s="9" t="n">
        <v>502</v>
      </c>
      <c r="B533" s="43" t="s">
        <v>145</v>
      </c>
      <c r="C533" s="43" t="s">
        <v>476</v>
      </c>
      <c r="D533" s="44"/>
      <c r="E533" s="43" t="s">
        <v>472</v>
      </c>
      <c r="F533" s="45" t="s">
        <v>1366</v>
      </c>
      <c r="G533" s="45" t="s">
        <v>1367</v>
      </c>
      <c r="H533" s="12" t="n">
        <f aca="false">MROUND('Rate Card'!$I$31*O533*P533,10)</f>
        <v>290</v>
      </c>
      <c r="I533" s="12" t="n">
        <f aca="false">MROUND('Rate Card'!$K$31*O533*P533,10)</f>
        <v>170</v>
      </c>
      <c r="J533" s="12" t="n">
        <f aca="false">MROUND(H533*4*'Rate Card'!$B$47,100)</f>
        <v>1100</v>
      </c>
      <c r="K533" s="12" t="n">
        <f aca="false">MROUND(I533*4*'Rate Card'!$B$47,100)</f>
        <v>600</v>
      </c>
      <c r="L533" s="12" t="n">
        <f aca="false">MROUND(H533*120*'Rate Card'!$B$48,500)</f>
        <v>29500</v>
      </c>
      <c r="M533" s="12" t="n">
        <f aca="false">MROUND(I533*120*'Rate Card'!$B$48,500)</f>
        <v>17500</v>
      </c>
      <c r="N533" s="14" t="s">
        <v>364</v>
      </c>
      <c r="O533" s="46" t="n">
        <v>0.58</v>
      </c>
      <c r="P533" s="46" t="n">
        <v>1</v>
      </c>
    </row>
    <row r="534" customFormat="false" ht="54.75" hidden="false" customHeight="true" outlineLevel="0" collapsed="false">
      <c r="A534" s="9" t="n">
        <v>503</v>
      </c>
      <c r="B534" s="43" t="s">
        <v>145</v>
      </c>
      <c r="C534" s="43" t="s">
        <v>476</v>
      </c>
      <c r="D534" s="44"/>
      <c r="E534" s="43" t="s">
        <v>472</v>
      </c>
      <c r="F534" s="45" t="s">
        <v>1368</v>
      </c>
      <c r="G534" s="45" t="s">
        <v>1369</v>
      </c>
      <c r="H534" s="12" t="n">
        <f aca="false">MROUND('Rate Card'!$I$31*O534*P534,10)</f>
        <v>290</v>
      </c>
      <c r="I534" s="12" t="n">
        <f aca="false">MROUND('Rate Card'!$K$31*O534*P534,10)</f>
        <v>170</v>
      </c>
      <c r="J534" s="12" t="n">
        <f aca="false">MROUND(H534*4*'Rate Card'!$B$47,100)</f>
        <v>1100</v>
      </c>
      <c r="K534" s="12" t="n">
        <f aca="false">MROUND(I534*4*'Rate Card'!$B$47,100)</f>
        <v>600</v>
      </c>
      <c r="L534" s="12" t="n">
        <f aca="false">MROUND(H534*120*'Rate Card'!$B$48,500)</f>
        <v>29500</v>
      </c>
      <c r="M534" s="12" t="n">
        <f aca="false">MROUND(I534*120*'Rate Card'!$B$48,500)</f>
        <v>17500</v>
      </c>
      <c r="N534" s="14" t="s">
        <v>364</v>
      </c>
      <c r="O534" s="46" t="n">
        <v>0.58</v>
      </c>
      <c r="P534" s="46" t="n">
        <v>1</v>
      </c>
    </row>
    <row r="535" customFormat="false" ht="15" hidden="false" customHeight="true" outlineLevel="0" collapsed="false">
      <c r="A535" s="9" t="n">
        <v>504</v>
      </c>
      <c r="B535" s="43" t="s">
        <v>145</v>
      </c>
      <c r="C535" s="43" t="s">
        <v>1370</v>
      </c>
      <c r="D535" s="44" t="s">
        <v>1371</v>
      </c>
      <c r="E535" s="43" t="s">
        <v>472</v>
      </c>
      <c r="F535" s="45" t="s">
        <v>472</v>
      </c>
      <c r="G535" s="45" t="s">
        <v>1372</v>
      </c>
      <c r="H535" s="12" t="n">
        <f aca="false">MROUND('Rate Card'!$I$31*O535*P535,10)</f>
        <v>290</v>
      </c>
      <c r="I535" s="12" t="n">
        <f aca="false">MROUND('Rate Card'!$K$31*O535*P535,10)</f>
        <v>170</v>
      </c>
      <c r="J535" s="12" t="n">
        <f aca="false">MROUND(H535*4*'Rate Card'!$B$47,100)</f>
        <v>1100</v>
      </c>
      <c r="K535" s="12" t="n">
        <f aca="false">MROUND(I535*4*'Rate Card'!$B$47,100)</f>
        <v>600</v>
      </c>
      <c r="L535" s="12" t="n">
        <f aca="false">MROUND(H535*120*'Rate Card'!$B$48,500)</f>
        <v>29500</v>
      </c>
      <c r="M535" s="12" t="n">
        <f aca="false">MROUND(I535*120*'Rate Card'!$B$48,500)</f>
        <v>17500</v>
      </c>
      <c r="N535" s="14" t="s">
        <v>486</v>
      </c>
      <c r="O535" s="46" t="n">
        <v>0.58</v>
      </c>
      <c r="P535" s="46" t="n">
        <v>1</v>
      </c>
    </row>
    <row r="536" customFormat="false" ht="41.25" hidden="false" customHeight="true" outlineLevel="0" collapsed="false">
      <c r="A536" s="9" t="n">
        <v>505</v>
      </c>
      <c r="B536" s="43" t="s">
        <v>145</v>
      </c>
      <c r="C536" s="43" t="s">
        <v>1327</v>
      </c>
      <c r="D536" s="44"/>
      <c r="E536" s="43" t="s">
        <v>472</v>
      </c>
      <c r="F536" s="45" t="s">
        <v>1373</v>
      </c>
      <c r="G536" s="45" t="s">
        <v>1374</v>
      </c>
      <c r="H536" s="12" t="n">
        <f aca="false">MROUND('Rate Card'!$I$31*O536*P536,10)</f>
        <v>290</v>
      </c>
      <c r="I536" s="12" t="n">
        <f aca="false">MROUND('Rate Card'!$K$31*O536*P536,10)</f>
        <v>170</v>
      </c>
      <c r="J536" s="12" t="n">
        <f aca="false">MROUND(H536*4*'Rate Card'!$B$47,100)</f>
        <v>1100</v>
      </c>
      <c r="K536" s="12" t="n">
        <f aca="false">MROUND(I536*4*'Rate Card'!$B$47,100)</f>
        <v>600</v>
      </c>
      <c r="L536" s="12" t="n">
        <f aca="false">MROUND(H536*120*'Rate Card'!$B$48,500)</f>
        <v>29500</v>
      </c>
      <c r="M536" s="12" t="n">
        <f aca="false">MROUND(I536*120*'Rate Card'!$B$48,500)</f>
        <v>17500</v>
      </c>
      <c r="N536" s="14" t="s">
        <v>364</v>
      </c>
      <c r="O536" s="46" t="n">
        <v>0.58</v>
      </c>
      <c r="P536" s="46" t="n">
        <v>1</v>
      </c>
    </row>
    <row r="537" customFormat="false" ht="15" hidden="false" customHeight="true" outlineLevel="0" collapsed="false">
      <c r="A537" s="42" t="s">
        <v>1375</v>
      </c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</row>
    <row r="538" customFormat="false" ht="15" hidden="false" customHeight="true" outlineLevel="0" collapsed="false">
      <c r="A538" s="9" t="n">
        <v>506</v>
      </c>
      <c r="B538" s="43" t="s">
        <v>147</v>
      </c>
      <c r="C538" s="43" t="s">
        <v>1099</v>
      </c>
      <c r="D538" s="44" t="s">
        <v>1376</v>
      </c>
      <c r="E538" s="43" t="s">
        <v>1375</v>
      </c>
      <c r="F538" s="45" t="s">
        <v>397</v>
      </c>
      <c r="G538" s="45" t="s">
        <v>1244</v>
      </c>
      <c r="H538" s="12" t="n">
        <f aca="false">MROUND('Rate Card'!$I$32*O538*P538,10)</f>
        <v>1610</v>
      </c>
      <c r="I538" s="12" t="n">
        <f aca="false">MROUND('Rate Card'!$K$32*O538*P538,10)</f>
        <v>870</v>
      </c>
      <c r="J538" s="12" t="n">
        <f aca="false">MROUND(H538*4*'Rate Card'!$B$47,100)</f>
        <v>6100</v>
      </c>
      <c r="K538" s="12" t="n">
        <f aca="false">MROUND(I538*4*'Rate Card'!$B$47,100)</f>
        <v>3300</v>
      </c>
      <c r="L538" s="12" t="n">
        <f aca="false">MROUND(H538*120*'Rate Card'!$B$48,500)</f>
        <v>164000</v>
      </c>
      <c r="M538" s="12" t="n">
        <f aca="false">MROUND(I538*120*'Rate Card'!$B$48,500)</f>
        <v>88500</v>
      </c>
      <c r="N538" s="14"/>
      <c r="O538" s="46" t="n">
        <v>0.92</v>
      </c>
      <c r="P538" s="46" t="n">
        <v>1</v>
      </c>
    </row>
    <row r="539" customFormat="false" ht="15" hidden="false" customHeight="true" outlineLevel="0" collapsed="false">
      <c r="A539" s="9" t="n">
        <v>507</v>
      </c>
      <c r="B539" s="43" t="s">
        <v>147</v>
      </c>
      <c r="C539" s="43" t="s">
        <v>1099</v>
      </c>
      <c r="D539" s="44" t="s">
        <v>1377</v>
      </c>
      <c r="E539" s="43" t="s">
        <v>1375</v>
      </c>
      <c r="F539" s="45" t="s">
        <v>397</v>
      </c>
      <c r="G539" s="45" t="s">
        <v>1242</v>
      </c>
      <c r="H539" s="12" t="n">
        <f aca="false">MROUND('Rate Card'!$I$32*O539*P539,10)</f>
        <v>1610</v>
      </c>
      <c r="I539" s="12" t="n">
        <f aca="false">MROUND('Rate Card'!$K$32*O539*P539,10)</f>
        <v>870</v>
      </c>
      <c r="J539" s="12" t="n">
        <f aca="false">MROUND(H539*4*'Rate Card'!$B$47,100)</f>
        <v>6100</v>
      </c>
      <c r="K539" s="12" t="n">
        <f aca="false">MROUND(I539*4*'Rate Card'!$B$47,100)</f>
        <v>3300</v>
      </c>
      <c r="L539" s="12" t="n">
        <f aca="false">MROUND(H539*120*'Rate Card'!$B$48,500)</f>
        <v>164000</v>
      </c>
      <c r="M539" s="12" t="n">
        <f aca="false">MROUND(I539*120*'Rate Card'!$B$48,500)</f>
        <v>88500</v>
      </c>
      <c r="N539" s="14"/>
      <c r="O539" s="46" t="n">
        <v>0.92</v>
      </c>
      <c r="P539" s="46" t="n">
        <v>1</v>
      </c>
    </row>
    <row r="540" customFormat="false" ht="15" hidden="false" customHeight="true" outlineLevel="0" collapsed="false">
      <c r="A540" s="9" t="n">
        <v>508</v>
      </c>
      <c r="B540" s="43" t="s">
        <v>147</v>
      </c>
      <c r="C540" s="43" t="s">
        <v>1102</v>
      </c>
      <c r="D540" s="44" t="s">
        <v>1378</v>
      </c>
      <c r="E540" s="43" t="s">
        <v>1375</v>
      </c>
      <c r="F540" s="45" t="s">
        <v>397</v>
      </c>
      <c r="G540" s="45"/>
      <c r="H540" s="12" t="n">
        <f aca="false">MROUND('Rate Card'!$I$32*O540*P540,10)</f>
        <v>1610</v>
      </c>
      <c r="I540" s="12" t="n">
        <f aca="false">MROUND('Rate Card'!$K$32*O540*P540,10)</f>
        <v>870</v>
      </c>
      <c r="J540" s="12" t="n">
        <f aca="false">MROUND(H540*4*'Rate Card'!$B$47,100)</f>
        <v>6100</v>
      </c>
      <c r="K540" s="12" t="n">
        <f aca="false">MROUND(I540*4*'Rate Card'!$B$47,100)</f>
        <v>3300</v>
      </c>
      <c r="L540" s="12" t="n">
        <f aca="false">MROUND(H540*120*'Rate Card'!$B$48,500)</f>
        <v>164000</v>
      </c>
      <c r="M540" s="12" t="n">
        <f aca="false">MROUND(I540*120*'Rate Card'!$B$48,500)</f>
        <v>88500</v>
      </c>
      <c r="N540" s="14"/>
      <c r="O540" s="46" t="n">
        <v>0.92</v>
      </c>
      <c r="P540" s="46" t="n">
        <v>1</v>
      </c>
    </row>
    <row r="541" customFormat="false" ht="15" hidden="false" customHeight="true" outlineLevel="0" collapsed="false">
      <c r="A541" s="9" t="n">
        <v>509</v>
      </c>
      <c r="B541" s="43" t="s">
        <v>147</v>
      </c>
      <c r="C541" s="43" t="s">
        <v>1379</v>
      </c>
      <c r="D541" s="44" t="s">
        <v>1380</v>
      </c>
      <c r="E541" s="43" t="s">
        <v>1375</v>
      </c>
      <c r="F541" s="45" t="s">
        <v>397</v>
      </c>
      <c r="G541" s="45" t="s">
        <v>1238</v>
      </c>
      <c r="H541" s="12" t="n">
        <f aca="false">MROUND('Rate Card'!$I$32*O541*P541,10)</f>
        <v>1610</v>
      </c>
      <c r="I541" s="12" t="n">
        <f aca="false">MROUND('Rate Card'!$K$32*O541*P541,10)</f>
        <v>870</v>
      </c>
      <c r="J541" s="12" t="n">
        <f aca="false">MROUND(H541*4*'Rate Card'!$B$47,100)</f>
        <v>6100</v>
      </c>
      <c r="K541" s="12" t="n">
        <f aca="false">MROUND(I541*4*'Rate Card'!$B$47,100)</f>
        <v>3300</v>
      </c>
      <c r="L541" s="12" t="n">
        <f aca="false">MROUND(H541*120*'Rate Card'!$B$48,500)</f>
        <v>164000</v>
      </c>
      <c r="M541" s="12" t="n">
        <f aca="false">MROUND(I541*120*'Rate Card'!$B$48,500)</f>
        <v>88500</v>
      </c>
      <c r="N541" s="14"/>
      <c r="O541" s="46" t="n">
        <v>0.92</v>
      </c>
      <c r="P541" s="46" t="n">
        <v>1</v>
      </c>
    </row>
    <row r="542" customFormat="false" ht="15" hidden="false" customHeight="true" outlineLevel="0" collapsed="false">
      <c r="A542" s="9" t="n">
        <v>510</v>
      </c>
      <c r="B542" s="43" t="s">
        <v>147</v>
      </c>
      <c r="C542" s="43" t="s">
        <v>1379</v>
      </c>
      <c r="D542" s="44" t="s">
        <v>1381</v>
      </c>
      <c r="E542" s="43" t="s">
        <v>1375</v>
      </c>
      <c r="F542" s="45" t="s">
        <v>472</v>
      </c>
      <c r="G542" s="45"/>
      <c r="H542" s="12" t="n">
        <f aca="false">MROUND('Rate Card'!$I$32*O542*P542,10)</f>
        <v>1020</v>
      </c>
      <c r="I542" s="12" t="n">
        <f aca="false">MROUND('Rate Card'!$K$32*O542*P542,10)</f>
        <v>550</v>
      </c>
      <c r="J542" s="12" t="n">
        <f aca="false">MROUND(H542*4*'Rate Card'!$B$47,100)</f>
        <v>3900</v>
      </c>
      <c r="K542" s="12" t="n">
        <f aca="false">MROUND(I542*4*'Rate Card'!$B$47,100)</f>
        <v>2100</v>
      </c>
      <c r="L542" s="12" t="n">
        <f aca="false">MROUND(H542*120*'Rate Card'!$B$48,500)</f>
        <v>104000</v>
      </c>
      <c r="M542" s="12" t="n">
        <f aca="false">MROUND(I542*120*'Rate Card'!$B$48,500)</f>
        <v>56000</v>
      </c>
      <c r="N542" s="14" t="s">
        <v>486</v>
      </c>
      <c r="O542" s="46" t="n">
        <v>0.58</v>
      </c>
      <c r="P542" s="46" t="n">
        <v>1</v>
      </c>
    </row>
    <row r="543" customFormat="false" ht="15" hidden="false" customHeight="true" outlineLevel="0" collapsed="false">
      <c r="A543" s="9" t="n">
        <v>511</v>
      </c>
      <c r="B543" s="43" t="s">
        <v>147</v>
      </c>
      <c r="C543" s="43" t="s">
        <v>1379</v>
      </c>
      <c r="D543" s="44" t="s">
        <v>1382</v>
      </c>
      <c r="E543" s="43" t="s">
        <v>1375</v>
      </c>
      <c r="F543" s="45" t="s">
        <v>472</v>
      </c>
      <c r="G543" s="45"/>
      <c r="H543" s="12" t="n">
        <f aca="false">MROUND('Rate Card'!$I$32*O543*P543,10)</f>
        <v>1020</v>
      </c>
      <c r="I543" s="12" t="n">
        <f aca="false">MROUND('Rate Card'!$K$32*O543*P543,10)</f>
        <v>550</v>
      </c>
      <c r="J543" s="12" t="n">
        <f aca="false">MROUND(H543*4*'Rate Card'!$B$47,100)</f>
        <v>3900</v>
      </c>
      <c r="K543" s="12" t="n">
        <f aca="false">MROUND(I543*4*'Rate Card'!$B$47,100)</f>
        <v>2100</v>
      </c>
      <c r="L543" s="12" t="n">
        <f aca="false">MROUND(H543*120*'Rate Card'!$B$48,500)</f>
        <v>104000</v>
      </c>
      <c r="M543" s="12" t="n">
        <f aca="false">MROUND(I543*120*'Rate Card'!$B$48,500)</f>
        <v>56000</v>
      </c>
      <c r="N543" s="14" t="s">
        <v>486</v>
      </c>
      <c r="O543" s="46" t="n">
        <v>0.58</v>
      </c>
      <c r="P543" s="46" t="n">
        <v>1</v>
      </c>
    </row>
    <row r="544" customFormat="false" ht="15" hidden="false" customHeight="true" outlineLevel="0" collapsed="false">
      <c r="A544" s="9" t="n">
        <v>512</v>
      </c>
      <c r="B544" s="43" t="s">
        <v>147</v>
      </c>
      <c r="C544" s="43" t="s">
        <v>1379</v>
      </c>
      <c r="D544" s="44" t="s">
        <v>1383</v>
      </c>
      <c r="E544" s="43" t="s">
        <v>1375</v>
      </c>
      <c r="F544" s="45" t="s">
        <v>472</v>
      </c>
      <c r="G544" s="45"/>
      <c r="H544" s="12" t="n">
        <f aca="false">MROUND('Rate Card'!$I$32*O544*P544,10)</f>
        <v>1020</v>
      </c>
      <c r="I544" s="12" t="n">
        <f aca="false">MROUND('Rate Card'!$K$32*O544*P544,10)</f>
        <v>550</v>
      </c>
      <c r="J544" s="12" t="n">
        <f aca="false">MROUND(H544*4*'Rate Card'!$B$47,100)</f>
        <v>3900</v>
      </c>
      <c r="K544" s="12" t="n">
        <f aca="false">MROUND(I544*4*'Rate Card'!$B$47,100)</f>
        <v>2100</v>
      </c>
      <c r="L544" s="12" t="n">
        <f aca="false">MROUND(H544*120*'Rate Card'!$B$48,500)</f>
        <v>104000</v>
      </c>
      <c r="M544" s="12" t="n">
        <f aca="false">MROUND(I544*120*'Rate Card'!$B$48,500)</f>
        <v>56000</v>
      </c>
      <c r="N544" s="14" t="s">
        <v>486</v>
      </c>
      <c r="O544" s="46" t="n">
        <v>0.58</v>
      </c>
      <c r="P544" s="46" t="n">
        <v>1</v>
      </c>
    </row>
    <row r="545" customFormat="false" ht="15" hidden="false" customHeight="true" outlineLevel="0" collapsed="false">
      <c r="A545" s="9" t="n">
        <v>513</v>
      </c>
      <c r="B545" s="43" t="s">
        <v>147</v>
      </c>
      <c r="C545" s="43" t="s">
        <v>1379</v>
      </c>
      <c r="D545" s="44" t="s">
        <v>1384</v>
      </c>
      <c r="E545" s="43" t="s">
        <v>1375</v>
      </c>
      <c r="F545" s="45" t="s">
        <v>472</v>
      </c>
      <c r="G545" s="45"/>
      <c r="H545" s="12" t="n">
        <f aca="false">MROUND('Rate Card'!$I$32*O545*P545,10)</f>
        <v>1020</v>
      </c>
      <c r="I545" s="12" t="n">
        <f aca="false">MROUND('Rate Card'!$K$32*O545*P545,10)</f>
        <v>550</v>
      </c>
      <c r="J545" s="12" t="n">
        <f aca="false">MROUND(H545*4*'Rate Card'!$B$47,100)</f>
        <v>3900</v>
      </c>
      <c r="K545" s="12" t="n">
        <f aca="false">MROUND(I545*4*'Rate Card'!$B$47,100)</f>
        <v>2100</v>
      </c>
      <c r="L545" s="12" t="n">
        <f aca="false">MROUND(H545*120*'Rate Card'!$B$48,500)</f>
        <v>104000</v>
      </c>
      <c r="M545" s="12" t="n">
        <f aca="false">MROUND(I545*120*'Rate Card'!$B$48,500)</f>
        <v>56000</v>
      </c>
      <c r="N545" s="14" t="s">
        <v>486</v>
      </c>
      <c r="O545" s="46" t="n">
        <v>0.58</v>
      </c>
      <c r="P545" s="46" t="n">
        <v>1</v>
      </c>
    </row>
    <row r="546" customFormat="false" ht="15" hidden="false" customHeight="true" outlineLevel="0" collapsed="false">
      <c r="A546" s="9" t="n">
        <v>514</v>
      </c>
      <c r="B546" s="43" t="s">
        <v>147</v>
      </c>
      <c r="C546" s="43" t="s">
        <v>1379</v>
      </c>
      <c r="D546" s="44" t="s">
        <v>1385</v>
      </c>
      <c r="E546" s="43" t="s">
        <v>1375</v>
      </c>
      <c r="F546" s="45" t="s">
        <v>472</v>
      </c>
      <c r="G546" s="45"/>
      <c r="H546" s="12" t="n">
        <f aca="false">MROUND('Rate Card'!$I$32*O546*P546,10)</f>
        <v>1020</v>
      </c>
      <c r="I546" s="12" t="n">
        <f aca="false">MROUND('Rate Card'!$K$32*O546*P546,10)</f>
        <v>550</v>
      </c>
      <c r="J546" s="12" t="n">
        <f aca="false">MROUND(H546*4*'Rate Card'!$B$47,100)</f>
        <v>3900</v>
      </c>
      <c r="K546" s="12" t="n">
        <f aca="false">MROUND(I546*4*'Rate Card'!$B$47,100)</f>
        <v>2100</v>
      </c>
      <c r="L546" s="12" t="n">
        <f aca="false">MROUND(H546*120*'Rate Card'!$B$48,500)</f>
        <v>104000</v>
      </c>
      <c r="M546" s="12" t="n">
        <f aca="false">MROUND(I546*120*'Rate Card'!$B$48,500)</f>
        <v>56000</v>
      </c>
      <c r="N546" s="14" t="s">
        <v>486</v>
      </c>
      <c r="O546" s="46" t="n">
        <v>0.58</v>
      </c>
      <c r="P546" s="46" t="n">
        <v>1</v>
      </c>
    </row>
    <row r="547" customFormat="false" ht="15" hidden="false" customHeight="true" outlineLevel="0" collapsed="false">
      <c r="A547" s="9" t="n">
        <v>515</v>
      </c>
      <c r="B547" s="43" t="s">
        <v>147</v>
      </c>
      <c r="C547" s="43" t="s">
        <v>1379</v>
      </c>
      <c r="D547" s="44" t="s">
        <v>1386</v>
      </c>
      <c r="E547" s="43" t="s">
        <v>1375</v>
      </c>
      <c r="F547" s="45" t="s">
        <v>472</v>
      </c>
      <c r="G547" s="45"/>
      <c r="H547" s="12" t="n">
        <f aca="false">MROUND('Rate Card'!$I$32*O547*P547,10)</f>
        <v>1020</v>
      </c>
      <c r="I547" s="12" t="n">
        <f aca="false">MROUND('Rate Card'!$K$32*O547*P547,10)</f>
        <v>550</v>
      </c>
      <c r="J547" s="12" t="n">
        <f aca="false">MROUND(H547*4*'Rate Card'!$B$47,100)</f>
        <v>3900</v>
      </c>
      <c r="K547" s="12" t="n">
        <f aca="false">MROUND(I547*4*'Rate Card'!$B$47,100)</f>
        <v>2100</v>
      </c>
      <c r="L547" s="12" t="n">
        <f aca="false">MROUND(H547*120*'Rate Card'!$B$48,500)</f>
        <v>104000</v>
      </c>
      <c r="M547" s="12" t="n">
        <f aca="false">MROUND(I547*120*'Rate Card'!$B$48,500)</f>
        <v>56000</v>
      </c>
      <c r="N547" s="14" t="s">
        <v>486</v>
      </c>
      <c r="O547" s="46" t="n">
        <v>0.58</v>
      </c>
      <c r="P547" s="46" t="n">
        <v>1</v>
      </c>
    </row>
    <row r="548" customFormat="false" ht="15" hidden="false" customHeight="true" outlineLevel="0" collapsed="false">
      <c r="A548" s="42" t="s">
        <v>1387</v>
      </c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</row>
    <row r="549" customFormat="false" ht="27.75" hidden="false" customHeight="true" outlineLevel="0" collapsed="false">
      <c r="A549" s="9" t="n">
        <v>516</v>
      </c>
      <c r="B549" s="43" t="s">
        <v>149</v>
      </c>
      <c r="C549" s="43" t="s">
        <v>1388</v>
      </c>
      <c r="D549" s="44" t="s">
        <v>1389</v>
      </c>
      <c r="E549" s="43" t="s">
        <v>472</v>
      </c>
      <c r="F549" s="45" t="s">
        <v>472</v>
      </c>
      <c r="G549" s="45"/>
      <c r="H549" s="12" t="n">
        <f aca="false">MROUND('Rate Card'!$I$33*O549*P549,10)</f>
        <v>1770</v>
      </c>
      <c r="I549" s="12" t="n">
        <f aca="false">MROUND('Rate Card'!$K$33*O549*P549,10)</f>
        <v>900</v>
      </c>
      <c r="J549" s="12" t="n">
        <f aca="false">MROUND(H549*4*'Rate Card'!$B$47,100)</f>
        <v>6700</v>
      </c>
      <c r="K549" s="12" t="n">
        <f aca="false">MROUND(I549*4*'Rate Card'!$B$47,100)</f>
        <v>3400</v>
      </c>
      <c r="L549" s="12" t="n">
        <f aca="false">MROUND(H549*120*'Rate Card'!$B$48,500)</f>
        <v>180500</v>
      </c>
      <c r="M549" s="12" t="n">
        <f aca="false">MROUND(I549*120*'Rate Card'!$B$48,500)</f>
        <v>92000</v>
      </c>
      <c r="N549" s="14" t="s">
        <v>486</v>
      </c>
      <c r="O549" s="46" t="n">
        <v>0.58</v>
      </c>
      <c r="P549" s="46" t="n">
        <v>1</v>
      </c>
    </row>
    <row r="550" customFormat="false" ht="15" hidden="false" customHeight="true" outlineLevel="0" collapsed="false">
      <c r="A550" s="9" t="n">
        <v>517</v>
      </c>
      <c r="B550" s="43" t="s">
        <v>149</v>
      </c>
      <c r="C550" s="43" t="s">
        <v>1390</v>
      </c>
      <c r="D550" s="44" t="s">
        <v>1391</v>
      </c>
      <c r="E550" s="43" t="s">
        <v>472</v>
      </c>
      <c r="F550" s="45" t="s">
        <v>472</v>
      </c>
      <c r="G550" s="45"/>
      <c r="H550" s="12" t="n">
        <f aca="false">MROUND('Rate Card'!$I$33*O550*P550,10)</f>
        <v>1770</v>
      </c>
      <c r="I550" s="12" t="n">
        <f aca="false">MROUND('Rate Card'!$K$33*O550*P550,10)</f>
        <v>900</v>
      </c>
      <c r="J550" s="12" t="n">
        <f aca="false">MROUND(H550*4*'Rate Card'!$B$47,100)</f>
        <v>6700</v>
      </c>
      <c r="K550" s="12" t="n">
        <f aca="false">MROUND(I550*4*'Rate Card'!$B$47,100)</f>
        <v>3400</v>
      </c>
      <c r="L550" s="12" t="n">
        <f aca="false">MROUND(H550*120*'Rate Card'!$B$48,500)</f>
        <v>180500</v>
      </c>
      <c r="M550" s="12" t="n">
        <f aca="false">MROUND(I550*120*'Rate Card'!$B$48,500)</f>
        <v>92000</v>
      </c>
      <c r="N550" s="14" t="s">
        <v>486</v>
      </c>
      <c r="O550" s="46" t="n">
        <v>0.58</v>
      </c>
      <c r="P550" s="46" t="n">
        <v>1</v>
      </c>
    </row>
    <row r="551" customFormat="false" ht="15" hidden="false" customHeight="true" outlineLevel="0" collapsed="false">
      <c r="A551" s="9" t="n">
        <v>518</v>
      </c>
      <c r="B551" s="43" t="s">
        <v>149</v>
      </c>
      <c r="C551" s="43" t="s">
        <v>1390</v>
      </c>
      <c r="D551" s="44" t="s">
        <v>1392</v>
      </c>
      <c r="E551" s="43" t="s">
        <v>472</v>
      </c>
      <c r="F551" s="45" t="s">
        <v>472</v>
      </c>
      <c r="G551" s="45"/>
      <c r="H551" s="12" t="n">
        <f aca="false">MROUND('Rate Card'!$I$33*O551*P551,10)</f>
        <v>1770</v>
      </c>
      <c r="I551" s="12" t="n">
        <f aca="false">MROUND('Rate Card'!$K$33*O551*P551,10)</f>
        <v>900</v>
      </c>
      <c r="J551" s="12" t="n">
        <f aca="false">MROUND(H551*4*'Rate Card'!$B$47,100)</f>
        <v>6700</v>
      </c>
      <c r="K551" s="12" t="n">
        <f aca="false">MROUND(I551*4*'Rate Card'!$B$47,100)</f>
        <v>3400</v>
      </c>
      <c r="L551" s="12" t="n">
        <f aca="false">MROUND(H551*120*'Rate Card'!$B$48,500)</f>
        <v>180500</v>
      </c>
      <c r="M551" s="12" t="n">
        <f aca="false">MROUND(I551*120*'Rate Card'!$B$48,500)</f>
        <v>92000</v>
      </c>
      <c r="N551" s="14" t="s">
        <v>486</v>
      </c>
      <c r="O551" s="46" t="n">
        <v>0.58</v>
      </c>
      <c r="P551" s="46" t="n">
        <v>1</v>
      </c>
    </row>
  </sheetData>
  <mergeCells count="31">
    <mergeCell ref="A1:N1"/>
    <mergeCell ref="A2:N2"/>
    <mergeCell ref="A5:N5"/>
    <mergeCell ref="A30:N30"/>
    <mergeCell ref="A40:N40"/>
    <mergeCell ref="A57:N57"/>
    <mergeCell ref="A61:N61"/>
    <mergeCell ref="A81:N81"/>
    <mergeCell ref="A154:N154"/>
    <mergeCell ref="A165:N165"/>
    <mergeCell ref="A182:N182"/>
    <mergeCell ref="A208:N208"/>
    <mergeCell ref="A220:N220"/>
    <mergeCell ref="A225:N225"/>
    <mergeCell ref="A228:N228"/>
    <mergeCell ref="A233:N233"/>
    <mergeCell ref="A242:N242"/>
    <mergeCell ref="A245:N245"/>
    <mergeCell ref="A271:N271"/>
    <mergeCell ref="A275:N275"/>
    <mergeCell ref="A287:N287"/>
    <mergeCell ref="A301:N301"/>
    <mergeCell ref="A390:N390"/>
    <mergeCell ref="A397:N397"/>
    <mergeCell ref="A401:N401"/>
    <mergeCell ref="A408:N408"/>
    <mergeCell ref="A450:N450"/>
    <mergeCell ref="A470:N470"/>
    <mergeCell ref="A483:N483"/>
    <mergeCell ref="A537:N537"/>
    <mergeCell ref="A548:N5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1393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7" t="s">
        <v>1394</v>
      </c>
      <c r="B2" s="7"/>
      <c r="C2" s="7"/>
      <c r="D2" s="7"/>
      <c r="E2" s="7"/>
      <c r="F2" s="7"/>
    </row>
    <row r="4" customFormat="false" ht="15" hidden="false" customHeight="true" outlineLevel="0" collapsed="false">
      <c r="A4" s="8" t="s">
        <v>78</v>
      </c>
      <c r="B4" s="8" t="s">
        <v>1395</v>
      </c>
      <c r="C4" s="8" t="s">
        <v>1396</v>
      </c>
      <c r="D4" s="8" t="s">
        <v>1397</v>
      </c>
      <c r="E4" s="8" t="s">
        <v>1398</v>
      </c>
      <c r="F4" s="8" t="s">
        <v>1399</v>
      </c>
    </row>
    <row r="5" customFormat="false" ht="15" hidden="false" customHeight="true" outlineLevel="0" collapsed="false">
      <c r="A5" s="47" t="s">
        <v>92</v>
      </c>
      <c r="B5" s="47" t="s">
        <v>1400</v>
      </c>
      <c r="C5" s="48" t="s">
        <v>1401</v>
      </c>
      <c r="D5" s="48" t="s">
        <v>1402</v>
      </c>
      <c r="E5" s="47" t="s">
        <v>1403</v>
      </c>
      <c r="F5" s="47" t="s">
        <v>1404</v>
      </c>
    </row>
    <row r="6" customFormat="false" ht="15" hidden="false" customHeight="true" outlineLevel="0" collapsed="false">
      <c r="A6" s="47" t="s">
        <v>92</v>
      </c>
      <c r="B6" s="47" t="s">
        <v>1405</v>
      </c>
      <c r="C6" s="48" t="s">
        <v>1406</v>
      </c>
      <c r="D6" s="48" t="s">
        <v>1407</v>
      </c>
      <c r="E6" s="47" t="s">
        <v>1408</v>
      </c>
      <c r="F6" s="47" t="s">
        <v>1409</v>
      </c>
    </row>
    <row r="7" customFormat="false" ht="15" hidden="false" customHeight="true" outlineLevel="0" collapsed="false">
      <c r="A7" s="47" t="s">
        <v>92</v>
      </c>
      <c r="B7" s="47" t="s">
        <v>1410</v>
      </c>
      <c r="C7" s="48" t="s">
        <v>1411</v>
      </c>
      <c r="D7" s="48" t="s">
        <v>1412</v>
      </c>
      <c r="E7" s="47" t="s">
        <v>1413</v>
      </c>
      <c r="F7" s="47" t="s">
        <v>1414</v>
      </c>
    </row>
    <row r="8" customFormat="false" ht="15" hidden="false" customHeight="true" outlineLevel="0" collapsed="false">
      <c r="A8" s="47" t="s">
        <v>92</v>
      </c>
      <c r="B8" s="47" t="s">
        <v>1415</v>
      </c>
      <c r="C8" s="48" t="s">
        <v>1416</v>
      </c>
      <c r="D8" s="48" t="s">
        <v>1417</v>
      </c>
      <c r="E8" s="47" t="s">
        <v>1418</v>
      </c>
      <c r="F8" s="47" t="s">
        <v>1419</v>
      </c>
    </row>
    <row r="9" customFormat="false" ht="15" hidden="false" customHeight="true" outlineLevel="0" collapsed="false">
      <c r="A9" s="47" t="s">
        <v>95</v>
      </c>
      <c r="B9" s="47" t="s">
        <v>1420</v>
      </c>
      <c r="C9" s="48" t="s">
        <v>1421</v>
      </c>
      <c r="D9" s="48" t="s">
        <v>1422</v>
      </c>
      <c r="E9" s="47" t="s">
        <v>1423</v>
      </c>
      <c r="F9" s="47" t="s">
        <v>1424</v>
      </c>
    </row>
    <row r="10" customFormat="false" ht="15" hidden="false" customHeight="true" outlineLevel="0" collapsed="false">
      <c r="A10" s="47" t="s">
        <v>95</v>
      </c>
      <c r="B10" s="47" t="s">
        <v>1425</v>
      </c>
      <c r="C10" s="48" t="s">
        <v>1426</v>
      </c>
      <c r="D10" s="48" t="s">
        <v>1427</v>
      </c>
      <c r="E10" s="47" t="s">
        <v>1428</v>
      </c>
      <c r="F10" s="47" t="s">
        <v>1429</v>
      </c>
    </row>
    <row r="11" customFormat="false" ht="15" hidden="false" customHeight="true" outlineLevel="0" collapsed="false">
      <c r="A11" s="47" t="s">
        <v>97</v>
      </c>
      <c r="B11" s="47" t="s">
        <v>1430</v>
      </c>
      <c r="C11" s="48" t="s">
        <v>1417</v>
      </c>
      <c r="D11" s="48" t="s">
        <v>1431</v>
      </c>
      <c r="E11" s="47" t="s">
        <v>1432</v>
      </c>
      <c r="F11" s="47" t="s">
        <v>1433</v>
      </c>
    </row>
    <row r="12" customFormat="false" ht="15" hidden="false" customHeight="true" outlineLevel="0" collapsed="false">
      <c r="A12" s="47" t="s">
        <v>97</v>
      </c>
      <c r="B12" s="47" t="s">
        <v>1434</v>
      </c>
      <c r="C12" s="48" t="s">
        <v>1435</v>
      </c>
      <c r="D12" s="48" t="s">
        <v>1436</v>
      </c>
      <c r="E12" s="47" t="s">
        <v>1437</v>
      </c>
      <c r="F12" s="47" t="s">
        <v>1438</v>
      </c>
    </row>
    <row r="13" customFormat="false" ht="15" hidden="false" customHeight="true" outlineLevel="0" collapsed="false">
      <c r="A13" s="47" t="s">
        <v>99</v>
      </c>
      <c r="B13" s="47" t="s">
        <v>1439</v>
      </c>
      <c r="C13" s="48" t="s">
        <v>1440</v>
      </c>
      <c r="D13" s="48" t="s">
        <v>1441</v>
      </c>
      <c r="E13" s="47" t="s">
        <v>1442</v>
      </c>
      <c r="F13" s="47" t="s">
        <v>1443</v>
      </c>
    </row>
    <row r="14" customFormat="false" ht="15" hidden="false" customHeight="true" outlineLevel="0" collapsed="false">
      <c r="A14" s="47" t="s">
        <v>99</v>
      </c>
      <c r="B14" s="47" t="s">
        <v>1444</v>
      </c>
      <c r="C14" s="48" t="s">
        <v>1445</v>
      </c>
      <c r="D14" s="48" t="s">
        <v>1446</v>
      </c>
      <c r="E14" s="47" t="s">
        <v>1447</v>
      </c>
      <c r="F14" s="47" t="s">
        <v>1448</v>
      </c>
    </row>
    <row r="15" customFormat="false" ht="15" hidden="false" customHeight="true" outlineLevel="0" collapsed="false">
      <c r="A15" s="47" t="s">
        <v>101</v>
      </c>
      <c r="B15" s="47" t="s">
        <v>1449</v>
      </c>
      <c r="C15" s="48" t="s">
        <v>1450</v>
      </c>
      <c r="D15" s="48" t="s">
        <v>1450</v>
      </c>
      <c r="E15" s="47" t="s">
        <v>1451</v>
      </c>
      <c r="F15" s="47" t="s">
        <v>1452</v>
      </c>
    </row>
    <row r="16" customFormat="false" ht="15" hidden="false" customHeight="true" outlineLevel="0" collapsed="false">
      <c r="A16" s="47" t="s">
        <v>101</v>
      </c>
      <c r="B16" s="47" t="s">
        <v>1453</v>
      </c>
      <c r="C16" s="48" t="s">
        <v>1454</v>
      </c>
      <c r="D16" s="48" t="s">
        <v>1455</v>
      </c>
      <c r="E16" s="47" t="s">
        <v>1456</v>
      </c>
      <c r="F16" s="47" t="s">
        <v>1457</v>
      </c>
    </row>
    <row r="17" customFormat="false" ht="15" hidden="false" customHeight="true" outlineLevel="0" collapsed="false">
      <c r="A17" s="47" t="s">
        <v>103</v>
      </c>
      <c r="B17" s="47" t="s">
        <v>1458</v>
      </c>
      <c r="C17" s="48" t="s">
        <v>1459</v>
      </c>
      <c r="D17" s="48" t="s">
        <v>1460</v>
      </c>
      <c r="E17" s="47" t="s">
        <v>1461</v>
      </c>
      <c r="F17" s="47" t="s">
        <v>1462</v>
      </c>
    </row>
    <row r="18" customFormat="false" ht="15" hidden="false" customHeight="true" outlineLevel="0" collapsed="false">
      <c r="A18" s="47" t="s">
        <v>105</v>
      </c>
      <c r="B18" s="47" t="s">
        <v>1434</v>
      </c>
      <c r="C18" s="48" t="s">
        <v>1463</v>
      </c>
      <c r="D18" s="48" t="s">
        <v>1464</v>
      </c>
      <c r="E18" s="47" t="s">
        <v>1465</v>
      </c>
      <c r="F18" s="47" t="s">
        <v>1438</v>
      </c>
    </row>
    <row r="19" customFormat="false" ht="15" hidden="false" customHeight="true" outlineLevel="0" collapsed="false">
      <c r="A19" s="47" t="s">
        <v>107</v>
      </c>
      <c r="B19" s="47" t="s">
        <v>1466</v>
      </c>
      <c r="C19" s="48" t="s">
        <v>1467</v>
      </c>
      <c r="D19" s="48" t="s">
        <v>1468</v>
      </c>
      <c r="E19" s="47" t="s">
        <v>1469</v>
      </c>
      <c r="F19" s="47" t="s">
        <v>1470</v>
      </c>
    </row>
    <row r="20" customFormat="false" ht="15" hidden="false" customHeight="true" outlineLevel="0" collapsed="false">
      <c r="A20" s="47" t="s">
        <v>107</v>
      </c>
      <c r="B20" s="47" t="s">
        <v>1471</v>
      </c>
      <c r="C20" s="48" t="s">
        <v>1416</v>
      </c>
      <c r="D20" s="48" t="s">
        <v>1417</v>
      </c>
      <c r="E20" s="47" t="s">
        <v>1472</v>
      </c>
      <c r="F20" s="47" t="s">
        <v>1473</v>
      </c>
    </row>
    <row r="21" customFormat="false" ht="15" hidden="false" customHeight="true" outlineLevel="0" collapsed="false">
      <c r="A21" s="47" t="s">
        <v>109</v>
      </c>
      <c r="B21" s="47" t="s">
        <v>1474</v>
      </c>
      <c r="C21" s="48" t="s">
        <v>1475</v>
      </c>
      <c r="D21" s="48" t="s">
        <v>1476</v>
      </c>
      <c r="E21" s="47" t="s">
        <v>1477</v>
      </c>
      <c r="F21" s="47" t="s">
        <v>1478</v>
      </c>
    </row>
    <row r="22" customFormat="false" ht="15" hidden="false" customHeight="true" outlineLevel="0" collapsed="false">
      <c r="A22" s="47" t="s">
        <v>109</v>
      </c>
      <c r="B22" s="47" t="s">
        <v>1479</v>
      </c>
      <c r="C22" s="48" t="s">
        <v>1480</v>
      </c>
      <c r="D22" s="48" t="s">
        <v>1481</v>
      </c>
      <c r="E22" s="47" t="s">
        <v>1482</v>
      </c>
      <c r="F22" s="47" t="s">
        <v>1438</v>
      </c>
    </row>
    <row r="23" customFormat="false" ht="15" hidden="false" customHeight="true" outlineLevel="0" collapsed="false">
      <c r="A23" s="47" t="s">
        <v>111</v>
      </c>
      <c r="B23" s="47" t="s">
        <v>1483</v>
      </c>
      <c r="C23" s="48" t="s">
        <v>1467</v>
      </c>
      <c r="D23" s="48" t="s">
        <v>1468</v>
      </c>
      <c r="E23" s="47" t="s">
        <v>1484</v>
      </c>
      <c r="F23" s="47" t="s">
        <v>1462</v>
      </c>
    </row>
    <row r="24" customFormat="false" ht="15" hidden="false" customHeight="true" outlineLevel="0" collapsed="false">
      <c r="A24" s="47" t="s">
        <v>115</v>
      </c>
      <c r="B24" s="47" t="s">
        <v>1485</v>
      </c>
      <c r="C24" s="48" t="s">
        <v>1486</v>
      </c>
      <c r="D24" s="48" t="s">
        <v>1487</v>
      </c>
      <c r="E24" s="47" t="s">
        <v>1488</v>
      </c>
      <c r="F24" s="47" t="s">
        <v>1489</v>
      </c>
    </row>
    <row r="25" customFormat="false" ht="15" hidden="false" customHeight="true" outlineLevel="0" collapsed="false">
      <c r="A25" s="47" t="s">
        <v>115</v>
      </c>
      <c r="B25" s="47" t="s">
        <v>1490</v>
      </c>
      <c r="C25" s="48" t="s">
        <v>1491</v>
      </c>
      <c r="D25" s="48" t="s">
        <v>1492</v>
      </c>
      <c r="E25" s="47" t="s">
        <v>1493</v>
      </c>
      <c r="F25" s="47" t="s">
        <v>1494</v>
      </c>
    </row>
    <row r="26" customFormat="false" ht="15" hidden="false" customHeight="true" outlineLevel="0" collapsed="false">
      <c r="A26" s="47" t="s">
        <v>115</v>
      </c>
      <c r="B26" s="47" t="s">
        <v>1495</v>
      </c>
      <c r="C26" s="48" t="s">
        <v>1416</v>
      </c>
      <c r="D26" s="48" t="s">
        <v>1417</v>
      </c>
      <c r="E26" s="47" t="s">
        <v>1496</v>
      </c>
      <c r="F26" s="47" t="s">
        <v>1497</v>
      </c>
    </row>
    <row r="27" customFormat="false" ht="15" hidden="false" customHeight="true" outlineLevel="0" collapsed="false">
      <c r="A27" s="47" t="s">
        <v>117</v>
      </c>
      <c r="B27" s="47" t="s">
        <v>1498</v>
      </c>
      <c r="C27" s="48" t="s">
        <v>1499</v>
      </c>
      <c r="D27" s="48" t="s">
        <v>1500</v>
      </c>
      <c r="E27" s="47" t="s">
        <v>1501</v>
      </c>
      <c r="F27" s="47" t="s">
        <v>1502</v>
      </c>
    </row>
    <row r="28" customFormat="false" ht="15" hidden="false" customHeight="true" outlineLevel="0" collapsed="false">
      <c r="A28" s="47" t="s">
        <v>117</v>
      </c>
      <c r="B28" s="47" t="s">
        <v>1503</v>
      </c>
      <c r="C28" s="48" t="s">
        <v>1416</v>
      </c>
      <c r="D28" s="48" t="s">
        <v>1417</v>
      </c>
      <c r="E28" s="47" t="s">
        <v>1504</v>
      </c>
      <c r="F28" s="47" t="s">
        <v>1505</v>
      </c>
    </row>
    <row r="29" customFormat="false" ht="15" hidden="false" customHeight="true" outlineLevel="0" collapsed="false">
      <c r="A29" s="47" t="s">
        <v>131</v>
      </c>
      <c r="B29" s="47" t="s">
        <v>1506</v>
      </c>
      <c r="C29" s="48" t="s">
        <v>1507</v>
      </c>
      <c r="D29" s="48" t="s">
        <v>1508</v>
      </c>
      <c r="E29" s="47" t="s">
        <v>1509</v>
      </c>
      <c r="F29" s="47" t="s">
        <v>1510</v>
      </c>
    </row>
    <row r="30" customFormat="false" ht="15" hidden="false" customHeight="true" outlineLevel="0" collapsed="false">
      <c r="A30" s="47" t="s">
        <v>131</v>
      </c>
      <c r="B30" s="47" t="s">
        <v>1511</v>
      </c>
      <c r="C30" s="48" t="s">
        <v>1512</v>
      </c>
      <c r="D30" s="48" t="s">
        <v>1512</v>
      </c>
      <c r="E30" s="47" t="s">
        <v>1513</v>
      </c>
      <c r="F30" s="47" t="s">
        <v>1514</v>
      </c>
    </row>
    <row r="31" customFormat="false" ht="15" hidden="false" customHeight="true" outlineLevel="0" collapsed="false">
      <c r="A31" s="47" t="s">
        <v>131</v>
      </c>
      <c r="B31" s="47" t="s">
        <v>1515</v>
      </c>
      <c r="C31" s="48" t="s">
        <v>1516</v>
      </c>
      <c r="D31" s="48" t="s">
        <v>1516</v>
      </c>
      <c r="E31" s="47" t="s">
        <v>1517</v>
      </c>
      <c r="F31" s="47" t="s">
        <v>1518</v>
      </c>
    </row>
    <row r="32" customFormat="false" ht="15" hidden="false" customHeight="true" outlineLevel="0" collapsed="false">
      <c r="A32" s="47" t="s">
        <v>141</v>
      </c>
      <c r="B32" s="47" t="s">
        <v>1519</v>
      </c>
      <c r="C32" s="48" t="s">
        <v>1520</v>
      </c>
      <c r="D32" s="48" t="s">
        <v>1520</v>
      </c>
      <c r="E32" s="47" t="s">
        <v>1521</v>
      </c>
      <c r="F32" s="47" t="s">
        <v>1404</v>
      </c>
    </row>
    <row r="33" customFormat="false" ht="15" hidden="false" customHeight="true" outlineLevel="0" collapsed="false">
      <c r="A33" s="47" t="s">
        <v>121</v>
      </c>
      <c r="B33" s="47" t="s">
        <v>1522</v>
      </c>
      <c r="C33" s="48" t="s">
        <v>1523</v>
      </c>
      <c r="D33" s="48" t="s">
        <v>1524</v>
      </c>
      <c r="E33" s="47" t="s">
        <v>1525</v>
      </c>
      <c r="F33" s="47" t="s">
        <v>1448</v>
      </c>
    </row>
    <row r="34" customFormat="false" ht="15" hidden="false" customHeight="true" outlineLevel="0" collapsed="false">
      <c r="A34" s="47" t="s">
        <v>123</v>
      </c>
      <c r="B34" s="47" t="s">
        <v>1526</v>
      </c>
      <c r="C34" s="48" t="s">
        <v>1527</v>
      </c>
      <c r="D34" s="48" t="s">
        <v>1528</v>
      </c>
      <c r="E34" s="47" t="s">
        <v>1529</v>
      </c>
      <c r="F34" s="47" t="s">
        <v>1530</v>
      </c>
    </row>
    <row r="35" customFormat="false" ht="15" hidden="false" customHeight="true" outlineLevel="0" collapsed="false">
      <c r="A35" s="47" t="s">
        <v>123</v>
      </c>
      <c r="B35" s="47" t="s">
        <v>1531</v>
      </c>
      <c r="C35" s="48" t="s">
        <v>1532</v>
      </c>
      <c r="D35" s="48" t="s">
        <v>1533</v>
      </c>
      <c r="E35" s="47" t="s">
        <v>1534</v>
      </c>
      <c r="F35" s="47" t="s">
        <v>1438</v>
      </c>
    </row>
    <row r="36" customFormat="false" ht="15" hidden="false" customHeight="true" outlineLevel="0" collapsed="false">
      <c r="A36" s="47" t="s">
        <v>129</v>
      </c>
      <c r="B36" s="47" t="s">
        <v>1535</v>
      </c>
      <c r="C36" s="48" t="s">
        <v>1536</v>
      </c>
      <c r="D36" s="48" t="s">
        <v>1537</v>
      </c>
      <c r="E36" s="47" t="s">
        <v>1534</v>
      </c>
      <c r="F36" s="47" t="s">
        <v>1462</v>
      </c>
    </row>
    <row r="37" customFormat="false" ht="15" hidden="false" customHeight="true" outlineLevel="0" collapsed="false">
      <c r="A37" s="47" t="s">
        <v>127</v>
      </c>
      <c r="B37" s="47" t="s">
        <v>1538</v>
      </c>
      <c r="C37" s="48" t="s">
        <v>1539</v>
      </c>
      <c r="D37" s="48" t="s">
        <v>1540</v>
      </c>
      <c r="E37" s="47" t="s">
        <v>1534</v>
      </c>
      <c r="F37" s="47" t="s">
        <v>1438</v>
      </c>
    </row>
    <row r="38" customFormat="false" ht="15" hidden="false" customHeight="true" outlineLevel="0" collapsed="false">
      <c r="A38" s="47" t="s">
        <v>139</v>
      </c>
      <c r="B38" s="47" t="s">
        <v>1541</v>
      </c>
      <c r="C38" s="48" t="s">
        <v>1542</v>
      </c>
      <c r="D38" s="48" t="s">
        <v>1543</v>
      </c>
      <c r="E38" s="47" t="s">
        <v>1544</v>
      </c>
      <c r="F38" s="47" t="s">
        <v>1545</v>
      </c>
    </row>
    <row r="39" customFormat="false" ht="15" hidden="false" customHeight="true" outlineLevel="0" collapsed="false">
      <c r="A39" s="47" t="s">
        <v>139</v>
      </c>
      <c r="B39" s="47" t="s">
        <v>1546</v>
      </c>
      <c r="C39" s="48" t="s">
        <v>1547</v>
      </c>
      <c r="D39" s="48" t="s">
        <v>1548</v>
      </c>
      <c r="E39" s="47" t="s">
        <v>1549</v>
      </c>
      <c r="F39" s="47" t="s">
        <v>1457</v>
      </c>
    </row>
    <row r="40" customFormat="false" ht="15" hidden="false" customHeight="true" outlineLevel="0" collapsed="false">
      <c r="A40" s="47" t="s">
        <v>139</v>
      </c>
      <c r="B40" s="47" t="s">
        <v>1550</v>
      </c>
      <c r="C40" s="48" t="s">
        <v>1551</v>
      </c>
      <c r="D40" s="48" t="s">
        <v>1552</v>
      </c>
      <c r="E40" s="47" t="s">
        <v>1553</v>
      </c>
      <c r="F40" s="47" t="s">
        <v>1457</v>
      </c>
    </row>
    <row r="41" customFormat="false" ht="15" hidden="false" customHeight="true" outlineLevel="0" collapsed="false">
      <c r="A41" s="47" t="s">
        <v>139</v>
      </c>
      <c r="B41" s="47" t="s">
        <v>1554</v>
      </c>
      <c r="C41" s="48" t="s">
        <v>1555</v>
      </c>
      <c r="D41" s="48" t="s">
        <v>1556</v>
      </c>
      <c r="E41" s="47" t="s">
        <v>1557</v>
      </c>
      <c r="F41" s="47" t="s">
        <v>1448</v>
      </c>
    </row>
    <row r="42" customFormat="false" ht="15" hidden="false" customHeight="true" outlineLevel="0" collapsed="false">
      <c r="A42" s="47" t="s">
        <v>145</v>
      </c>
      <c r="B42" s="47" t="s">
        <v>1558</v>
      </c>
      <c r="C42" s="48" t="s">
        <v>1559</v>
      </c>
      <c r="D42" s="48" t="s">
        <v>1560</v>
      </c>
      <c r="E42" s="47" t="s">
        <v>1561</v>
      </c>
      <c r="F42" s="47" t="s">
        <v>1448</v>
      </c>
    </row>
    <row r="43" customFormat="false" ht="15" hidden="false" customHeight="true" outlineLevel="0" collapsed="false">
      <c r="A43" s="47" t="s">
        <v>143</v>
      </c>
      <c r="B43" s="47" t="s">
        <v>1562</v>
      </c>
      <c r="C43" s="48" t="s">
        <v>1563</v>
      </c>
      <c r="D43" s="48" t="s">
        <v>1564</v>
      </c>
      <c r="E43" s="47" t="s">
        <v>1565</v>
      </c>
      <c r="F43" s="47" t="s">
        <v>1462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1"/>
  <sheetViews>
    <sheetView showFormulas="false" showGridLines="true" showRowColHeaders="true" showZeros="true" rightToLeft="false" tabSelected="false" showOutlineSymbols="true" defaultGridColor="true" view="normal" topLeftCell="A322" colorId="64" zoomScale="100" zoomScaleNormal="100" zoomScalePageLayoutView="100" workbookViewId="0">
      <selection pane="topLeft" activeCell="G342" activeCellId="0" sqref="G34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20"/>
    <col collapsed="false" customWidth="true" hidden="false" outlineLevel="0" max="3" min="3" style="49" width="13.34"/>
    <col collapsed="false" customWidth="true" hidden="false" outlineLevel="0" max="4" min="4" style="0" width="16.56"/>
    <col collapsed="false" customWidth="true" hidden="false" outlineLevel="0" max="5" min="5" style="0" width="17.56"/>
    <col collapsed="false" customWidth="true" hidden="false" outlineLevel="0" max="6" min="6" style="0" width="22.33"/>
    <col collapsed="false" customWidth="true" hidden="false" outlineLevel="0" max="7" min="7" style="0" width="15.66"/>
    <col collapsed="false" customWidth="true" hidden="false" outlineLevel="0" max="8" min="8" style="0" width="10.56"/>
    <col collapsed="false" customWidth="true" hidden="false" outlineLevel="0" max="9" min="9" style="0" width="24.56"/>
    <col collapsed="false" customWidth="true" hidden="false" outlineLevel="0" max="10" min="10" style="0" width="24.11"/>
    <col collapsed="false" customWidth="true" hidden="false" outlineLevel="0" max="11" min="11" style="0" width="20.44"/>
    <col collapsed="false" customWidth="true" hidden="false" outlineLevel="0" max="12" min="12" style="0" width="18.88"/>
    <col collapsed="false" customWidth="true" hidden="false" outlineLevel="0" max="13" min="13" style="0" width="11.44"/>
    <col collapsed="false" customWidth="true" hidden="false" outlineLevel="0" max="14" min="14" style="0" width="39"/>
  </cols>
  <sheetData>
    <row r="1" customFormat="false" ht="14.25" hidden="false" customHeight="false" outlineLevel="0" collapsed="false">
      <c r="I1" s="50" t="s">
        <v>1566</v>
      </c>
      <c r="J1" s="50"/>
      <c r="K1" s="50"/>
      <c r="L1" s="51" t="s">
        <v>1567</v>
      </c>
      <c r="M1" s="52"/>
    </row>
    <row r="2" customFormat="false" ht="15.75" hidden="false" customHeight="true" outlineLevel="0" collapsed="false">
      <c r="L2" s="51" t="s">
        <v>1568</v>
      </c>
      <c r="M2" s="53"/>
    </row>
    <row r="3" customFormat="false" ht="29.25" hidden="false" customHeight="true" outlineLevel="0" collapsed="false">
      <c r="A3" s="54" t="s">
        <v>1569</v>
      </c>
      <c r="B3" s="55" t="s">
        <v>1570</v>
      </c>
      <c r="C3" s="56" t="s">
        <v>1571</v>
      </c>
      <c r="D3" s="57" t="s">
        <v>1572</v>
      </c>
      <c r="E3" s="58" t="s">
        <v>1573</v>
      </c>
      <c r="F3" s="57" t="s">
        <v>1574</v>
      </c>
      <c r="G3" s="57" t="s">
        <v>1575</v>
      </c>
      <c r="H3" s="57" t="s">
        <v>1576</v>
      </c>
      <c r="I3" s="57" t="s">
        <v>1577</v>
      </c>
      <c r="J3" s="57" t="s">
        <v>1578</v>
      </c>
      <c r="K3" s="57" t="s">
        <v>1579</v>
      </c>
      <c r="L3" s="57" t="s">
        <v>1580</v>
      </c>
      <c r="M3" s="57" t="s">
        <v>1581</v>
      </c>
      <c r="N3" s="59" t="s">
        <v>1582</v>
      </c>
    </row>
    <row r="4" customFormat="false" ht="14.25" hidden="false" customHeight="false" outlineLevel="0" collapsed="false">
      <c r="A4" s="60" t="n">
        <v>1</v>
      </c>
      <c r="B4" s="61" t="s">
        <v>293</v>
      </c>
      <c r="C4" s="62" t="s">
        <v>341</v>
      </c>
      <c r="D4" s="63" t="s">
        <v>308</v>
      </c>
      <c r="E4" s="64" t="s">
        <v>1583</v>
      </c>
      <c r="F4" s="63" t="s">
        <v>305</v>
      </c>
      <c r="G4" s="63" t="s">
        <v>342</v>
      </c>
      <c r="H4" s="63" t="s">
        <v>1584</v>
      </c>
      <c r="I4" s="63" t="n">
        <v>2012</v>
      </c>
      <c r="J4" s="65" t="n">
        <v>1487562</v>
      </c>
      <c r="K4" s="65"/>
      <c r="L4" s="65" t="s">
        <v>1585</v>
      </c>
      <c r="M4" s="65" t="s">
        <v>1569</v>
      </c>
      <c r="N4" s="66" t="s">
        <v>1586</v>
      </c>
    </row>
    <row r="5" customFormat="false" ht="14.25" hidden="false" customHeight="false" outlineLevel="0" collapsed="false">
      <c r="A5" s="60" t="n">
        <v>2</v>
      </c>
      <c r="B5" s="61"/>
      <c r="C5" s="62" t="s">
        <v>309</v>
      </c>
      <c r="D5" s="63" t="s">
        <v>308</v>
      </c>
      <c r="E5" s="64" t="s">
        <v>1583</v>
      </c>
      <c r="F5" s="63" t="s">
        <v>305</v>
      </c>
      <c r="G5" s="63" t="s">
        <v>311</v>
      </c>
      <c r="H5" s="63" t="s">
        <v>1584</v>
      </c>
      <c r="I5" s="63" t="n">
        <v>2012</v>
      </c>
      <c r="J5" s="65" t="n">
        <v>1487765</v>
      </c>
      <c r="K5" s="65"/>
      <c r="L5" s="65" t="s">
        <v>1587</v>
      </c>
      <c r="M5" s="65" t="s">
        <v>1569</v>
      </c>
      <c r="N5" s="66" t="s">
        <v>1588</v>
      </c>
    </row>
    <row r="6" customFormat="false" ht="14.25" hidden="false" customHeight="false" outlineLevel="0" collapsed="false">
      <c r="A6" s="60" t="n">
        <v>3</v>
      </c>
      <c r="B6" s="61"/>
      <c r="C6" s="62" t="s">
        <v>312</v>
      </c>
      <c r="D6" s="63" t="s">
        <v>308</v>
      </c>
      <c r="E6" s="64" t="s">
        <v>1583</v>
      </c>
      <c r="F6" s="63" t="s">
        <v>305</v>
      </c>
      <c r="G6" s="63" t="s">
        <v>313</v>
      </c>
      <c r="H6" s="63" t="s">
        <v>1584</v>
      </c>
      <c r="I6" s="63" t="n">
        <v>2012</v>
      </c>
      <c r="J6" s="65" t="n">
        <v>1487793</v>
      </c>
      <c r="K6" s="65"/>
      <c r="L6" s="65" t="s">
        <v>1589</v>
      </c>
      <c r="M6" s="65" t="s">
        <v>1569</v>
      </c>
      <c r="N6" s="66" t="s">
        <v>1590</v>
      </c>
    </row>
    <row r="7" customFormat="false" ht="14.25" hidden="false" customHeight="false" outlineLevel="0" collapsed="false">
      <c r="A7" s="60" t="n">
        <v>4</v>
      </c>
      <c r="B7" s="61"/>
      <c r="C7" s="62" t="s">
        <v>360</v>
      </c>
      <c r="D7" s="63" t="s">
        <v>308</v>
      </c>
      <c r="E7" s="64" t="s">
        <v>1583</v>
      </c>
      <c r="F7" s="63" t="s">
        <v>361</v>
      </c>
      <c r="G7" s="63" t="s">
        <v>363</v>
      </c>
      <c r="H7" s="63" t="s">
        <v>1584</v>
      </c>
      <c r="I7" s="63" t="n">
        <v>1999</v>
      </c>
      <c r="J7" s="65" t="s">
        <v>1591</v>
      </c>
      <c r="K7" s="65"/>
      <c r="L7" s="65" t="s">
        <v>1592</v>
      </c>
      <c r="M7" s="65" t="s">
        <v>1569</v>
      </c>
      <c r="N7" s="66" t="s">
        <v>1593</v>
      </c>
    </row>
    <row r="8" customFormat="false" ht="14.25" hidden="false" customHeight="false" outlineLevel="0" collapsed="false">
      <c r="A8" s="60" t="n">
        <v>5</v>
      </c>
      <c r="B8" s="61"/>
      <c r="C8" s="62" t="s">
        <v>347</v>
      </c>
      <c r="D8" s="63" t="s">
        <v>308</v>
      </c>
      <c r="E8" s="64" t="s">
        <v>1583</v>
      </c>
      <c r="F8" s="63" t="s">
        <v>305</v>
      </c>
      <c r="G8" s="63" t="s">
        <v>349</v>
      </c>
      <c r="H8" s="63" t="s">
        <v>1584</v>
      </c>
      <c r="I8" s="63" t="n">
        <v>2006</v>
      </c>
      <c r="J8" s="65" t="n">
        <v>1041419</v>
      </c>
      <c r="K8" s="65"/>
      <c r="L8" s="65"/>
      <c r="M8" s="65" t="s">
        <v>1569</v>
      </c>
      <c r="N8" s="66" t="s">
        <v>1588</v>
      </c>
    </row>
    <row r="9" customFormat="false" ht="14.25" hidden="false" customHeight="false" outlineLevel="0" collapsed="false">
      <c r="A9" s="60" t="n">
        <v>6</v>
      </c>
      <c r="B9" s="61"/>
      <c r="C9" s="62" t="s">
        <v>356</v>
      </c>
      <c r="D9" s="63" t="s">
        <v>308</v>
      </c>
      <c r="E9" s="64" t="s">
        <v>1583</v>
      </c>
      <c r="F9" s="63" t="s">
        <v>357</v>
      </c>
      <c r="G9" s="63" t="s">
        <v>359</v>
      </c>
      <c r="H9" s="63" t="s">
        <v>1584</v>
      </c>
      <c r="I9" s="63" t="n">
        <v>2002</v>
      </c>
      <c r="J9" s="65" t="s">
        <v>1594</v>
      </c>
      <c r="K9" s="65"/>
      <c r="L9" s="65"/>
      <c r="M9" s="65" t="s">
        <v>1569</v>
      </c>
      <c r="N9" s="66" t="s">
        <v>1595</v>
      </c>
    </row>
    <row r="10" s="71" customFormat="true" ht="14.25" hidden="false" customHeight="false" outlineLevel="0" collapsed="false">
      <c r="A10" s="67" t="n">
        <v>7</v>
      </c>
      <c r="B10" s="61"/>
      <c r="C10" s="68" t="s">
        <v>351</v>
      </c>
      <c r="D10" s="69" t="s">
        <v>308</v>
      </c>
      <c r="E10" s="70" t="s">
        <v>1583</v>
      </c>
      <c r="F10" s="69" t="s">
        <v>352</v>
      </c>
      <c r="G10" s="69" t="s">
        <v>354</v>
      </c>
      <c r="H10" s="69" t="s">
        <v>1584</v>
      </c>
      <c r="I10" s="69" t="n">
        <v>2004</v>
      </c>
      <c r="J10" s="66" t="s">
        <v>1596</v>
      </c>
      <c r="K10" s="66"/>
      <c r="L10" s="66" t="s">
        <v>1597</v>
      </c>
      <c r="M10" s="66" t="s">
        <v>1569</v>
      </c>
      <c r="N10" s="66" t="s">
        <v>1598</v>
      </c>
    </row>
    <row r="11" customFormat="false" ht="14.25" hidden="false" customHeight="false" outlineLevel="0" collapsed="false">
      <c r="A11" s="60" t="n">
        <v>8</v>
      </c>
      <c r="B11" s="61"/>
      <c r="C11" s="62" t="s">
        <v>337</v>
      </c>
      <c r="D11" s="63" t="s">
        <v>308</v>
      </c>
      <c r="E11" s="64" t="s">
        <v>1583</v>
      </c>
      <c r="F11" s="63" t="s">
        <v>327</v>
      </c>
      <c r="G11" s="63" t="s">
        <v>338</v>
      </c>
      <c r="H11" s="63" t="s">
        <v>1584</v>
      </c>
      <c r="I11" s="63" t="n">
        <v>2015</v>
      </c>
      <c r="J11" s="65" t="s">
        <v>1599</v>
      </c>
      <c r="K11" s="65"/>
      <c r="L11" s="65" t="s">
        <v>1600</v>
      </c>
      <c r="M11" s="65" t="s">
        <v>1569</v>
      </c>
      <c r="N11" s="66" t="s">
        <v>1601</v>
      </c>
    </row>
    <row r="12" customFormat="false" ht="14.25" hidden="false" customHeight="false" outlineLevel="0" collapsed="false">
      <c r="A12" s="60" t="n">
        <v>9</v>
      </c>
      <c r="B12" s="61"/>
      <c r="C12" s="62" t="s">
        <v>314</v>
      </c>
      <c r="D12" s="63" t="s">
        <v>308</v>
      </c>
      <c r="E12" s="64" t="s">
        <v>1583</v>
      </c>
      <c r="F12" s="63" t="s">
        <v>327</v>
      </c>
      <c r="G12" s="63" t="s">
        <v>316</v>
      </c>
      <c r="H12" s="63" t="s">
        <v>1584</v>
      </c>
      <c r="I12" s="63" t="n">
        <v>2015</v>
      </c>
      <c r="J12" s="65" t="s">
        <v>1602</v>
      </c>
      <c r="K12" s="65"/>
      <c r="L12" s="65" t="s">
        <v>1603</v>
      </c>
      <c r="M12" s="65" t="s">
        <v>1569</v>
      </c>
      <c r="N12" s="66" t="s">
        <v>1604</v>
      </c>
    </row>
    <row r="13" customFormat="false" ht="14.25" hidden="false" customHeight="false" outlineLevel="0" collapsed="false">
      <c r="A13" s="60" t="n">
        <v>10</v>
      </c>
      <c r="B13" s="61"/>
      <c r="C13" s="62" t="s">
        <v>326</v>
      </c>
      <c r="D13" s="63" t="s">
        <v>308</v>
      </c>
      <c r="E13" s="64" t="s">
        <v>1583</v>
      </c>
      <c r="F13" s="63" t="s">
        <v>327</v>
      </c>
      <c r="G13" s="63" t="s">
        <v>328</v>
      </c>
      <c r="H13" s="63" t="s">
        <v>1584</v>
      </c>
      <c r="I13" s="63" t="n">
        <v>2016</v>
      </c>
      <c r="J13" s="65" t="s">
        <v>1605</v>
      </c>
      <c r="K13" s="65"/>
      <c r="L13" s="65" t="s">
        <v>1606</v>
      </c>
      <c r="M13" s="65" t="s">
        <v>1569</v>
      </c>
      <c r="N13" s="66" t="s">
        <v>1607</v>
      </c>
    </row>
    <row r="14" customFormat="false" ht="14.25" hidden="false" customHeight="false" outlineLevel="0" collapsed="false">
      <c r="A14" s="60" t="n">
        <v>11</v>
      </c>
      <c r="B14" s="61"/>
      <c r="C14" s="62" t="s">
        <v>317</v>
      </c>
      <c r="D14" s="63" t="s">
        <v>308</v>
      </c>
      <c r="E14" s="64" t="s">
        <v>1583</v>
      </c>
      <c r="F14" s="63" t="s">
        <v>327</v>
      </c>
      <c r="G14" s="63" t="s">
        <v>319</v>
      </c>
      <c r="H14" s="63" t="s">
        <v>1584</v>
      </c>
      <c r="I14" s="63" t="n">
        <v>2016</v>
      </c>
      <c r="J14" s="65" t="s">
        <v>1608</v>
      </c>
      <c r="K14" s="65"/>
      <c r="L14" s="65" t="s">
        <v>1609</v>
      </c>
      <c r="M14" s="65" t="s">
        <v>1569</v>
      </c>
      <c r="N14" s="66" t="s">
        <v>1610</v>
      </c>
    </row>
    <row r="15" customFormat="false" ht="14.25" hidden="false" customHeight="false" outlineLevel="0" collapsed="false">
      <c r="A15" s="60" t="n">
        <v>12</v>
      </c>
      <c r="B15" s="61"/>
      <c r="C15" s="62" t="s">
        <v>331</v>
      </c>
      <c r="D15" s="63" t="s">
        <v>308</v>
      </c>
      <c r="E15" s="64" t="s">
        <v>1583</v>
      </c>
      <c r="F15" s="63" t="s">
        <v>305</v>
      </c>
      <c r="G15" s="63" t="s">
        <v>332</v>
      </c>
      <c r="H15" s="63" t="s">
        <v>1584</v>
      </c>
      <c r="I15" s="63" t="n">
        <v>2016</v>
      </c>
      <c r="J15" s="65" t="s">
        <v>1611</v>
      </c>
      <c r="K15" s="65"/>
      <c r="L15" s="65" t="s">
        <v>1612</v>
      </c>
      <c r="M15" s="65" t="s">
        <v>1569</v>
      </c>
      <c r="N15" s="66" t="s">
        <v>1613</v>
      </c>
    </row>
    <row r="16" customFormat="false" ht="14.25" hidden="false" customHeight="false" outlineLevel="0" collapsed="false">
      <c r="A16" s="60" t="n">
        <v>13</v>
      </c>
      <c r="B16" s="61"/>
      <c r="C16" s="62" t="s">
        <v>320</v>
      </c>
      <c r="D16" s="63" t="s">
        <v>308</v>
      </c>
      <c r="E16" s="64" t="s">
        <v>1583</v>
      </c>
      <c r="F16" s="63" t="s">
        <v>305</v>
      </c>
      <c r="G16" s="63" t="s">
        <v>321</v>
      </c>
      <c r="H16" s="63" t="s">
        <v>1584</v>
      </c>
      <c r="I16" s="63" t="n">
        <v>2016</v>
      </c>
      <c r="J16" s="65" t="s">
        <v>1614</v>
      </c>
      <c r="K16" s="65"/>
      <c r="L16" s="65" t="s">
        <v>1615</v>
      </c>
      <c r="M16" s="65" t="s">
        <v>1569</v>
      </c>
      <c r="N16" s="66" t="s">
        <v>1588</v>
      </c>
    </row>
    <row r="17" customFormat="false" ht="14.25" hidden="false" customHeight="false" outlineLevel="0" collapsed="false">
      <c r="A17" s="60" t="n">
        <v>14</v>
      </c>
      <c r="B17" s="61"/>
      <c r="C17" s="62" t="s">
        <v>329</v>
      </c>
      <c r="D17" s="63" t="s">
        <v>308</v>
      </c>
      <c r="E17" s="64" t="s">
        <v>1583</v>
      </c>
      <c r="F17" s="63" t="s">
        <v>305</v>
      </c>
      <c r="G17" s="63" t="s">
        <v>330</v>
      </c>
      <c r="H17" s="63" t="s">
        <v>1584</v>
      </c>
      <c r="I17" s="63" t="n">
        <v>2016</v>
      </c>
      <c r="J17" s="65" t="s">
        <v>1616</v>
      </c>
      <c r="K17" s="65"/>
      <c r="L17" s="65" t="s">
        <v>1617</v>
      </c>
      <c r="M17" s="65" t="s">
        <v>1569</v>
      </c>
      <c r="N17" s="66" t="s">
        <v>1618</v>
      </c>
    </row>
    <row r="18" customFormat="false" ht="14.25" hidden="false" customHeight="false" outlineLevel="0" collapsed="false">
      <c r="A18" s="60" t="n">
        <v>15</v>
      </c>
      <c r="B18" s="61"/>
      <c r="C18" s="62" t="s">
        <v>322</v>
      </c>
      <c r="D18" s="63" t="s">
        <v>1619</v>
      </c>
      <c r="E18" s="64" t="s">
        <v>1583</v>
      </c>
      <c r="F18" s="63" t="s">
        <v>323</v>
      </c>
      <c r="G18" s="63" t="s">
        <v>325</v>
      </c>
      <c r="H18" s="63" t="s">
        <v>1584</v>
      </c>
      <c r="I18" s="63" t="n">
        <v>2019</v>
      </c>
      <c r="J18" s="65" t="s">
        <v>1620</v>
      </c>
      <c r="K18" s="65"/>
      <c r="L18" s="65" t="s">
        <v>1621</v>
      </c>
      <c r="M18" s="65" t="s">
        <v>1569</v>
      </c>
      <c r="N18" s="66" t="s">
        <v>1622</v>
      </c>
    </row>
    <row r="19" customFormat="false" ht="14.25" hidden="false" customHeight="false" outlineLevel="0" collapsed="false">
      <c r="A19" s="60" t="n">
        <v>16</v>
      </c>
      <c r="B19" s="61"/>
      <c r="C19" s="62" t="s">
        <v>304</v>
      </c>
      <c r="D19" s="63" t="s">
        <v>1619</v>
      </c>
      <c r="E19" s="64" t="s">
        <v>1583</v>
      </c>
      <c r="F19" s="63" t="s">
        <v>305</v>
      </c>
      <c r="G19" s="63" t="s">
        <v>307</v>
      </c>
      <c r="H19" s="63" t="s">
        <v>1584</v>
      </c>
      <c r="I19" s="63" t="n">
        <v>2020</v>
      </c>
      <c r="J19" s="72" t="s">
        <v>1623</v>
      </c>
      <c r="K19" s="65"/>
      <c r="L19" s="72" t="s">
        <v>1624</v>
      </c>
      <c r="M19" s="72" t="s">
        <v>1569</v>
      </c>
      <c r="N19" s="66" t="s">
        <v>1586</v>
      </c>
    </row>
    <row r="20" customFormat="false" ht="14.25" hidden="false" customHeight="false" outlineLevel="0" collapsed="false">
      <c r="A20" s="60" t="n">
        <v>17</v>
      </c>
      <c r="B20" s="61"/>
      <c r="C20" s="62" t="s">
        <v>333</v>
      </c>
      <c r="D20" s="63" t="s">
        <v>1619</v>
      </c>
      <c r="E20" s="64" t="s">
        <v>1583</v>
      </c>
      <c r="F20" s="63" t="s">
        <v>305</v>
      </c>
      <c r="G20" s="63" t="s">
        <v>334</v>
      </c>
      <c r="H20" s="63" t="s">
        <v>1584</v>
      </c>
      <c r="I20" s="63" t="n">
        <v>2020</v>
      </c>
      <c r="J20" s="72" t="s">
        <v>1625</v>
      </c>
      <c r="K20" s="65"/>
      <c r="L20" s="72" t="s">
        <v>1626</v>
      </c>
      <c r="M20" s="72" t="s">
        <v>1569</v>
      </c>
      <c r="N20" s="66" t="s">
        <v>1627</v>
      </c>
    </row>
    <row r="21" customFormat="false" ht="14.25" hidden="false" customHeight="false" outlineLevel="0" collapsed="false">
      <c r="A21" s="60" t="n">
        <v>18</v>
      </c>
      <c r="B21" s="61"/>
      <c r="C21" s="62" t="s">
        <v>335</v>
      </c>
      <c r="D21" s="63" t="s">
        <v>1619</v>
      </c>
      <c r="E21" s="64" t="s">
        <v>1583</v>
      </c>
      <c r="F21" s="63" t="s">
        <v>305</v>
      </c>
      <c r="G21" s="63" t="s">
        <v>336</v>
      </c>
      <c r="H21" s="63" t="s">
        <v>1584</v>
      </c>
      <c r="I21" s="63" t="n">
        <v>2020</v>
      </c>
      <c r="J21" s="72" t="s">
        <v>1628</v>
      </c>
      <c r="K21" s="65"/>
      <c r="L21" s="72" t="s">
        <v>1629</v>
      </c>
      <c r="M21" s="72" t="s">
        <v>1569</v>
      </c>
      <c r="N21" s="66" t="s">
        <v>1630</v>
      </c>
    </row>
    <row r="22" customFormat="false" ht="14.25" hidden="false" customHeight="false" outlineLevel="0" collapsed="false">
      <c r="A22" s="60" t="n">
        <v>19</v>
      </c>
      <c r="B22" s="61"/>
      <c r="C22" s="62" t="s">
        <v>339</v>
      </c>
      <c r="D22" s="63" t="s">
        <v>1619</v>
      </c>
      <c r="E22" s="64" t="s">
        <v>1583</v>
      </c>
      <c r="F22" s="63" t="s">
        <v>305</v>
      </c>
      <c r="G22" s="63" t="s">
        <v>340</v>
      </c>
      <c r="H22" s="63" t="s">
        <v>1584</v>
      </c>
      <c r="I22" s="63" t="n">
        <v>2020</v>
      </c>
      <c r="J22" s="72" t="s">
        <v>1631</v>
      </c>
      <c r="K22" s="65"/>
      <c r="L22" s="72" t="s">
        <v>1632</v>
      </c>
      <c r="M22" s="72" t="s">
        <v>1569</v>
      </c>
      <c r="N22" s="66" t="s">
        <v>1618</v>
      </c>
    </row>
    <row r="23" customFormat="false" ht="14.25" hidden="false" customHeight="false" outlineLevel="0" collapsed="false">
      <c r="A23" s="60" t="n">
        <v>20</v>
      </c>
      <c r="B23" s="61"/>
      <c r="C23" s="62" t="s">
        <v>343</v>
      </c>
      <c r="D23" s="63" t="s">
        <v>1619</v>
      </c>
      <c r="E23" s="64" t="s">
        <v>1583</v>
      </c>
      <c r="F23" s="63" t="s">
        <v>305</v>
      </c>
      <c r="G23" s="63" t="s">
        <v>344</v>
      </c>
      <c r="H23" s="63" t="s">
        <v>1584</v>
      </c>
      <c r="I23" s="63" t="n">
        <v>2020</v>
      </c>
      <c r="J23" s="72" t="s">
        <v>1633</v>
      </c>
      <c r="K23" s="65"/>
      <c r="L23" s="72" t="s">
        <v>1634</v>
      </c>
      <c r="M23" s="72" t="s">
        <v>1569</v>
      </c>
      <c r="N23" s="66" t="s">
        <v>1635</v>
      </c>
    </row>
    <row r="24" customFormat="false" ht="14.25" hidden="false" customHeight="false" outlineLevel="0" collapsed="false">
      <c r="A24" s="60" t="n">
        <v>21</v>
      </c>
      <c r="B24" s="61"/>
      <c r="C24" s="62" t="s">
        <v>345</v>
      </c>
      <c r="D24" s="63" t="s">
        <v>1619</v>
      </c>
      <c r="E24" s="64" t="s">
        <v>1583</v>
      </c>
      <c r="F24" s="63" t="s">
        <v>305</v>
      </c>
      <c r="G24" s="63" t="s">
        <v>346</v>
      </c>
      <c r="H24" s="63" t="s">
        <v>1584</v>
      </c>
      <c r="I24" s="63" t="n">
        <v>2020</v>
      </c>
      <c r="J24" s="72" t="s">
        <v>1636</v>
      </c>
      <c r="K24" s="65"/>
      <c r="L24" s="72" t="s">
        <v>1637</v>
      </c>
      <c r="M24" s="72" t="s">
        <v>1569</v>
      </c>
      <c r="N24" s="73" t="s">
        <v>1627</v>
      </c>
    </row>
    <row r="25" customFormat="false" ht="14.25" hidden="false" customHeight="false" outlineLevel="0" collapsed="false">
      <c r="A25" s="60" t="n">
        <v>22</v>
      </c>
      <c r="B25" s="61"/>
      <c r="C25" s="62" t="s">
        <v>295</v>
      </c>
      <c r="D25" s="63" t="s">
        <v>294</v>
      </c>
      <c r="E25" s="64" t="s">
        <v>1583</v>
      </c>
      <c r="F25" s="63" t="s">
        <v>296</v>
      </c>
      <c r="G25" s="63" t="s">
        <v>298</v>
      </c>
      <c r="H25" s="63" t="s">
        <v>1584</v>
      </c>
      <c r="I25" s="63" t="n">
        <v>2021</v>
      </c>
      <c r="J25" s="72" t="s">
        <v>1638</v>
      </c>
      <c r="K25" s="65"/>
      <c r="L25" s="72" t="s">
        <v>1639</v>
      </c>
      <c r="M25" s="72" t="s">
        <v>1569</v>
      </c>
      <c r="N25" s="66" t="s">
        <v>1586</v>
      </c>
    </row>
    <row r="26" customFormat="false" ht="14.25" hidden="false" customHeight="false" outlineLevel="0" collapsed="false">
      <c r="A26" s="60" t="n">
        <v>23</v>
      </c>
      <c r="B26" s="61"/>
      <c r="C26" s="62" t="s">
        <v>299</v>
      </c>
      <c r="D26" s="63" t="s">
        <v>294</v>
      </c>
      <c r="E26" s="64" t="s">
        <v>1583</v>
      </c>
      <c r="F26" s="63" t="s">
        <v>296</v>
      </c>
      <c r="G26" s="63" t="s">
        <v>300</v>
      </c>
      <c r="H26" s="63" t="s">
        <v>1584</v>
      </c>
      <c r="I26" s="63" t="n">
        <v>2021</v>
      </c>
      <c r="J26" s="72" t="s">
        <v>1640</v>
      </c>
      <c r="K26" s="65"/>
      <c r="L26" s="72" t="s">
        <v>1639</v>
      </c>
      <c r="M26" s="72" t="s">
        <v>1569</v>
      </c>
      <c r="N26" s="66" t="s">
        <v>1641</v>
      </c>
    </row>
    <row r="27" customFormat="false" ht="14.25" hidden="false" customHeight="false" outlineLevel="0" collapsed="false">
      <c r="A27" s="60" t="n">
        <v>24</v>
      </c>
      <c r="B27" s="61"/>
      <c r="C27" s="62" t="s">
        <v>301</v>
      </c>
      <c r="D27" s="63" t="s">
        <v>294</v>
      </c>
      <c r="E27" s="64" t="s">
        <v>1583</v>
      </c>
      <c r="F27" s="63" t="s">
        <v>296</v>
      </c>
      <c r="G27" s="63" t="s">
        <v>302</v>
      </c>
      <c r="H27" s="63" t="s">
        <v>1584</v>
      </c>
      <c r="I27" s="63" t="n">
        <v>2021</v>
      </c>
      <c r="J27" s="72" t="s">
        <v>1642</v>
      </c>
      <c r="K27" s="65"/>
      <c r="L27" s="72" t="s">
        <v>1639</v>
      </c>
      <c r="M27" s="72" t="s">
        <v>1569</v>
      </c>
      <c r="N27" s="66" t="s">
        <v>1622</v>
      </c>
    </row>
    <row r="28" customFormat="false" ht="14.25" hidden="false" customHeight="false" outlineLevel="0" collapsed="false">
      <c r="A28" s="74"/>
      <c r="B28" s="74"/>
      <c r="C28" s="75"/>
      <c r="D28" s="76"/>
      <c r="E28" s="77"/>
      <c r="F28" s="78"/>
      <c r="G28" s="78"/>
      <c r="H28" s="79"/>
      <c r="I28" s="80"/>
      <c r="J28" s="73"/>
      <c r="K28" s="73"/>
      <c r="L28" s="73"/>
      <c r="M28" s="73"/>
      <c r="N28" s="73"/>
    </row>
    <row r="29" customFormat="false" ht="15.75" hidden="false" customHeight="true" outlineLevel="0" collapsed="false">
      <c r="A29" s="81" t="n">
        <v>25</v>
      </c>
      <c r="B29" s="82" t="s">
        <v>365</v>
      </c>
      <c r="C29" s="83" t="s">
        <v>390</v>
      </c>
      <c r="D29" s="79" t="s">
        <v>1643</v>
      </c>
      <c r="E29" s="79" t="s">
        <v>1644</v>
      </c>
      <c r="F29" s="79" t="s">
        <v>391</v>
      </c>
      <c r="G29" s="79"/>
      <c r="H29" s="84" t="s">
        <v>1645</v>
      </c>
      <c r="I29" s="80" t="n">
        <v>2009</v>
      </c>
      <c r="J29" s="73"/>
      <c r="K29" s="73"/>
      <c r="L29" s="73"/>
      <c r="M29" s="73" t="s">
        <v>1569</v>
      </c>
      <c r="N29" s="66" t="s">
        <v>1646</v>
      </c>
    </row>
    <row r="30" customFormat="false" ht="15.75" hidden="false" customHeight="true" outlineLevel="0" collapsed="false">
      <c r="A30" s="81" t="n">
        <v>26</v>
      </c>
      <c r="B30" s="82"/>
      <c r="C30" s="83" t="s">
        <v>387</v>
      </c>
      <c r="D30" s="79" t="s">
        <v>386</v>
      </c>
      <c r="E30" s="79" t="s">
        <v>1644</v>
      </c>
      <c r="F30" s="79" t="s">
        <v>388</v>
      </c>
      <c r="G30" s="79"/>
      <c r="H30" s="84" t="s">
        <v>1647</v>
      </c>
      <c r="I30" s="80" t="n">
        <v>2010</v>
      </c>
      <c r="J30" s="73"/>
      <c r="K30" s="73"/>
      <c r="L30" s="73"/>
      <c r="M30" s="73" t="s">
        <v>1569</v>
      </c>
      <c r="N30" s="66" t="s">
        <v>1595</v>
      </c>
    </row>
    <row r="31" customFormat="false" ht="15.75" hidden="false" customHeight="true" outlineLevel="0" collapsed="false">
      <c r="A31" s="81" t="n">
        <v>27</v>
      </c>
      <c r="B31" s="82"/>
      <c r="C31" s="83" t="s">
        <v>384</v>
      </c>
      <c r="D31" s="79" t="s">
        <v>369</v>
      </c>
      <c r="E31" s="79" t="s">
        <v>1644</v>
      </c>
      <c r="F31" s="79" t="s">
        <v>385</v>
      </c>
      <c r="G31" s="79"/>
      <c r="H31" s="84" t="s">
        <v>1647</v>
      </c>
      <c r="I31" s="80" t="n">
        <v>2012</v>
      </c>
      <c r="J31" s="73"/>
      <c r="K31" s="73"/>
      <c r="L31" s="73"/>
      <c r="M31" s="73" t="s">
        <v>1569</v>
      </c>
      <c r="N31" s="66" t="s">
        <v>1648</v>
      </c>
    </row>
    <row r="32" customFormat="false" ht="15.75" hidden="false" customHeight="true" outlineLevel="0" collapsed="false">
      <c r="A32" s="81" t="n">
        <v>28</v>
      </c>
      <c r="B32" s="82"/>
      <c r="C32" s="83" t="s">
        <v>378</v>
      </c>
      <c r="D32" s="79" t="s">
        <v>1649</v>
      </c>
      <c r="E32" s="79" t="s">
        <v>1644</v>
      </c>
      <c r="F32" s="79" t="s">
        <v>379</v>
      </c>
      <c r="G32" s="79"/>
      <c r="H32" s="84" t="s">
        <v>1645</v>
      </c>
      <c r="I32" s="80" t="n">
        <v>2013</v>
      </c>
      <c r="J32" s="73"/>
      <c r="K32" s="73"/>
      <c r="L32" s="73"/>
      <c r="M32" s="73" t="s">
        <v>1569</v>
      </c>
      <c r="N32" s="66" t="s">
        <v>1650</v>
      </c>
    </row>
    <row r="33" customFormat="false" ht="15.75" hidden="false" customHeight="true" outlineLevel="0" collapsed="false">
      <c r="A33" s="81" t="n">
        <v>29</v>
      </c>
      <c r="B33" s="82"/>
      <c r="C33" s="83" t="s">
        <v>372</v>
      </c>
      <c r="D33" s="79" t="s">
        <v>1649</v>
      </c>
      <c r="E33" s="79" t="s">
        <v>1644</v>
      </c>
      <c r="F33" s="79" t="s">
        <v>373</v>
      </c>
      <c r="G33" s="79"/>
      <c r="H33" s="84" t="s">
        <v>1647</v>
      </c>
      <c r="I33" s="80" t="n">
        <v>2014</v>
      </c>
      <c r="J33" s="73"/>
      <c r="K33" s="73"/>
      <c r="L33" s="73"/>
      <c r="M33" s="73" t="s">
        <v>1569</v>
      </c>
      <c r="N33" s="66" t="s">
        <v>1595</v>
      </c>
    </row>
    <row r="34" customFormat="false" ht="15.75" hidden="false" customHeight="true" outlineLevel="0" collapsed="false">
      <c r="A34" s="81" t="n">
        <v>30</v>
      </c>
      <c r="B34" s="82"/>
      <c r="C34" s="83" t="s">
        <v>381</v>
      </c>
      <c r="D34" s="79" t="s">
        <v>1649</v>
      </c>
      <c r="E34" s="79" t="s">
        <v>1644</v>
      </c>
      <c r="F34" s="79" t="n">
        <v>510</v>
      </c>
      <c r="G34" s="79" t="s">
        <v>383</v>
      </c>
      <c r="H34" s="84" t="s">
        <v>1645</v>
      </c>
      <c r="I34" s="80" t="n">
        <v>2013</v>
      </c>
      <c r="J34" s="73"/>
      <c r="K34" s="73"/>
      <c r="L34" s="73"/>
      <c r="M34" s="73" t="s">
        <v>1569</v>
      </c>
      <c r="N34" s="66" t="s">
        <v>1595</v>
      </c>
    </row>
    <row r="35" customFormat="false" ht="15.75" hidden="false" customHeight="true" outlineLevel="0" collapsed="false">
      <c r="A35" s="81" t="n">
        <v>31</v>
      </c>
      <c r="B35" s="82"/>
      <c r="C35" s="83" t="s">
        <v>370</v>
      </c>
      <c r="D35" s="79" t="s">
        <v>369</v>
      </c>
      <c r="E35" s="79" t="s">
        <v>1644</v>
      </c>
      <c r="F35" s="79" t="s">
        <v>371</v>
      </c>
      <c r="G35" s="79"/>
      <c r="H35" s="84" t="s">
        <v>1645</v>
      </c>
      <c r="I35" s="80" t="n">
        <v>2015</v>
      </c>
      <c r="J35" s="73" t="n">
        <v>13297</v>
      </c>
      <c r="K35" s="73"/>
      <c r="L35" s="73"/>
      <c r="M35" s="73" t="s">
        <v>1569</v>
      </c>
      <c r="N35" s="66" t="s">
        <v>1648</v>
      </c>
    </row>
    <row r="36" customFormat="false" ht="15.75" hidden="false" customHeight="true" outlineLevel="0" collapsed="false">
      <c r="A36" s="81" t="n">
        <v>32</v>
      </c>
      <c r="B36" s="82"/>
      <c r="C36" s="83" t="s">
        <v>376</v>
      </c>
      <c r="D36" s="79" t="s">
        <v>375</v>
      </c>
      <c r="E36" s="79" t="s">
        <v>1644</v>
      </c>
      <c r="F36" s="79" t="s">
        <v>377</v>
      </c>
      <c r="G36" s="79"/>
      <c r="H36" s="84" t="s">
        <v>1647</v>
      </c>
      <c r="I36" s="79" t="n">
        <v>2014</v>
      </c>
      <c r="J36" s="73"/>
      <c r="K36" s="73"/>
      <c r="L36" s="73"/>
      <c r="M36" s="73" t="s">
        <v>1569</v>
      </c>
      <c r="N36" s="66" t="s">
        <v>1595</v>
      </c>
    </row>
    <row r="37" customFormat="false" ht="15.75" hidden="false" customHeight="true" outlineLevel="0" collapsed="false">
      <c r="A37" s="81" t="n">
        <v>33</v>
      </c>
      <c r="B37" s="82"/>
      <c r="C37" s="83" t="s">
        <v>367</v>
      </c>
      <c r="D37" s="79" t="s">
        <v>366</v>
      </c>
      <c r="E37" s="79" t="s">
        <v>1644</v>
      </c>
      <c r="F37" s="79" t="s">
        <v>368</v>
      </c>
      <c r="G37" s="79"/>
      <c r="H37" s="84" t="s">
        <v>1651</v>
      </c>
      <c r="I37" s="80" t="n">
        <v>2020</v>
      </c>
      <c r="J37" s="73"/>
      <c r="K37" s="73"/>
      <c r="L37" s="73"/>
      <c r="M37" s="73" t="s">
        <v>1569</v>
      </c>
      <c r="N37" s="66" t="s">
        <v>1652</v>
      </c>
    </row>
    <row r="38" customFormat="false" ht="14.25" hidden="false" customHeight="false" outlineLevel="0" collapsed="false">
      <c r="A38" s="74"/>
      <c r="B38" s="74"/>
      <c r="C38" s="75"/>
      <c r="D38" s="79"/>
      <c r="E38" s="79"/>
      <c r="F38" s="79"/>
      <c r="G38" s="79"/>
      <c r="H38" s="84"/>
      <c r="I38" s="80"/>
      <c r="J38" s="73"/>
      <c r="K38" s="73"/>
      <c r="L38" s="73"/>
      <c r="M38" s="73"/>
      <c r="N38" s="73"/>
    </row>
    <row r="39" customFormat="false" ht="14.25" hidden="false" customHeight="false" outlineLevel="0" collapsed="false">
      <c r="A39" s="60" t="n">
        <v>34</v>
      </c>
      <c r="B39" s="61" t="s">
        <v>1653</v>
      </c>
      <c r="C39" s="62" t="s">
        <v>436</v>
      </c>
      <c r="D39" s="63" t="s">
        <v>420</v>
      </c>
      <c r="E39" s="63" t="s">
        <v>1654</v>
      </c>
      <c r="F39" s="63" t="s">
        <v>437</v>
      </c>
      <c r="G39" s="63" t="s">
        <v>438</v>
      </c>
      <c r="H39" s="85" t="s">
        <v>1655</v>
      </c>
      <c r="I39" s="86" t="n">
        <v>1996</v>
      </c>
      <c r="J39" s="65" t="s">
        <v>1656</v>
      </c>
      <c r="K39" s="65" t="s">
        <v>1656</v>
      </c>
      <c r="L39" s="65" t="s">
        <v>1657</v>
      </c>
      <c r="M39" s="65" t="s">
        <v>1569</v>
      </c>
      <c r="N39" s="66" t="s">
        <v>1595</v>
      </c>
    </row>
    <row r="40" customFormat="false" ht="14.25" hidden="false" customHeight="false" outlineLevel="0" collapsed="false">
      <c r="A40" s="60" t="n">
        <v>35</v>
      </c>
      <c r="B40" s="61"/>
      <c r="C40" s="62" t="s">
        <v>430</v>
      </c>
      <c r="D40" s="63" t="s">
        <v>425</v>
      </c>
      <c r="E40" s="63" t="s">
        <v>1654</v>
      </c>
      <c r="F40" s="63" t="s">
        <v>431</v>
      </c>
      <c r="G40" s="63" t="s">
        <v>433</v>
      </c>
      <c r="H40" s="85" t="s">
        <v>1655</v>
      </c>
      <c r="I40" s="86" t="n">
        <v>1996</v>
      </c>
      <c r="J40" s="65" t="s">
        <v>1658</v>
      </c>
      <c r="K40" s="65" t="s">
        <v>1658</v>
      </c>
      <c r="L40" s="65"/>
      <c r="M40" s="65" t="s">
        <v>1569</v>
      </c>
      <c r="N40" s="66" t="s">
        <v>1659</v>
      </c>
    </row>
    <row r="41" customFormat="false" ht="14.25" hidden="false" customHeight="false" outlineLevel="0" collapsed="false">
      <c r="A41" s="60" t="n">
        <v>36</v>
      </c>
      <c r="B41" s="61"/>
      <c r="C41" s="62" t="s">
        <v>439</v>
      </c>
      <c r="D41" s="63" t="s">
        <v>420</v>
      </c>
      <c r="E41" s="63" t="s">
        <v>1654</v>
      </c>
      <c r="F41" s="63" t="s">
        <v>440</v>
      </c>
      <c r="G41" s="63" t="s">
        <v>441</v>
      </c>
      <c r="H41" s="85" t="s">
        <v>1660</v>
      </c>
      <c r="I41" s="86" t="n">
        <v>1996</v>
      </c>
      <c r="J41" s="65" t="s">
        <v>1661</v>
      </c>
      <c r="K41" s="65" t="s">
        <v>1661</v>
      </c>
      <c r="L41" s="65" t="s">
        <v>1662</v>
      </c>
      <c r="M41" s="65" t="s">
        <v>1569</v>
      </c>
      <c r="N41" s="66" t="s">
        <v>1595</v>
      </c>
    </row>
    <row r="42" customFormat="false" ht="14.25" hidden="false" customHeight="false" outlineLevel="0" collapsed="false">
      <c r="A42" s="60" t="n">
        <v>37</v>
      </c>
      <c r="B42" s="61"/>
      <c r="C42" s="62" t="s">
        <v>426</v>
      </c>
      <c r="D42" s="63" t="s">
        <v>425</v>
      </c>
      <c r="E42" s="63" t="s">
        <v>1654</v>
      </c>
      <c r="F42" s="63" t="s">
        <v>427</v>
      </c>
      <c r="G42" s="63" t="s">
        <v>429</v>
      </c>
      <c r="H42" s="85" t="s">
        <v>1655</v>
      </c>
      <c r="I42" s="86" t="n">
        <v>2000</v>
      </c>
      <c r="J42" s="65" t="s">
        <v>1663</v>
      </c>
      <c r="K42" s="65" t="s">
        <v>1663</v>
      </c>
      <c r="L42" s="65" t="s">
        <v>1664</v>
      </c>
      <c r="M42" s="65" t="s">
        <v>1569</v>
      </c>
      <c r="N42" s="66" t="s">
        <v>1598</v>
      </c>
    </row>
    <row r="43" customFormat="false" ht="14.25" hidden="false" customHeight="false" outlineLevel="0" collapsed="false">
      <c r="A43" s="60" t="n">
        <v>38</v>
      </c>
      <c r="B43" s="61"/>
      <c r="C43" s="62" t="s">
        <v>442</v>
      </c>
      <c r="D43" s="63" t="s">
        <v>420</v>
      </c>
      <c r="E43" s="63" t="s">
        <v>1654</v>
      </c>
      <c r="F43" s="63" t="s">
        <v>443</v>
      </c>
      <c r="G43" s="63" t="s">
        <v>445</v>
      </c>
      <c r="H43" s="85" t="s">
        <v>1660</v>
      </c>
      <c r="I43" s="86" t="n">
        <v>1991</v>
      </c>
      <c r="J43" s="65" t="s">
        <v>1665</v>
      </c>
      <c r="K43" s="65" t="s">
        <v>1665</v>
      </c>
      <c r="L43" s="65" t="s">
        <v>1666</v>
      </c>
      <c r="M43" s="65" t="s">
        <v>1569</v>
      </c>
      <c r="N43" s="66" t="s">
        <v>1595</v>
      </c>
    </row>
    <row r="44" customFormat="false" ht="14.25" hidden="false" customHeight="false" outlineLevel="0" collapsed="false">
      <c r="A44" s="60" t="n">
        <v>39</v>
      </c>
      <c r="B44" s="61"/>
      <c r="C44" s="62" t="s">
        <v>417</v>
      </c>
      <c r="D44" s="63" t="s">
        <v>416</v>
      </c>
      <c r="E44" s="63" t="s">
        <v>1654</v>
      </c>
      <c r="F44" s="63" t="s">
        <v>418</v>
      </c>
      <c r="G44" s="63" t="s">
        <v>419</v>
      </c>
      <c r="H44" s="85" t="s">
        <v>1667</v>
      </c>
      <c r="I44" s="86" t="n">
        <v>2015</v>
      </c>
      <c r="J44" s="65" t="s">
        <v>1668</v>
      </c>
      <c r="K44" s="65" t="s">
        <v>1668</v>
      </c>
      <c r="L44" s="65" t="s">
        <v>1669</v>
      </c>
      <c r="M44" s="65" t="s">
        <v>1569</v>
      </c>
      <c r="N44" s="66" t="s">
        <v>1598</v>
      </c>
    </row>
    <row r="45" customFormat="false" ht="14.25" hidden="false" customHeight="false" outlineLevel="0" collapsed="false">
      <c r="A45" s="60" t="n">
        <v>40</v>
      </c>
      <c r="B45" s="61"/>
      <c r="C45" s="62" t="s">
        <v>421</v>
      </c>
      <c r="D45" s="63" t="s">
        <v>420</v>
      </c>
      <c r="E45" s="63" t="s">
        <v>1654</v>
      </c>
      <c r="F45" s="63" t="s">
        <v>422</v>
      </c>
      <c r="G45" s="63" t="s">
        <v>424</v>
      </c>
      <c r="H45" s="85" t="s">
        <v>1660</v>
      </c>
      <c r="I45" s="86" t="n">
        <v>2003</v>
      </c>
      <c r="J45" s="65" t="s">
        <v>1670</v>
      </c>
      <c r="K45" s="65" t="s">
        <v>1670</v>
      </c>
      <c r="L45" s="65" t="s">
        <v>1671</v>
      </c>
      <c r="M45" s="65" t="s">
        <v>1569</v>
      </c>
      <c r="N45" s="66" t="s">
        <v>1595</v>
      </c>
    </row>
    <row r="46" customFormat="false" ht="14.25" hidden="false" customHeight="false" outlineLevel="0" collapsed="false">
      <c r="A46" s="60" t="n">
        <v>41</v>
      </c>
      <c r="B46" s="61"/>
      <c r="C46" s="62" t="s">
        <v>434</v>
      </c>
      <c r="D46" s="63" t="s">
        <v>425</v>
      </c>
      <c r="E46" s="63" t="s">
        <v>1654</v>
      </c>
      <c r="F46" s="63" t="s">
        <v>431</v>
      </c>
      <c r="G46" s="63" t="s">
        <v>435</v>
      </c>
      <c r="H46" s="85" t="s">
        <v>1655</v>
      </c>
      <c r="I46" s="86" t="n">
        <v>1996</v>
      </c>
      <c r="J46" s="65" t="s">
        <v>1672</v>
      </c>
      <c r="K46" s="65" t="s">
        <v>1672</v>
      </c>
      <c r="L46" s="65" t="s">
        <v>1673</v>
      </c>
      <c r="M46" s="65" t="s">
        <v>1569</v>
      </c>
      <c r="N46" s="66" t="s">
        <v>1674</v>
      </c>
    </row>
    <row r="47" customFormat="false" ht="14.25" hidden="false" customHeight="false" outlineLevel="0" collapsed="false">
      <c r="A47" s="60" t="n">
        <v>42</v>
      </c>
      <c r="B47" s="61"/>
      <c r="C47" s="62" t="s">
        <v>405</v>
      </c>
      <c r="D47" s="63" t="s">
        <v>404</v>
      </c>
      <c r="E47" s="63" t="s">
        <v>1654</v>
      </c>
      <c r="F47" s="63" t="s">
        <v>406</v>
      </c>
      <c r="G47" s="63" t="s">
        <v>407</v>
      </c>
      <c r="H47" s="85" t="s">
        <v>1667</v>
      </c>
      <c r="I47" s="86" t="n">
        <v>2016</v>
      </c>
      <c r="J47" s="65" t="s">
        <v>1675</v>
      </c>
      <c r="K47" s="65" t="s">
        <v>1675</v>
      </c>
      <c r="L47" s="65" t="s">
        <v>1676</v>
      </c>
      <c r="M47" s="65" t="s">
        <v>1569</v>
      </c>
      <c r="N47" s="66" t="s">
        <v>1595</v>
      </c>
    </row>
    <row r="48" customFormat="false" ht="14.25" hidden="false" customHeight="false" outlineLevel="0" collapsed="false">
      <c r="A48" s="60" t="n">
        <v>43</v>
      </c>
      <c r="B48" s="61"/>
      <c r="C48" s="62" t="s">
        <v>408</v>
      </c>
      <c r="D48" s="63" t="s">
        <v>404</v>
      </c>
      <c r="E48" s="63" t="s">
        <v>1654</v>
      </c>
      <c r="F48" s="63" t="s">
        <v>406</v>
      </c>
      <c r="G48" s="63" t="s">
        <v>409</v>
      </c>
      <c r="H48" s="85" t="s">
        <v>1667</v>
      </c>
      <c r="I48" s="86" t="n">
        <v>2016</v>
      </c>
      <c r="J48" s="65" t="s">
        <v>1677</v>
      </c>
      <c r="K48" s="65" t="s">
        <v>1677</v>
      </c>
      <c r="L48" s="65" t="s">
        <v>1678</v>
      </c>
      <c r="M48" s="65" t="s">
        <v>1569</v>
      </c>
      <c r="N48" s="66" t="s">
        <v>1674</v>
      </c>
    </row>
    <row r="49" customFormat="false" ht="14.25" hidden="false" customHeight="false" outlineLevel="0" collapsed="false">
      <c r="A49" s="60" t="n">
        <v>44</v>
      </c>
      <c r="B49" s="61"/>
      <c r="C49" s="62" t="s">
        <v>410</v>
      </c>
      <c r="D49" s="63" t="s">
        <v>394</v>
      </c>
      <c r="E49" s="63" t="s">
        <v>1654</v>
      </c>
      <c r="F49" s="63" t="s">
        <v>400</v>
      </c>
      <c r="G49" s="63" t="s">
        <v>411</v>
      </c>
      <c r="H49" s="85" t="s">
        <v>1679</v>
      </c>
      <c r="I49" s="86" t="n">
        <v>2016</v>
      </c>
      <c r="J49" s="65" t="s">
        <v>1680</v>
      </c>
      <c r="K49" s="65" t="s">
        <v>1680</v>
      </c>
      <c r="L49" s="65" t="s">
        <v>1681</v>
      </c>
      <c r="M49" s="65" t="s">
        <v>1569</v>
      </c>
      <c r="N49" s="66" t="s">
        <v>1595</v>
      </c>
    </row>
    <row r="50" customFormat="false" ht="14.25" hidden="false" customHeight="false" outlineLevel="0" collapsed="false">
      <c r="A50" s="60" t="n">
        <v>45</v>
      </c>
      <c r="B50" s="61"/>
      <c r="C50" s="62" t="s">
        <v>402</v>
      </c>
      <c r="D50" s="63" t="s">
        <v>394</v>
      </c>
      <c r="E50" s="63" t="s">
        <v>1654</v>
      </c>
      <c r="F50" s="63" t="s">
        <v>400</v>
      </c>
      <c r="G50" s="63" t="s">
        <v>403</v>
      </c>
      <c r="H50" s="85" t="s">
        <v>1679</v>
      </c>
      <c r="I50" s="86" t="n">
        <v>2016</v>
      </c>
      <c r="J50" s="65" t="s">
        <v>1682</v>
      </c>
      <c r="K50" s="65" t="s">
        <v>1682</v>
      </c>
      <c r="L50" s="65" t="s">
        <v>1683</v>
      </c>
      <c r="M50" s="65" t="s">
        <v>1684</v>
      </c>
      <c r="N50" s="66" t="s">
        <v>1595</v>
      </c>
    </row>
    <row r="51" customFormat="false" ht="14.25" hidden="false" customHeight="false" outlineLevel="0" collapsed="false">
      <c r="A51" s="60" t="n">
        <v>46</v>
      </c>
      <c r="B51" s="61"/>
      <c r="C51" s="62" t="s">
        <v>412</v>
      </c>
      <c r="D51" s="63" t="s">
        <v>394</v>
      </c>
      <c r="E51" s="63" t="s">
        <v>1654</v>
      </c>
      <c r="F51" s="63" t="s">
        <v>400</v>
      </c>
      <c r="G51" s="63" t="s">
        <v>413</v>
      </c>
      <c r="H51" s="85" t="s">
        <v>1679</v>
      </c>
      <c r="I51" s="86" t="n">
        <v>2016</v>
      </c>
      <c r="J51" s="65" t="s">
        <v>1685</v>
      </c>
      <c r="K51" s="65" t="s">
        <v>1685</v>
      </c>
      <c r="L51" s="65" t="s">
        <v>1686</v>
      </c>
      <c r="M51" s="65" t="s">
        <v>1569</v>
      </c>
      <c r="N51" s="66" t="s">
        <v>1601</v>
      </c>
    </row>
    <row r="52" customFormat="false" ht="14.25" hidden="false" customHeight="false" outlineLevel="0" collapsed="false">
      <c r="A52" s="60" t="n">
        <v>47</v>
      </c>
      <c r="B52" s="61"/>
      <c r="C52" s="62" t="s">
        <v>395</v>
      </c>
      <c r="D52" s="63" t="s">
        <v>394</v>
      </c>
      <c r="E52" s="63" t="s">
        <v>1654</v>
      </c>
      <c r="F52" s="63" t="s">
        <v>396</v>
      </c>
      <c r="G52" s="63" t="s">
        <v>398</v>
      </c>
      <c r="H52" s="85" t="s">
        <v>1667</v>
      </c>
      <c r="I52" s="86" t="n">
        <v>2017</v>
      </c>
      <c r="J52" s="65" t="s">
        <v>1687</v>
      </c>
      <c r="K52" s="65" t="s">
        <v>1687</v>
      </c>
      <c r="L52" s="65" t="s">
        <v>1688</v>
      </c>
      <c r="M52" s="65" t="s">
        <v>1684</v>
      </c>
      <c r="N52" s="66" t="s">
        <v>1595</v>
      </c>
    </row>
    <row r="53" customFormat="false" ht="14.25" hidden="false" customHeight="false" outlineLevel="0" collapsed="false">
      <c r="A53" s="60" t="n">
        <v>48</v>
      </c>
      <c r="B53" s="61"/>
      <c r="C53" s="62" t="s">
        <v>399</v>
      </c>
      <c r="D53" s="63" t="s">
        <v>394</v>
      </c>
      <c r="E53" s="63" t="s">
        <v>1654</v>
      </c>
      <c r="F53" s="63" t="s">
        <v>400</v>
      </c>
      <c r="G53" s="63" t="s">
        <v>401</v>
      </c>
      <c r="H53" s="85" t="s">
        <v>1679</v>
      </c>
      <c r="I53" s="86" t="n">
        <v>2017</v>
      </c>
      <c r="J53" s="65" t="s">
        <v>1689</v>
      </c>
      <c r="K53" s="65" t="s">
        <v>1689</v>
      </c>
      <c r="L53" s="65" t="s">
        <v>1690</v>
      </c>
      <c r="M53" s="65" t="s">
        <v>1684</v>
      </c>
      <c r="N53" s="66" t="s">
        <v>1598</v>
      </c>
    </row>
    <row r="54" customFormat="false" ht="14.25" hidden="false" customHeight="false" outlineLevel="0" collapsed="false">
      <c r="A54" s="60" t="n">
        <v>49</v>
      </c>
      <c r="B54" s="61"/>
      <c r="C54" s="62" t="s">
        <v>414</v>
      </c>
      <c r="D54" s="63" t="s">
        <v>394</v>
      </c>
      <c r="E54" s="63" t="s">
        <v>1654</v>
      </c>
      <c r="F54" s="63" t="s">
        <v>396</v>
      </c>
      <c r="G54" s="63" t="s">
        <v>415</v>
      </c>
      <c r="H54" s="85" t="s">
        <v>1667</v>
      </c>
      <c r="I54" s="86" t="n">
        <v>2017</v>
      </c>
      <c r="J54" s="65" t="s">
        <v>1691</v>
      </c>
      <c r="K54" s="65" t="s">
        <v>1691</v>
      </c>
      <c r="L54" s="65" t="s">
        <v>1692</v>
      </c>
      <c r="M54" s="65" t="s">
        <v>1569</v>
      </c>
      <c r="N54" s="66" t="s">
        <v>1601</v>
      </c>
    </row>
    <row r="55" customFormat="false" ht="14.25" hidden="false" customHeight="false" outlineLevel="0" collapsed="false">
      <c r="A55" s="74"/>
      <c r="B55" s="74"/>
      <c r="C55" s="75"/>
      <c r="D55" s="79"/>
      <c r="E55" s="79"/>
      <c r="F55" s="79"/>
      <c r="G55" s="79"/>
      <c r="H55" s="84"/>
      <c r="I55" s="80"/>
      <c r="J55" s="73"/>
      <c r="K55" s="73"/>
      <c r="L55" s="73"/>
      <c r="M55" s="73"/>
      <c r="N55" s="73"/>
    </row>
    <row r="56" customFormat="false" ht="14.25" hidden="false" customHeight="true" outlineLevel="0" collapsed="false">
      <c r="A56" s="81" t="n">
        <v>50</v>
      </c>
      <c r="B56" s="87" t="s">
        <v>1693</v>
      </c>
      <c r="C56" s="83" t="s">
        <v>452</v>
      </c>
      <c r="D56" s="79" t="s">
        <v>447</v>
      </c>
      <c r="E56" s="79" t="s">
        <v>99</v>
      </c>
      <c r="F56" s="79" t="s">
        <v>453</v>
      </c>
      <c r="G56" s="79" t="s">
        <v>451</v>
      </c>
      <c r="H56" s="84" t="s">
        <v>1694</v>
      </c>
      <c r="I56" s="80" t="n">
        <v>2017</v>
      </c>
      <c r="J56" s="88" t="s">
        <v>1695</v>
      </c>
      <c r="K56" s="73"/>
      <c r="L56" s="89" t="s">
        <v>1696</v>
      </c>
      <c r="M56" s="89" t="s">
        <v>1569</v>
      </c>
      <c r="N56" s="66" t="s">
        <v>1697</v>
      </c>
    </row>
    <row r="57" customFormat="false" ht="14.25" hidden="false" customHeight="false" outlineLevel="0" collapsed="false">
      <c r="A57" s="81" t="n">
        <v>51</v>
      </c>
      <c r="B57" s="87"/>
      <c r="C57" s="83" t="s">
        <v>454</v>
      </c>
      <c r="D57" s="79" t="s">
        <v>447</v>
      </c>
      <c r="E57" s="79" t="s">
        <v>99</v>
      </c>
      <c r="F57" s="79" t="s">
        <v>455</v>
      </c>
      <c r="G57" s="79" t="s">
        <v>451</v>
      </c>
      <c r="H57" s="84" t="s">
        <v>1694</v>
      </c>
      <c r="I57" s="80" t="n">
        <v>2017</v>
      </c>
      <c r="J57" s="89" t="s">
        <v>1698</v>
      </c>
      <c r="K57" s="73"/>
      <c r="L57" s="89" t="s">
        <v>1699</v>
      </c>
      <c r="M57" s="89" t="s">
        <v>1569</v>
      </c>
      <c r="N57" s="66" t="s">
        <v>1650</v>
      </c>
    </row>
    <row r="58" customFormat="false" ht="14.25" hidden="false" customHeight="false" outlineLevel="0" collapsed="false">
      <c r="A58" s="81" t="n">
        <v>52</v>
      </c>
      <c r="B58" s="87"/>
      <c r="C58" s="83" t="s">
        <v>448</v>
      </c>
      <c r="D58" s="79" t="s">
        <v>447</v>
      </c>
      <c r="E58" s="79" t="s">
        <v>99</v>
      </c>
      <c r="F58" s="80" t="s">
        <v>449</v>
      </c>
      <c r="G58" s="79" t="s">
        <v>451</v>
      </c>
      <c r="H58" s="84" t="s">
        <v>1694</v>
      </c>
      <c r="I58" s="80" t="n">
        <v>2018</v>
      </c>
      <c r="J58" s="89" t="s">
        <v>449</v>
      </c>
      <c r="K58" s="73"/>
      <c r="L58" s="73"/>
      <c r="M58" s="73" t="s">
        <v>1569</v>
      </c>
      <c r="N58" s="66" t="s">
        <v>1613</v>
      </c>
    </row>
    <row r="59" customFormat="false" ht="14.25" hidden="false" customHeight="false" outlineLevel="0" collapsed="false">
      <c r="A59" s="74"/>
      <c r="B59" s="74"/>
      <c r="C59" s="75"/>
      <c r="D59" s="76"/>
      <c r="E59" s="77"/>
      <c r="F59" s="78"/>
      <c r="G59" s="78"/>
      <c r="H59" s="79"/>
      <c r="I59" s="80"/>
      <c r="J59" s="73"/>
      <c r="K59" s="73"/>
      <c r="L59" s="73"/>
      <c r="M59" s="73"/>
      <c r="N59" s="73"/>
    </row>
    <row r="60" s="53" customFormat="true" ht="14.25" hidden="false" customHeight="false" outlineLevel="0" collapsed="false">
      <c r="A60" s="90" t="n">
        <v>53</v>
      </c>
      <c r="B60" s="61" t="s">
        <v>456</v>
      </c>
      <c r="C60" s="91" t="s">
        <v>471</v>
      </c>
      <c r="D60" s="92"/>
      <c r="E60" s="93" t="s">
        <v>101</v>
      </c>
      <c r="F60" s="94"/>
      <c r="G60" s="94"/>
      <c r="H60" s="93" t="s">
        <v>1700</v>
      </c>
      <c r="I60" s="95" t="n">
        <v>2012</v>
      </c>
      <c r="J60" s="96"/>
      <c r="K60" s="96"/>
      <c r="L60" s="96"/>
      <c r="M60" s="96" t="s">
        <v>1569</v>
      </c>
      <c r="N60" s="96" t="s">
        <v>1701</v>
      </c>
    </row>
    <row r="61" s="53" customFormat="true" ht="14.25" hidden="false" customHeight="false" outlineLevel="0" collapsed="false">
      <c r="A61" s="90" t="n">
        <v>54</v>
      </c>
      <c r="B61" s="61"/>
      <c r="C61" s="91" t="s">
        <v>477</v>
      </c>
      <c r="D61" s="92"/>
      <c r="E61" s="93" t="s">
        <v>101</v>
      </c>
      <c r="F61" s="94"/>
      <c r="G61" s="94"/>
      <c r="H61" s="93" t="s">
        <v>1702</v>
      </c>
      <c r="I61" s="95" t="n">
        <v>2009</v>
      </c>
      <c r="J61" s="96"/>
      <c r="K61" s="96"/>
      <c r="L61" s="96"/>
      <c r="M61" s="96" t="s">
        <v>1569</v>
      </c>
      <c r="N61" s="96" t="s">
        <v>1701</v>
      </c>
    </row>
    <row r="62" s="53" customFormat="true" ht="14.25" hidden="false" customHeight="false" outlineLevel="0" collapsed="false">
      <c r="A62" s="90" t="n">
        <v>55</v>
      </c>
      <c r="B62" s="61"/>
      <c r="C62" s="91" t="s">
        <v>479</v>
      </c>
      <c r="D62" s="92"/>
      <c r="E62" s="93" t="s">
        <v>101</v>
      </c>
      <c r="F62" s="94"/>
      <c r="G62" s="94"/>
      <c r="H62" s="93" t="s">
        <v>1700</v>
      </c>
      <c r="I62" s="95" t="n">
        <v>2012</v>
      </c>
      <c r="J62" s="96"/>
      <c r="K62" s="96"/>
      <c r="L62" s="96"/>
      <c r="M62" s="96" t="s">
        <v>1569</v>
      </c>
      <c r="N62" s="96" t="s">
        <v>1701</v>
      </c>
    </row>
    <row r="63" customFormat="false" ht="14.25" hidden="false" customHeight="false" outlineLevel="0" collapsed="false">
      <c r="A63" s="60" t="n">
        <v>56</v>
      </c>
      <c r="B63" s="61"/>
      <c r="C63" s="62" t="s">
        <v>480</v>
      </c>
      <c r="D63" s="97"/>
      <c r="E63" s="63" t="s">
        <v>101</v>
      </c>
      <c r="F63" s="63" t="s">
        <v>478</v>
      </c>
      <c r="G63" s="98"/>
      <c r="H63" s="63" t="s">
        <v>1703</v>
      </c>
      <c r="I63" s="86" t="n">
        <v>2013</v>
      </c>
      <c r="J63" s="65"/>
      <c r="K63" s="65"/>
      <c r="L63" s="65"/>
      <c r="M63" s="65" t="s">
        <v>1569</v>
      </c>
      <c r="N63" s="66" t="s">
        <v>1622</v>
      </c>
    </row>
    <row r="64" customFormat="false" ht="14.25" hidden="false" customHeight="false" outlineLevel="0" collapsed="false">
      <c r="A64" s="60" t="n">
        <v>57</v>
      </c>
      <c r="B64" s="61"/>
      <c r="C64" s="62" t="s">
        <v>474</v>
      </c>
      <c r="D64" s="99" t="s">
        <v>473</v>
      </c>
      <c r="E64" s="63" t="s">
        <v>101</v>
      </c>
      <c r="F64" s="63" t="s">
        <v>475</v>
      </c>
      <c r="G64" s="63"/>
      <c r="H64" s="63" t="s">
        <v>1700</v>
      </c>
      <c r="I64" s="86" t="n">
        <v>2014</v>
      </c>
      <c r="J64" s="65" t="s">
        <v>1704</v>
      </c>
      <c r="K64" s="65"/>
      <c r="L64" s="65"/>
      <c r="M64" s="65" t="s">
        <v>1569</v>
      </c>
      <c r="N64" s="73" t="s">
        <v>1627</v>
      </c>
    </row>
    <row r="65" customFormat="false" ht="14.25" hidden="false" customHeight="false" outlineLevel="0" collapsed="false">
      <c r="A65" s="60" t="n">
        <v>58</v>
      </c>
      <c r="B65" s="61"/>
      <c r="C65" s="62" t="s">
        <v>484</v>
      </c>
      <c r="D65" s="63" t="s">
        <v>463</v>
      </c>
      <c r="E65" s="63" t="s">
        <v>101</v>
      </c>
      <c r="F65" s="63"/>
      <c r="G65" s="63"/>
      <c r="H65" s="63" t="s">
        <v>1700</v>
      </c>
      <c r="I65" s="86" t="n">
        <v>2014</v>
      </c>
      <c r="J65" s="65"/>
      <c r="K65" s="65"/>
      <c r="L65" s="65"/>
      <c r="M65" s="65" t="s">
        <v>1569</v>
      </c>
      <c r="N65" s="66" t="s">
        <v>1601</v>
      </c>
    </row>
    <row r="66" s="53" customFormat="true" ht="14.25" hidden="false" customHeight="false" outlineLevel="0" collapsed="false">
      <c r="A66" s="90" t="n">
        <v>59</v>
      </c>
      <c r="B66" s="61"/>
      <c r="C66" s="91" t="s">
        <v>482</v>
      </c>
      <c r="D66" s="93" t="s">
        <v>481</v>
      </c>
      <c r="E66" s="93" t="s">
        <v>101</v>
      </c>
      <c r="F66" s="93" t="s">
        <v>483</v>
      </c>
      <c r="G66" s="93"/>
      <c r="H66" s="93" t="s">
        <v>1700</v>
      </c>
      <c r="I66" s="95" t="n">
        <v>2010</v>
      </c>
      <c r="J66" s="96" t="n">
        <v>166756</v>
      </c>
      <c r="K66" s="96"/>
      <c r="L66" s="96"/>
      <c r="M66" s="96" t="s">
        <v>1569</v>
      </c>
      <c r="N66" s="96" t="s">
        <v>1701</v>
      </c>
    </row>
    <row r="67" customFormat="false" ht="14.25" hidden="false" customHeight="false" outlineLevel="0" collapsed="false">
      <c r="A67" s="60" t="n">
        <v>60</v>
      </c>
      <c r="B67" s="61"/>
      <c r="C67" s="62" t="s">
        <v>464</v>
      </c>
      <c r="D67" s="63" t="s">
        <v>463</v>
      </c>
      <c r="E67" s="63" t="s">
        <v>101</v>
      </c>
      <c r="F67" s="63" t="s">
        <v>465</v>
      </c>
      <c r="G67" s="63"/>
      <c r="H67" s="63" t="s">
        <v>1700</v>
      </c>
      <c r="I67" s="86" t="n">
        <v>2017</v>
      </c>
      <c r="J67" s="100" t="s">
        <v>1705</v>
      </c>
      <c r="K67" s="100" t="n">
        <v>62038313</v>
      </c>
      <c r="L67" s="65"/>
      <c r="M67" s="65" t="s">
        <v>1569</v>
      </c>
      <c r="N67" s="66" t="s">
        <v>1601</v>
      </c>
    </row>
    <row r="68" customFormat="false" ht="14.25" hidden="false" customHeight="false" outlineLevel="0" collapsed="false">
      <c r="A68" s="60" t="n">
        <v>61</v>
      </c>
      <c r="B68" s="61"/>
      <c r="C68" s="62" t="s">
        <v>485</v>
      </c>
      <c r="D68" s="63" t="s">
        <v>463</v>
      </c>
      <c r="E68" s="63" t="s">
        <v>101</v>
      </c>
      <c r="F68" s="63" t="s">
        <v>465</v>
      </c>
      <c r="G68" s="63"/>
      <c r="H68" s="63" t="s">
        <v>1700</v>
      </c>
      <c r="I68" s="86" t="n">
        <v>2017</v>
      </c>
      <c r="J68" s="65" t="s">
        <v>1706</v>
      </c>
      <c r="K68" s="65"/>
      <c r="L68" s="65"/>
      <c r="M68" s="65" t="s">
        <v>1569</v>
      </c>
      <c r="N68" s="66" t="s">
        <v>1601</v>
      </c>
    </row>
    <row r="69" customFormat="false" ht="14.25" hidden="false" customHeight="false" outlineLevel="0" collapsed="false">
      <c r="A69" s="60" t="n">
        <v>62</v>
      </c>
      <c r="B69" s="61"/>
      <c r="C69" s="62" t="s">
        <v>491</v>
      </c>
      <c r="D69" s="63"/>
      <c r="E69" s="63" t="s">
        <v>101</v>
      </c>
      <c r="F69" s="63"/>
      <c r="G69" s="63"/>
      <c r="H69" s="63" t="s">
        <v>1703</v>
      </c>
      <c r="I69" s="86"/>
      <c r="J69" s="65"/>
      <c r="K69" s="65"/>
      <c r="L69" s="65"/>
      <c r="M69" s="65" t="s">
        <v>1569</v>
      </c>
      <c r="N69" s="73" t="s">
        <v>1707</v>
      </c>
    </row>
    <row r="70" customFormat="false" ht="14.25" hidden="false" customHeight="false" outlineLevel="0" collapsed="false">
      <c r="A70" s="60" t="n">
        <v>63</v>
      </c>
      <c r="B70" s="61"/>
      <c r="C70" s="62" t="s">
        <v>490</v>
      </c>
      <c r="D70" s="63" t="s">
        <v>468</v>
      </c>
      <c r="E70" s="63" t="s">
        <v>101</v>
      </c>
      <c r="F70" s="63" t="s">
        <v>470</v>
      </c>
      <c r="G70" s="63"/>
      <c r="H70" s="63" t="s">
        <v>1700</v>
      </c>
      <c r="I70" s="86"/>
      <c r="J70" s="65" t="s">
        <v>1708</v>
      </c>
      <c r="K70" s="65" t="s">
        <v>1709</v>
      </c>
      <c r="L70" s="65"/>
      <c r="M70" s="65" t="s">
        <v>1569</v>
      </c>
      <c r="N70" s="66" t="s">
        <v>1710</v>
      </c>
    </row>
    <row r="71" customFormat="false" ht="14.25" hidden="false" customHeight="false" outlineLevel="0" collapsed="false">
      <c r="A71" s="60" t="n">
        <v>64</v>
      </c>
      <c r="B71" s="61"/>
      <c r="C71" s="62" t="s">
        <v>469</v>
      </c>
      <c r="D71" s="63" t="s">
        <v>468</v>
      </c>
      <c r="E71" s="63" t="s">
        <v>101</v>
      </c>
      <c r="F71" s="63" t="s">
        <v>470</v>
      </c>
      <c r="G71" s="63"/>
      <c r="H71" s="63" t="s">
        <v>1700</v>
      </c>
      <c r="I71" s="86" t="n">
        <v>2016</v>
      </c>
      <c r="J71" s="65" t="s">
        <v>1711</v>
      </c>
      <c r="K71" s="101" t="s">
        <v>1712</v>
      </c>
      <c r="L71" s="65"/>
      <c r="M71" s="65" t="s">
        <v>1569</v>
      </c>
      <c r="N71" s="66" t="s">
        <v>1622</v>
      </c>
    </row>
    <row r="72" customFormat="false" ht="14.25" hidden="false" customHeight="false" outlineLevel="0" collapsed="false">
      <c r="A72" s="60" t="n">
        <v>65</v>
      </c>
      <c r="B72" s="61"/>
      <c r="C72" s="62" t="s">
        <v>487</v>
      </c>
      <c r="D72" s="63" t="s">
        <v>457</v>
      </c>
      <c r="E72" s="63" t="s">
        <v>101</v>
      </c>
      <c r="F72" s="63" t="s">
        <v>488</v>
      </c>
      <c r="G72" s="63"/>
      <c r="H72" s="63" t="s">
        <v>1700</v>
      </c>
      <c r="I72" s="86"/>
      <c r="J72" s="65" t="s">
        <v>1713</v>
      </c>
      <c r="K72" s="65"/>
      <c r="L72" s="65"/>
      <c r="M72" s="65" t="s">
        <v>1569</v>
      </c>
      <c r="N72" s="66" t="s">
        <v>1714</v>
      </c>
    </row>
    <row r="73" customFormat="false" ht="14.25" hidden="false" customHeight="false" outlineLevel="0" collapsed="false">
      <c r="A73" s="60" t="n">
        <v>66</v>
      </c>
      <c r="B73" s="61"/>
      <c r="C73" s="62" t="s">
        <v>492</v>
      </c>
      <c r="D73" s="63" t="s">
        <v>473</v>
      </c>
      <c r="E73" s="63" t="s">
        <v>101</v>
      </c>
      <c r="F73" s="63" t="s">
        <v>493</v>
      </c>
      <c r="G73" s="63"/>
      <c r="H73" s="63" t="s">
        <v>1703</v>
      </c>
      <c r="I73" s="86"/>
      <c r="J73" s="65"/>
      <c r="K73" s="65"/>
      <c r="L73" s="65"/>
      <c r="M73" s="65" t="s">
        <v>1569</v>
      </c>
      <c r="N73" s="66" t="s">
        <v>1595</v>
      </c>
    </row>
    <row r="74" customFormat="false" ht="14.25" hidden="false" customHeight="false" outlineLevel="0" collapsed="false">
      <c r="A74" s="60" t="n">
        <v>67</v>
      </c>
      <c r="B74" s="61"/>
      <c r="C74" s="62" t="s">
        <v>467</v>
      </c>
      <c r="D74" s="63" t="s">
        <v>466</v>
      </c>
      <c r="E74" s="63" t="s">
        <v>101</v>
      </c>
      <c r="F74" s="63"/>
      <c r="G74" s="63"/>
      <c r="H74" s="63" t="s">
        <v>1703</v>
      </c>
      <c r="I74" s="86"/>
      <c r="J74" s="65"/>
      <c r="K74" s="65"/>
      <c r="L74" s="65"/>
      <c r="M74" s="65" t="s">
        <v>1569</v>
      </c>
      <c r="N74" s="73"/>
    </row>
    <row r="75" customFormat="false" ht="14.25" hidden="false" customHeight="false" outlineLevel="0" collapsed="false">
      <c r="A75" s="60" t="n">
        <v>68</v>
      </c>
      <c r="B75" s="61"/>
      <c r="C75" s="62" t="s">
        <v>489</v>
      </c>
      <c r="D75" s="63" t="s">
        <v>457</v>
      </c>
      <c r="E75" s="63" t="s">
        <v>101</v>
      </c>
      <c r="F75" s="63" t="s">
        <v>461</v>
      </c>
      <c r="G75" s="63"/>
      <c r="H75" s="63" t="s">
        <v>1700</v>
      </c>
      <c r="I75" s="86"/>
      <c r="J75" s="65" t="s">
        <v>1715</v>
      </c>
      <c r="K75" s="65"/>
      <c r="L75" s="65"/>
      <c r="M75" s="65" t="s">
        <v>1569</v>
      </c>
      <c r="N75" s="66" t="s">
        <v>1622</v>
      </c>
    </row>
    <row r="76" customFormat="false" ht="14.25" hidden="false" customHeight="false" outlineLevel="0" collapsed="false">
      <c r="A76" s="60" t="n">
        <v>69</v>
      </c>
      <c r="B76" s="61"/>
      <c r="C76" s="62" t="s">
        <v>458</v>
      </c>
      <c r="D76" s="63" t="s">
        <v>457</v>
      </c>
      <c r="E76" s="63" t="s">
        <v>101</v>
      </c>
      <c r="F76" s="63" t="s">
        <v>459</v>
      </c>
      <c r="G76" s="63"/>
      <c r="H76" s="63" t="s">
        <v>1716</v>
      </c>
      <c r="I76" s="86" t="n">
        <v>2021</v>
      </c>
      <c r="J76" s="65" t="s">
        <v>1717</v>
      </c>
      <c r="K76" s="65"/>
      <c r="L76" s="65"/>
      <c r="M76" s="65" t="s">
        <v>1569</v>
      </c>
      <c r="N76" s="66" t="s">
        <v>1601</v>
      </c>
    </row>
    <row r="77" customFormat="false" ht="14.25" hidden="false" customHeight="false" outlineLevel="0" collapsed="false">
      <c r="A77" s="60" t="n">
        <v>70</v>
      </c>
      <c r="B77" s="61"/>
      <c r="C77" s="62" t="s">
        <v>460</v>
      </c>
      <c r="D77" s="63" t="s">
        <v>457</v>
      </c>
      <c r="E77" s="63" t="s">
        <v>101</v>
      </c>
      <c r="F77" s="63" t="s">
        <v>461</v>
      </c>
      <c r="G77" s="63"/>
      <c r="H77" s="63" t="s">
        <v>1700</v>
      </c>
      <c r="I77" s="86" t="n">
        <v>2021</v>
      </c>
      <c r="J77" s="65" t="s">
        <v>1718</v>
      </c>
      <c r="K77" s="65"/>
      <c r="L77" s="65"/>
      <c r="M77" s="65" t="s">
        <v>1569</v>
      </c>
      <c r="N77" s="66" t="s">
        <v>1618</v>
      </c>
    </row>
    <row r="78" customFormat="false" ht="14.25" hidden="false" customHeight="false" outlineLevel="0" collapsed="false">
      <c r="A78" s="60" t="n">
        <v>71</v>
      </c>
      <c r="B78" s="61"/>
      <c r="C78" s="62" t="s">
        <v>462</v>
      </c>
      <c r="D78" s="63" t="s">
        <v>457</v>
      </c>
      <c r="E78" s="63" t="s">
        <v>101</v>
      </c>
      <c r="F78" s="63" t="s">
        <v>461</v>
      </c>
      <c r="G78" s="63"/>
      <c r="H78" s="63" t="s">
        <v>1700</v>
      </c>
      <c r="I78" s="86" t="n">
        <v>2021</v>
      </c>
      <c r="J78" s="65" t="s">
        <v>1719</v>
      </c>
      <c r="K78" s="65"/>
      <c r="L78" s="65"/>
      <c r="M78" s="65" t="s">
        <v>1569</v>
      </c>
      <c r="N78" s="66" t="s">
        <v>1595</v>
      </c>
    </row>
    <row r="79" customFormat="false" ht="14.25" hidden="false" customHeight="false" outlineLevel="0" collapsed="false">
      <c r="A79" s="102"/>
      <c r="B79" s="102"/>
      <c r="C79" s="103"/>
      <c r="D79" s="104"/>
      <c r="E79" s="104"/>
      <c r="F79" s="104"/>
      <c r="G79" s="104"/>
      <c r="H79" s="104"/>
      <c r="I79" s="105"/>
      <c r="J79" s="106"/>
      <c r="K79" s="106"/>
      <c r="L79" s="106"/>
      <c r="M79" s="106"/>
      <c r="N79" s="73"/>
    </row>
    <row r="80" customFormat="false" ht="14.25" hidden="false" customHeight="false" outlineLevel="0" collapsed="false">
      <c r="A80" s="107" t="n">
        <v>72</v>
      </c>
      <c r="B80" s="108" t="s">
        <v>494</v>
      </c>
      <c r="C80" s="83" t="s">
        <v>495</v>
      </c>
      <c r="D80" s="104"/>
      <c r="E80" s="79" t="s">
        <v>103</v>
      </c>
      <c r="F80" s="104"/>
      <c r="G80" s="104"/>
      <c r="H80" s="104" t="s">
        <v>1720</v>
      </c>
      <c r="I80" s="105" t="n">
        <v>2010</v>
      </c>
      <c r="J80" s="106"/>
      <c r="K80" s="106"/>
      <c r="L80" s="106"/>
      <c r="M80" s="106" t="s">
        <v>1569</v>
      </c>
      <c r="N80" s="73"/>
    </row>
    <row r="81" customFormat="false" ht="14.25" hidden="false" customHeight="false" outlineLevel="0" collapsed="false">
      <c r="A81" s="107" t="n">
        <v>73</v>
      </c>
      <c r="B81" s="108"/>
      <c r="C81" s="83" t="s">
        <v>496</v>
      </c>
      <c r="D81" s="79" t="s">
        <v>369</v>
      </c>
      <c r="E81" s="79" t="s">
        <v>103</v>
      </c>
      <c r="F81" s="104"/>
      <c r="G81" s="104"/>
      <c r="H81" s="79" t="s">
        <v>1721</v>
      </c>
      <c r="I81" s="109" t="n">
        <v>2012</v>
      </c>
      <c r="J81" s="106"/>
      <c r="K81" s="106"/>
      <c r="L81" s="106"/>
      <c r="M81" s="106" t="s">
        <v>1569</v>
      </c>
      <c r="N81" s="66" t="s">
        <v>1595</v>
      </c>
    </row>
    <row r="82" customFormat="false" ht="14.25" hidden="false" customHeight="false" outlineLevel="0" collapsed="false">
      <c r="A82" s="107" t="n">
        <v>74</v>
      </c>
      <c r="B82" s="108"/>
      <c r="C82" s="83" t="s">
        <v>498</v>
      </c>
      <c r="D82" s="79"/>
      <c r="E82" s="79" t="s">
        <v>103</v>
      </c>
      <c r="F82" s="104"/>
      <c r="G82" s="104"/>
      <c r="H82" s="79" t="s">
        <v>1721</v>
      </c>
      <c r="I82" s="109" t="n">
        <v>2013</v>
      </c>
      <c r="J82" s="106"/>
      <c r="K82" s="106"/>
      <c r="L82" s="106"/>
      <c r="M82" s="106" t="s">
        <v>1569</v>
      </c>
      <c r="N82" s="66" t="s">
        <v>1722</v>
      </c>
    </row>
    <row r="83" customFormat="false" ht="14.25" hidden="false" customHeight="false" outlineLevel="0" collapsed="false">
      <c r="A83" s="107" t="n">
        <v>75</v>
      </c>
      <c r="B83" s="108"/>
      <c r="C83" s="83" t="s">
        <v>511</v>
      </c>
      <c r="D83" s="79"/>
      <c r="E83" s="79" t="s">
        <v>103</v>
      </c>
      <c r="F83" s="104"/>
      <c r="G83" s="104"/>
      <c r="H83" s="79" t="s">
        <v>1721</v>
      </c>
      <c r="I83" s="109" t="n">
        <v>2010</v>
      </c>
      <c r="J83" s="106"/>
      <c r="K83" s="106"/>
      <c r="L83" s="106"/>
      <c r="M83" s="106" t="s">
        <v>1569</v>
      </c>
      <c r="N83" s="73"/>
    </row>
    <row r="84" customFormat="false" ht="14.25" hidden="false" customHeight="false" outlineLevel="0" collapsed="false">
      <c r="A84" s="107" t="n">
        <v>76</v>
      </c>
      <c r="B84" s="108"/>
      <c r="C84" s="83" t="s">
        <v>516</v>
      </c>
      <c r="D84" s="79"/>
      <c r="E84" s="79" t="s">
        <v>103</v>
      </c>
      <c r="F84" s="104"/>
      <c r="G84" s="104"/>
      <c r="H84" s="79" t="s">
        <v>1721</v>
      </c>
      <c r="I84" s="109" t="n">
        <v>2012</v>
      </c>
      <c r="J84" s="106"/>
      <c r="K84" s="106"/>
      <c r="L84" s="106"/>
      <c r="M84" s="106" t="s">
        <v>1569</v>
      </c>
      <c r="N84" s="73"/>
    </row>
    <row r="85" customFormat="false" ht="14.25" hidden="false" customHeight="false" outlineLevel="0" collapsed="false">
      <c r="A85" s="107" t="n">
        <v>77</v>
      </c>
      <c r="B85" s="108"/>
      <c r="C85" s="83" t="s">
        <v>517</v>
      </c>
      <c r="D85" s="79"/>
      <c r="E85" s="79" t="s">
        <v>103</v>
      </c>
      <c r="F85" s="104"/>
      <c r="G85" s="104"/>
      <c r="H85" s="79" t="s">
        <v>1720</v>
      </c>
      <c r="I85" s="109" t="n">
        <v>2015</v>
      </c>
      <c r="J85" s="106"/>
      <c r="K85" s="106"/>
      <c r="L85" s="106"/>
      <c r="M85" s="106" t="s">
        <v>1569</v>
      </c>
      <c r="N85" s="73"/>
    </row>
    <row r="86" customFormat="false" ht="14.25" hidden="false" customHeight="false" outlineLevel="0" collapsed="false">
      <c r="A86" s="107" t="n">
        <v>78</v>
      </c>
      <c r="B86" s="108"/>
      <c r="C86" s="83" t="s">
        <v>523</v>
      </c>
      <c r="D86" s="79" t="s">
        <v>386</v>
      </c>
      <c r="E86" s="79" t="s">
        <v>103</v>
      </c>
      <c r="F86" s="79" t="s">
        <v>524</v>
      </c>
      <c r="G86" s="104"/>
      <c r="H86" s="79" t="s">
        <v>1721</v>
      </c>
      <c r="I86" s="109" t="n">
        <v>2013</v>
      </c>
      <c r="J86" s="106"/>
      <c r="K86" s="106"/>
      <c r="L86" s="106"/>
      <c r="M86" s="106" t="s">
        <v>1569</v>
      </c>
      <c r="N86" s="66" t="s">
        <v>1595</v>
      </c>
    </row>
    <row r="87" customFormat="false" ht="14.25" hidden="false" customHeight="false" outlineLevel="0" collapsed="false">
      <c r="A87" s="107" t="n">
        <v>79</v>
      </c>
      <c r="B87" s="108"/>
      <c r="C87" s="83" t="s">
        <v>532</v>
      </c>
      <c r="D87" s="79" t="s">
        <v>499</v>
      </c>
      <c r="E87" s="79" t="s">
        <v>103</v>
      </c>
      <c r="F87" s="104"/>
      <c r="G87" s="104"/>
      <c r="H87" s="79" t="s">
        <v>1723</v>
      </c>
      <c r="I87" s="109" t="n">
        <v>2013</v>
      </c>
      <c r="J87" s="106"/>
      <c r="K87" s="106"/>
      <c r="L87" s="106"/>
      <c r="M87" s="106" t="s">
        <v>1569</v>
      </c>
      <c r="N87" s="66" t="s">
        <v>1595</v>
      </c>
    </row>
    <row r="88" customFormat="false" ht="14.25" hidden="false" customHeight="false" outlineLevel="0" collapsed="false">
      <c r="A88" s="107" t="n">
        <v>80</v>
      </c>
      <c r="B88" s="108"/>
      <c r="C88" s="83" t="s">
        <v>532</v>
      </c>
      <c r="D88" s="79" t="s">
        <v>531</v>
      </c>
      <c r="E88" s="79" t="s">
        <v>103</v>
      </c>
      <c r="F88" s="104"/>
      <c r="G88" s="104"/>
      <c r="H88" s="79" t="s">
        <v>1723</v>
      </c>
      <c r="I88" s="109"/>
      <c r="J88" s="106"/>
      <c r="K88" s="106"/>
      <c r="L88" s="106"/>
      <c r="M88" s="106" t="s">
        <v>1569</v>
      </c>
      <c r="N88" s="66" t="s">
        <v>1595</v>
      </c>
    </row>
    <row r="89" customFormat="false" ht="14.25" hidden="false" customHeight="false" outlineLevel="0" collapsed="false">
      <c r="A89" s="107" t="n">
        <v>81</v>
      </c>
      <c r="B89" s="108"/>
      <c r="C89" s="83" t="s">
        <v>525</v>
      </c>
      <c r="D89" s="79" t="s">
        <v>457</v>
      </c>
      <c r="E89" s="79" t="s">
        <v>103</v>
      </c>
      <c r="F89" s="79" t="s">
        <v>526</v>
      </c>
      <c r="G89" s="104"/>
      <c r="H89" s="79" t="s">
        <v>1721</v>
      </c>
      <c r="I89" s="109" t="n">
        <v>2013</v>
      </c>
      <c r="J89" s="89"/>
      <c r="K89" s="106"/>
      <c r="L89" s="106"/>
      <c r="M89" s="106" t="s">
        <v>1569</v>
      </c>
      <c r="N89" s="66" t="s">
        <v>1595</v>
      </c>
    </row>
    <row r="90" customFormat="false" ht="14.25" hidden="false" customHeight="false" outlineLevel="0" collapsed="false">
      <c r="A90" s="107" t="n">
        <v>82</v>
      </c>
      <c r="B90" s="108"/>
      <c r="C90" s="83" t="s">
        <v>518</v>
      </c>
      <c r="D90" s="79" t="s">
        <v>499</v>
      </c>
      <c r="E90" s="79" t="s">
        <v>103</v>
      </c>
      <c r="F90" s="79" t="s">
        <v>519</v>
      </c>
      <c r="G90" s="104"/>
      <c r="H90" s="79" t="s">
        <v>1721</v>
      </c>
      <c r="I90" s="109" t="n">
        <v>2013</v>
      </c>
      <c r="J90" s="89" t="n">
        <v>101650301735</v>
      </c>
      <c r="K90" s="106"/>
      <c r="L90" s="73" t="s">
        <v>1724</v>
      </c>
      <c r="M90" s="89" t="s">
        <v>1569</v>
      </c>
      <c r="N90" s="66" t="s">
        <v>1595</v>
      </c>
    </row>
    <row r="91" s="53" customFormat="true" ht="14.25" hidden="false" customHeight="false" outlineLevel="0" collapsed="false">
      <c r="A91" s="90" t="n">
        <v>83</v>
      </c>
      <c r="B91" s="108"/>
      <c r="C91" s="91" t="s">
        <v>527</v>
      </c>
      <c r="D91" s="93" t="s">
        <v>457</v>
      </c>
      <c r="E91" s="93" t="s">
        <v>103</v>
      </c>
      <c r="F91" s="93" t="s">
        <v>528</v>
      </c>
      <c r="G91" s="93"/>
      <c r="H91" s="93" t="s">
        <v>1721</v>
      </c>
      <c r="I91" s="110" t="n">
        <v>2013</v>
      </c>
      <c r="J91" s="96" t="s">
        <v>1725</v>
      </c>
      <c r="K91" s="96"/>
      <c r="L91" s="96"/>
      <c r="M91" s="96" t="s">
        <v>1569</v>
      </c>
      <c r="N91" s="96" t="s">
        <v>1701</v>
      </c>
    </row>
    <row r="92" customFormat="false" ht="14.25" hidden="false" customHeight="false" outlineLevel="0" collapsed="false">
      <c r="A92" s="107" t="n">
        <v>84</v>
      </c>
      <c r="B92" s="108"/>
      <c r="C92" s="83" t="s">
        <v>533</v>
      </c>
      <c r="D92" s="79" t="s">
        <v>499</v>
      </c>
      <c r="E92" s="79" t="s">
        <v>103</v>
      </c>
      <c r="F92" s="79" t="s">
        <v>519</v>
      </c>
      <c r="G92" s="104"/>
      <c r="H92" s="79" t="s">
        <v>1721</v>
      </c>
      <c r="I92" s="109" t="n">
        <v>2013</v>
      </c>
      <c r="J92" s="73" t="s">
        <v>1726</v>
      </c>
      <c r="K92" s="106"/>
      <c r="L92" s="89" t="n">
        <v>101650301736</v>
      </c>
      <c r="M92" s="89" t="s">
        <v>1569</v>
      </c>
      <c r="N92" s="66" t="s">
        <v>1622</v>
      </c>
    </row>
    <row r="93" customFormat="false" ht="14.25" hidden="false" customHeight="false" outlineLevel="0" collapsed="false">
      <c r="A93" s="107" t="n">
        <v>85</v>
      </c>
      <c r="B93" s="108"/>
      <c r="C93" s="83" t="s">
        <v>534</v>
      </c>
      <c r="D93" s="79" t="s">
        <v>468</v>
      </c>
      <c r="E93" s="79" t="s">
        <v>103</v>
      </c>
      <c r="F93" s="79"/>
      <c r="G93" s="104"/>
      <c r="H93" s="79" t="s">
        <v>1721</v>
      </c>
      <c r="I93" s="109" t="n">
        <v>2012</v>
      </c>
      <c r="J93" s="106"/>
      <c r="K93" s="106"/>
      <c r="L93" s="106"/>
      <c r="M93" s="106" t="s">
        <v>1569</v>
      </c>
      <c r="N93" s="66" t="s">
        <v>1595</v>
      </c>
    </row>
    <row r="94" customFormat="false" ht="14.25" hidden="false" customHeight="false" outlineLevel="0" collapsed="false">
      <c r="A94" s="107" t="n">
        <v>86</v>
      </c>
      <c r="B94" s="108"/>
      <c r="C94" s="83" t="s">
        <v>500</v>
      </c>
      <c r="D94" s="79" t="s">
        <v>499</v>
      </c>
      <c r="E94" s="79" t="s">
        <v>103</v>
      </c>
      <c r="F94" s="79" t="s">
        <v>501</v>
      </c>
      <c r="G94" s="104"/>
      <c r="H94" s="79" t="s">
        <v>1721</v>
      </c>
      <c r="I94" s="109" t="n">
        <v>2016</v>
      </c>
      <c r="J94" s="73" t="s">
        <v>1727</v>
      </c>
      <c r="K94" s="73" t="s">
        <v>1727</v>
      </c>
      <c r="L94" s="89"/>
      <c r="M94" s="89" t="s">
        <v>1569</v>
      </c>
      <c r="N94" s="66" t="s">
        <v>1728</v>
      </c>
    </row>
    <row r="95" customFormat="false" ht="14.25" hidden="false" customHeight="false" outlineLevel="0" collapsed="false">
      <c r="A95" s="107" t="n">
        <v>87</v>
      </c>
      <c r="B95" s="108"/>
      <c r="C95" s="83" t="s">
        <v>535</v>
      </c>
      <c r="D95" s="79"/>
      <c r="E95" s="79" t="s">
        <v>103</v>
      </c>
      <c r="F95" s="104"/>
      <c r="G95" s="104"/>
      <c r="H95" s="79"/>
      <c r="I95" s="109"/>
      <c r="J95" s="106"/>
      <c r="K95" s="106"/>
      <c r="L95" s="106"/>
      <c r="M95" s="106" t="s">
        <v>1569</v>
      </c>
      <c r="N95" s="73"/>
    </row>
    <row r="96" customFormat="false" ht="14.25" hidden="false" customHeight="false" outlineLevel="0" collapsed="false">
      <c r="A96" s="107" t="n">
        <v>88</v>
      </c>
      <c r="B96" s="108"/>
      <c r="C96" s="83" t="s">
        <v>536</v>
      </c>
      <c r="D96" s="79"/>
      <c r="E96" s="79" t="s">
        <v>103</v>
      </c>
      <c r="F96" s="104"/>
      <c r="G96" s="104"/>
      <c r="H96" s="79"/>
      <c r="I96" s="109"/>
      <c r="J96" s="106"/>
      <c r="K96" s="106"/>
      <c r="L96" s="106"/>
      <c r="M96" s="106" t="s">
        <v>1569</v>
      </c>
      <c r="N96" s="73"/>
    </row>
    <row r="97" customFormat="false" ht="14.25" hidden="false" customHeight="false" outlineLevel="0" collapsed="false">
      <c r="A97" s="107" t="n">
        <v>89</v>
      </c>
      <c r="B97" s="108"/>
      <c r="C97" s="83" t="s">
        <v>537</v>
      </c>
      <c r="D97" s="79"/>
      <c r="E97" s="79" t="s">
        <v>103</v>
      </c>
      <c r="F97" s="104"/>
      <c r="G97" s="104"/>
      <c r="H97" s="79"/>
      <c r="I97" s="109"/>
      <c r="J97" s="106"/>
      <c r="K97" s="106"/>
      <c r="L97" s="106"/>
      <c r="M97" s="106" t="s">
        <v>1569</v>
      </c>
      <c r="N97" s="73"/>
    </row>
    <row r="98" customFormat="false" ht="14.25" hidden="false" customHeight="false" outlineLevel="0" collapsed="false">
      <c r="A98" s="107" t="n">
        <v>90</v>
      </c>
      <c r="B98" s="108"/>
      <c r="C98" s="83" t="s">
        <v>502</v>
      </c>
      <c r="D98" s="79" t="s">
        <v>499</v>
      </c>
      <c r="E98" s="79" t="s">
        <v>103</v>
      </c>
      <c r="F98" s="79" t="s">
        <v>503</v>
      </c>
      <c r="G98" s="104"/>
      <c r="H98" s="79" t="s">
        <v>1721</v>
      </c>
      <c r="I98" s="109" t="n">
        <v>2016</v>
      </c>
      <c r="J98" s="106"/>
      <c r="K98" s="106"/>
      <c r="L98" s="106"/>
      <c r="M98" s="106" t="s">
        <v>1569</v>
      </c>
      <c r="N98" s="73"/>
    </row>
    <row r="99" customFormat="false" ht="14.25" hidden="false" customHeight="false" outlineLevel="0" collapsed="false">
      <c r="A99" s="107" t="n">
        <v>91</v>
      </c>
      <c r="B99" s="108"/>
      <c r="C99" s="83" t="s">
        <v>538</v>
      </c>
      <c r="D99" s="79"/>
      <c r="E99" s="79" t="s">
        <v>103</v>
      </c>
      <c r="F99" s="79"/>
      <c r="G99" s="104"/>
      <c r="H99" s="79" t="s">
        <v>1720</v>
      </c>
      <c r="I99" s="109" t="n">
        <v>2016</v>
      </c>
      <c r="J99" s="106"/>
      <c r="K99" s="106"/>
      <c r="L99" s="106"/>
      <c r="M99" s="106" t="s">
        <v>1569</v>
      </c>
      <c r="N99" s="73"/>
    </row>
    <row r="100" customFormat="false" ht="14.25" hidden="false" customHeight="false" outlineLevel="0" collapsed="false">
      <c r="A100" s="107" t="n">
        <v>92</v>
      </c>
      <c r="B100" s="108"/>
      <c r="C100" s="83" t="s">
        <v>529</v>
      </c>
      <c r="D100" s="79" t="s">
        <v>473</v>
      </c>
      <c r="E100" s="79" t="s">
        <v>103</v>
      </c>
      <c r="F100" s="79" t="s">
        <v>530</v>
      </c>
      <c r="G100" s="104"/>
      <c r="H100" s="79" t="s">
        <v>1721</v>
      </c>
      <c r="I100" s="109" t="n">
        <v>2013</v>
      </c>
      <c r="J100" s="106"/>
      <c r="K100" s="106"/>
      <c r="L100" s="106"/>
      <c r="M100" s="106" t="s">
        <v>1569</v>
      </c>
      <c r="N100" s="66" t="s">
        <v>1595</v>
      </c>
    </row>
    <row r="101" customFormat="false" ht="14.25" hidden="false" customHeight="false" outlineLevel="0" collapsed="false">
      <c r="A101" s="107" t="n">
        <v>93</v>
      </c>
      <c r="B101" s="108"/>
      <c r="C101" s="83" t="s">
        <v>515</v>
      </c>
      <c r="D101" s="79" t="s">
        <v>506</v>
      </c>
      <c r="E101" s="79" t="s">
        <v>103</v>
      </c>
      <c r="F101" s="79" t="s">
        <v>508</v>
      </c>
      <c r="G101" s="104"/>
      <c r="H101" s="79" t="s">
        <v>1720</v>
      </c>
      <c r="I101" s="109" t="n">
        <v>2014</v>
      </c>
      <c r="J101" s="106" t="n">
        <v>509047</v>
      </c>
      <c r="K101" s="106"/>
      <c r="L101" s="106"/>
      <c r="M101" s="106" t="s">
        <v>1569</v>
      </c>
      <c r="N101" s="66" t="s">
        <v>1595</v>
      </c>
    </row>
    <row r="102" customFormat="false" ht="14.25" hidden="false" customHeight="false" outlineLevel="0" collapsed="false">
      <c r="A102" s="107" t="n">
        <v>94</v>
      </c>
      <c r="B102" s="108"/>
      <c r="C102" s="83" t="s">
        <v>539</v>
      </c>
      <c r="D102" s="79"/>
      <c r="E102" s="79" t="s">
        <v>103</v>
      </c>
      <c r="F102" s="79"/>
      <c r="G102" s="104"/>
      <c r="H102" s="79" t="s">
        <v>1720</v>
      </c>
      <c r="I102" s="109" t="n">
        <v>2017</v>
      </c>
      <c r="J102" s="106"/>
      <c r="K102" s="106"/>
      <c r="L102" s="106"/>
      <c r="M102" s="106" t="s">
        <v>1569</v>
      </c>
      <c r="N102" s="66" t="s">
        <v>1595</v>
      </c>
    </row>
    <row r="103" customFormat="false" ht="14.25" hidden="false" customHeight="false" outlineLevel="0" collapsed="false">
      <c r="A103" s="107" t="n">
        <v>95</v>
      </c>
      <c r="B103" s="108"/>
      <c r="C103" s="83" t="s">
        <v>540</v>
      </c>
      <c r="D103" s="79"/>
      <c r="E103" s="79" t="s">
        <v>103</v>
      </c>
      <c r="F103" s="79" t="s">
        <v>497</v>
      </c>
      <c r="G103" s="104"/>
      <c r="H103" s="79" t="s">
        <v>1721</v>
      </c>
      <c r="I103" s="109" t="n">
        <v>2017</v>
      </c>
      <c r="J103" s="106"/>
      <c r="K103" s="106"/>
      <c r="L103" s="106"/>
      <c r="M103" s="106" t="s">
        <v>1569</v>
      </c>
      <c r="N103" s="66" t="s">
        <v>1595</v>
      </c>
    </row>
    <row r="104" customFormat="false" ht="14.25" hidden="false" customHeight="false" outlineLevel="0" collapsed="false">
      <c r="A104" s="107" t="n">
        <v>96</v>
      </c>
      <c r="B104" s="108"/>
      <c r="C104" s="83" t="s">
        <v>521</v>
      </c>
      <c r="D104" s="79" t="s">
        <v>499</v>
      </c>
      <c r="E104" s="79" t="s">
        <v>103</v>
      </c>
      <c r="F104" s="79" t="s">
        <v>505</v>
      </c>
      <c r="G104" s="104"/>
      <c r="H104" s="79" t="s">
        <v>1720</v>
      </c>
      <c r="I104" s="109" t="n">
        <v>2013</v>
      </c>
      <c r="J104" s="89" t="n">
        <v>861100822773</v>
      </c>
      <c r="K104" s="106"/>
      <c r="L104" s="89" t="n">
        <v>101650371052</v>
      </c>
      <c r="M104" s="89" t="s">
        <v>1569</v>
      </c>
      <c r="N104" s="66" t="s">
        <v>1595</v>
      </c>
    </row>
    <row r="105" customFormat="false" ht="14.25" hidden="false" customHeight="false" outlineLevel="0" collapsed="false">
      <c r="A105" s="107" t="n">
        <v>97</v>
      </c>
      <c r="B105" s="108"/>
      <c r="C105" s="83" t="s">
        <v>541</v>
      </c>
      <c r="D105" s="79" t="s">
        <v>499</v>
      </c>
      <c r="E105" s="79" t="s">
        <v>103</v>
      </c>
      <c r="F105" s="79" t="s">
        <v>505</v>
      </c>
      <c r="G105" s="104"/>
      <c r="H105" s="79" t="s">
        <v>1720</v>
      </c>
      <c r="I105" s="109" t="n">
        <v>2013</v>
      </c>
      <c r="J105" s="89" t="n">
        <v>861100822772</v>
      </c>
      <c r="K105" s="106"/>
      <c r="L105" s="106"/>
      <c r="M105" s="106" t="s">
        <v>1569</v>
      </c>
      <c r="N105" s="66" t="s">
        <v>1595</v>
      </c>
    </row>
    <row r="106" customFormat="false" ht="14.25" hidden="false" customHeight="false" outlineLevel="0" collapsed="false">
      <c r="A106" s="107" t="n">
        <v>98</v>
      </c>
      <c r="B106" s="108"/>
      <c r="C106" s="83" t="s">
        <v>542</v>
      </c>
      <c r="D106" s="79"/>
      <c r="E106" s="79" t="s">
        <v>103</v>
      </c>
      <c r="F106" s="79"/>
      <c r="G106" s="104"/>
      <c r="H106" s="79" t="s">
        <v>1721</v>
      </c>
      <c r="I106" s="109" t="n">
        <v>2012</v>
      </c>
      <c r="J106" s="106"/>
      <c r="K106" s="106"/>
      <c r="L106" s="106"/>
      <c r="M106" s="106" t="s">
        <v>1569</v>
      </c>
      <c r="N106" s="73"/>
    </row>
    <row r="107" customFormat="false" ht="14.25" hidden="false" customHeight="false" outlineLevel="0" collapsed="false">
      <c r="A107" s="107" t="n">
        <v>99</v>
      </c>
      <c r="B107" s="108"/>
      <c r="C107" s="83" t="s">
        <v>514</v>
      </c>
      <c r="D107" s="79" t="s">
        <v>499</v>
      </c>
      <c r="E107" s="79" t="s">
        <v>103</v>
      </c>
      <c r="F107" s="79" t="s">
        <v>505</v>
      </c>
      <c r="G107" s="104"/>
      <c r="H107" s="79" t="s">
        <v>1729</v>
      </c>
      <c r="I107" s="109" t="n">
        <v>2014</v>
      </c>
      <c r="J107" s="89" t="n">
        <v>861100822771</v>
      </c>
      <c r="K107" s="106"/>
      <c r="L107" s="89" t="s">
        <v>1730</v>
      </c>
      <c r="M107" s="89" t="s">
        <v>1569</v>
      </c>
      <c r="N107" s="66" t="s">
        <v>1595</v>
      </c>
    </row>
    <row r="108" customFormat="false" ht="14.25" hidden="false" customHeight="false" outlineLevel="0" collapsed="false">
      <c r="A108" s="107" t="n">
        <v>100</v>
      </c>
      <c r="B108" s="108"/>
      <c r="C108" s="83" t="s">
        <v>512</v>
      </c>
      <c r="D108" s="79" t="s">
        <v>499</v>
      </c>
      <c r="E108" s="79" t="s">
        <v>103</v>
      </c>
      <c r="F108" s="79" t="s">
        <v>505</v>
      </c>
      <c r="G108" s="104"/>
      <c r="H108" s="79" t="s">
        <v>1731</v>
      </c>
      <c r="I108" s="109" t="n">
        <v>2015</v>
      </c>
      <c r="J108" s="89" t="n">
        <v>861100822770</v>
      </c>
      <c r="K108" s="106"/>
      <c r="L108" s="89" t="s">
        <v>1732</v>
      </c>
      <c r="M108" s="89" t="s">
        <v>1569</v>
      </c>
      <c r="N108" s="73"/>
    </row>
    <row r="109" customFormat="false" ht="14.25" hidden="false" customHeight="false" outlineLevel="0" collapsed="false">
      <c r="A109" s="107" t="n">
        <v>101</v>
      </c>
      <c r="B109" s="108"/>
      <c r="C109" s="83" t="s">
        <v>513</v>
      </c>
      <c r="D109" s="79" t="s">
        <v>506</v>
      </c>
      <c r="E109" s="79" t="s">
        <v>103</v>
      </c>
      <c r="F109" s="79" t="s">
        <v>508</v>
      </c>
      <c r="G109" s="104"/>
      <c r="H109" s="79" t="s">
        <v>1731</v>
      </c>
      <c r="I109" s="109" t="n">
        <v>2015</v>
      </c>
      <c r="J109" s="106"/>
      <c r="K109" s="106"/>
      <c r="L109" s="106"/>
      <c r="M109" s="106" t="s">
        <v>1569</v>
      </c>
      <c r="N109" s="66" t="s">
        <v>1733</v>
      </c>
    </row>
    <row r="110" customFormat="false" ht="14.25" hidden="false" customHeight="false" outlineLevel="0" collapsed="false">
      <c r="A110" s="107" t="n">
        <v>102</v>
      </c>
      <c r="B110" s="108"/>
      <c r="C110" s="83" t="s">
        <v>507</v>
      </c>
      <c r="D110" s="79" t="s">
        <v>506</v>
      </c>
      <c r="E110" s="79" t="s">
        <v>103</v>
      </c>
      <c r="F110" s="79" t="s">
        <v>508</v>
      </c>
      <c r="G110" s="104"/>
      <c r="H110" s="79" t="s">
        <v>1731</v>
      </c>
      <c r="I110" s="109" t="n">
        <v>2016</v>
      </c>
      <c r="J110" s="106"/>
      <c r="K110" s="106"/>
      <c r="L110" s="106"/>
      <c r="M110" s="106" t="s">
        <v>1569</v>
      </c>
      <c r="N110" s="73"/>
    </row>
    <row r="111" customFormat="false" ht="14.25" hidden="false" customHeight="false" outlineLevel="0" collapsed="false">
      <c r="A111" s="107" t="n">
        <v>103</v>
      </c>
      <c r="B111" s="108"/>
      <c r="C111" s="83" t="s">
        <v>504</v>
      </c>
      <c r="D111" s="79" t="s">
        <v>499</v>
      </c>
      <c r="E111" s="79" t="s">
        <v>103</v>
      </c>
      <c r="F111" s="79" t="s">
        <v>505</v>
      </c>
      <c r="G111" s="104"/>
      <c r="H111" s="79" t="s">
        <v>1731</v>
      </c>
      <c r="I111" s="109" t="n">
        <v>2016</v>
      </c>
      <c r="J111" s="89" t="n">
        <v>861100822768</v>
      </c>
      <c r="K111" s="106"/>
      <c r="L111" s="89" t="s">
        <v>1734</v>
      </c>
      <c r="M111" s="89" t="s">
        <v>1569</v>
      </c>
      <c r="N111" s="66" t="s">
        <v>1595</v>
      </c>
    </row>
    <row r="112" customFormat="false" ht="14.25" hidden="false" customHeight="false" outlineLevel="0" collapsed="false">
      <c r="A112" s="107" t="n">
        <v>104</v>
      </c>
      <c r="B112" s="108"/>
      <c r="C112" s="83" t="s">
        <v>509</v>
      </c>
      <c r="D112" s="79" t="s">
        <v>506</v>
      </c>
      <c r="E112" s="79" t="s">
        <v>103</v>
      </c>
      <c r="F112" s="79" t="s">
        <v>505</v>
      </c>
      <c r="G112" s="104"/>
      <c r="H112" s="79" t="s">
        <v>1731</v>
      </c>
      <c r="I112" s="109" t="n">
        <v>2016</v>
      </c>
      <c r="J112" s="106"/>
      <c r="K112" s="106"/>
      <c r="L112" s="106"/>
      <c r="M112" s="106" t="s">
        <v>1569</v>
      </c>
      <c r="N112" s="73"/>
    </row>
    <row r="113" customFormat="false" ht="14.25" hidden="false" customHeight="false" outlineLevel="0" collapsed="false">
      <c r="A113" s="107" t="n">
        <v>105</v>
      </c>
      <c r="B113" s="108"/>
      <c r="C113" s="83" t="s">
        <v>543</v>
      </c>
      <c r="D113" s="79" t="s">
        <v>506</v>
      </c>
      <c r="E113" s="79" t="s">
        <v>103</v>
      </c>
      <c r="F113" s="79" t="s">
        <v>505</v>
      </c>
      <c r="G113" s="104"/>
      <c r="H113" s="79" t="s">
        <v>1731</v>
      </c>
      <c r="I113" s="109" t="n">
        <v>2016</v>
      </c>
      <c r="J113" s="106"/>
      <c r="K113" s="106"/>
      <c r="L113" s="106"/>
      <c r="M113" s="106" t="s">
        <v>1569</v>
      </c>
      <c r="N113" s="73"/>
    </row>
    <row r="114" customFormat="false" ht="14.25" hidden="false" customHeight="false" outlineLevel="0" collapsed="false">
      <c r="A114" s="107" t="n">
        <v>106</v>
      </c>
      <c r="B114" s="108"/>
      <c r="C114" s="83" t="s">
        <v>544</v>
      </c>
      <c r="D114" s="104"/>
      <c r="E114" s="79" t="s">
        <v>103</v>
      </c>
      <c r="F114" s="104"/>
      <c r="G114" s="104"/>
      <c r="H114" s="104"/>
      <c r="I114" s="105"/>
      <c r="J114" s="106"/>
      <c r="K114" s="106"/>
      <c r="L114" s="106"/>
      <c r="M114" s="106" t="s">
        <v>1569</v>
      </c>
      <c r="N114" s="73"/>
    </row>
    <row r="115" customFormat="false" ht="14.25" hidden="false" customHeight="false" outlineLevel="0" collapsed="false">
      <c r="A115" s="107" t="n">
        <v>107</v>
      </c>
      <c r="B115" s="108"/>
      <c r="C115" s="83" t="s">
        <v>545</v>
      </c>
      <c r="D115" s="104"/>
      <c r="E115" s="79" t="s">
        <v>103</v>
      </c>
      <c r="F115" s="104"/>
      <c r="G115" s="104"/>
      <c r="H115" s="104"/>
      <c r="I115" s="105"/>
      <c r="J115" s="106"/>
      <c r="K115" s="106"/>
      <c r="L115" s="106"/>
      <c r="M115" s="106" t="s">
        <v>1569</v>
      </c>
      <c r="N115" s="73"/>
    </row>
    <row r="116" customFormat="false" ht="14.25" hidden="false" customHeight="false" outlineLevel="0" collapsed="false">
      <c r="A116" s="107" t="n">
        <v>108</v>
      </c>
      <c r="B116" s="108"/>
      <c r="C116" s="83" t="s">
        <v>546</v>
      </c>
      <c r="D116" s="104"/>
      <c r="E116" s="79" t="s">
        <v>103</v>
      </c>
      <c r="F116" s="104"/>
      <c r="G116" s="104"/>
      <c r="H116" s="104"/>
      <c r="I116" s="105"/>
      <c r="J116" s="106"/>
      <c r="K116" s="106"/>
      <c r="L116" s="106"/>
      <c r="M116" s="106" t="s">
        <v>1569</v>
      </c>
      <c r="N116" s="73"/>
    </row>
    <row r="117" customFormat="false" ht="14.25" hidden="false" customHeight="false" outlineLevel="0" collapsed="false">
      <c r="A117" s="107" t="n">
        <v>109</v>
      </c>
      <c r="B117" s="108"/>
      <c r="C117" s="83" t="s">
        <v>547</v>
      </c>
      <c r="D117" s="104" t="s">
        <v>473</v>
      </c>
      <c r="E117" s="79" t="s">
        <v>103</v>
      </c>
      <c r="F117" s="104" t="s">
        <v>530</v>
      </c>
      <c r="G117" s="104"/>
      <c r="H117" s="104"/>
      <c r="I117" s="105"/>
      <c r="J117" s="106"/>
      <c r="K117" s="106"/>
      <c r="L117" s="106"/>
      <c r="M117" s="106" t="s">
        <v>1569</v>
      </c>
      <c r="N117" s="66" t="s">
        <v>1595</v>
      </c>
    </row>
    <row r="118" customFormat="false" ht="14.25" hidden="false" customHeight="false" outlineLevel="0" collapsed="false">
      <c r="A118" s="107" t="n">
        <v>110</v>
      </c>
      <c r="B118" s="108"/>
      <c r="C118" s="83" t="s">
        <v>548</v>
      </c>
      <c r="D118" s="104"/>
      <c r="E118" s="79" t="s">
        <v>103</v>
      </c>
      <c r="F118" s="104"/>
      <c r="G118" s="104"/>
      <c r="H118" s="104"/>
      <c r="I118" s="105"/>
      <c r="J118" s="106"/>
      <c r="K118" s="106"/>
      <c r="L118" s="106"/>
      <c r="M118" s="106" t="s">
        <v>1569</v>
      </c>
      <c r="N118" s="73"/>
    </row>
    <row r="119" customFormat="false" ht="14.25" hidden="false" customHeight="false" outlineLevel="0" collapsed="false">
      <c r="A119" s="107" t="n">
        <v>111</v>
      </c>
      <c r="B119" s="108"/>
      <c r="C119" s="83" t="s">
        <v>549</v>
      </c>
      <c r="D119" s="104"/>
      <c r="E119" s="79" t="s">
        <v>103</v>
      </c>
      <c r="F119" s="104"/>
      <c r="G119" s="104"/>
      <c r="H119" s="104"/>
      <c r="I119" s="105"/>
      <c r="J119" s="106"/>
      <c r="K119" s="106"/>
      <c r="L119" s="106"/>
      <c r="M119" s="106" t="s">
        <v>1569</v>
      </c>
      <c r="N119" s="73"/>
    </row>
    <row r="120" customFormat="false" ht="14.25" hidden="false" customHeight="false" outlineLevel="0" collapsed="false">
      <c r="A120" s="107" t="n">
        <v>112</v>
      </c>
      <c r="B120" s="108"/>
      <c r="C120" s="83" t="s">
        <v>550</v>
      </c>
      <c r="D120" s="104"/>
      <c r="E120" s="79" t="s">
        <v>103</v>
      </c>
      <c r="F120" s="104"/>
      <c r="G120" s="104"/>
      <c r="H120" s="104" t="s">
        <v>1731</v>
      </c>
      <c r="I120" s="105"/>
      <c r="J120" s="106" t="s">
        <v>1735</v>
      </c>
      <c r="K120" s="106"/>
      <c r="L120" s="106"/>
      <c r="M120" s="106" t="s">
        <v>1569</v>
      </c>
      <c r="N120" s="66" t="s">
        <v>1595</v>
      </c>
    </row>
    <row r="121" customFormat="false" ht="14.25" hidden="false" customHeight="false" outlineLevel="0" collapsed="false">
      <c r="A121" s="107" t="n">
        <v>113</v>
      </c>
      <c r="B121" s="108"/>
      <c r="C121" s="83" t="s">
        <v>551</v>
      </c>
      <c r="D121" s="104"/>
      <c r="E121" s="79" t="s">
        <v>103</v>
      </c>
      <c r="F121" s="104"/>
      <c r="G121" s="104"/>
      <c r="H121" s="104"/>
      <c r="I121" s="105"/>
      <c r="J121" s="106"/>
      <c r="K121" s="106"/>
      <c r="L121" s="106"/>
      <c r="M121" s="106" t="s">
        <v>1569</v>
      </c>
      <c r="N121" s="73"/>
    </row>
    <row r="122" customFormat="false" ht="14.25" hidden="false" customHeight="false" outlineLevel="0" collapsed="false">
      <c r="A122" s="107" t="n">
        <v>114</v>
      </c>
      <c r="B122" s="108"/>
      <c r="C122" s="83" t="s">
        <v>552</v>
      </c>
      <c r="D122" s="104"/>
      <c r="E122" s="79" t="s">
        <v>103</v>
      </c>
      <c r="F122" s="104"/>
      <c r="G122" s="104"/>
      <c r="H122" s="104"/>
      <c r="I122" s="105"/>
      <c r="J122" s="106"/>
      <c r="K122" s="106"/>
      <c r="L122" s="106"/>
      <c r="M122" s="106" t="s">
        <v>1569</v>
      </c>
      <c r="N122" s="66" t="s">
        <v>1595</v>
      </c>
    </row>
    <row r="123" customFormat="false" ht="14.25" hidden="false" customHeight="false" outlineLevel="0" collapsed="false">
      <c r="A123" s="107" t="n">
        <v>115</v>
      </c>
      <c r="B123" s="108"/>
      <c r="C123" s="83" t="s">
        <v>553</v>
      </c>
      <c r="D123" s="104" t="s">
        <v>473</v>
      </c>
      <c r="E123" s="79" t="s">
        <v>103</v>
      </c>
      <c r="F123" s="104"/>
      <c r="G123" s="104"/>
      <c r="H123" s="104"/>
      <c r="I123" s="105"/>
      <c r="J123" s="106" t="n">
        <v>10230</v>
      </c>
      <c r="K123" s="106"/>
      <c r="L123" s="106"/>
      <c r="M123" s="106" t="s">
        <v>1569</v>
      </c>
      <c r="N123" s="66" t="s">
        <v>1595</v>
      </c>
    </row>
    <row r="124" customFormat="false" ht="14.25" hidden="false" customHeight="false" outlineLevel="0" collapsed="false">
      <c r="A124" s="107" t="n">
        <v>116</v>
      </c>
      <c r="B124" s="108"/>
      <c r="C124" s="83" t="s">
        <v>577</v>
      </c>
      <c r="D124" s="79" t="s">
        <v>386</v>
      </c>
      <c r="E124" s="79" t="s">
        <v>103</v>
      </c>
      <c r="F124" s="79" t="s">
        <v>578</v>
      </c>
      <c r="G124" s="104"/>
      <c r="H124" s="79" t="s">
        <v>1736</v>
      </c>
      <c r="I124" s="105"/>
      <c r="J124" s="106" t="s">
        <v>1737</v>
      </c>
      <c r="K124" s="106"/>
      <c r="L124" s="106"/>
      <c r="M124" s="106" t="s">
        <v>1569</v>
      </c>
      <c r="N124" s="66" t="s">
        <v>1618</v>
      </c>
    </row>
    <row r="125" customFormat="false" ht="14.25" hidden="false" customHeight="false" outlineLevel="0" collapsed="false">
      <c r="A125" s="107" t="n">
        <v>117</v>
      </c>
      <c r="B125" s="108"/>
      <c r="C125" s="83" t="s">
        <v>580</v>
      </c>
      <c r="D125" s="104" t="s">
        <v>473</v>
      </c>
      <c r="E125" s="79" t="s">
        <v>103</v>
      </c>
      <c r="F125" s="104" t="s">
        <v>581</v>
      </c>
      <c r="G125" s="104"/>
      <c r="H125" s="104"/>
      <c r="I125" s="105"/>
      <c r="J125" s="106"/>
      <c r="K125" s="106" t="s">
        <v>1738</v>
      </c>
      <c r="L125" s="106" t="s">
        <v>1739</v>
      </c>
      <c r="M125" s="106" t="s">
        <v>1569</v>
      </c>
      <c r="N125" s="66" t="s">
        <v>1595</v>
      </c>
    </row>
    <row r="126" customFormat="false" ht="14.25" hidden="false" customHeight="false" outlineLevel="0" collapsed="false">
      <c r="A126" s="107" t="n">
        <v>118</v>
      </c>
      <c r="B126" s="108"/>
      <c r="C126" s="83" t="s">
        <v>554</v>
      </c>
      <c r="D126" s="104"/>
      <c r="E126" s="79" t="s">
        <v>103</v>
      </c>
      <c r="F126" s="104"/>
      <c r="G126" s="104"/>
      <c r="H126" s="104"/>
      <c r="I126" s="105"/>
      <c r="J126" s="106"/>
      <c r="K126" s="106"/>
      <c r="L126" s="106"/>
      <c r="M126" s="106" t="s">
        <v>1569</v>
      </c>
      <c r="N126" s="66" t="s">
        <v>1595</v>
      </c>
    </row>
    <row r="127" customFormat="false" ht="14.25" hidden="false" customHeight="false" outlineLevel="0" collapsed="false">
      <c r="A127" s="107" t="n">
        <v>119</v>
      </c>
      <c r="B127" s="108"/>
      <c r="C127" s="83" t="s">
        <v>555</v>
      </c>
      <c r="D127" s="104"/>
      <c r="E127" s="79" t="s">
        <v>103</v>
      </c>
      <c r="F127" s="104"/>
      <c r="G127" s="104"/>
      <c r="H127" s="104"/>
      <c r="I127" s="105"/>
      <c r="J127" s="106"/>
      <c r="K127" s="106"/>
      <c r="L127" s="106"/>
      <c r="M127" s="106" t="s">
        <v>1569</v>
      </c>
      <c r="N127" s="66" t="s">
        <v>1595</v>
      </c>
    </row>
    <row r="128" customFormat="false" ht="14.25" hidden="false" customHeight="false" outlineLevel="0" collapsed="false">
      <c r="A128" s="107" t="n">
        <v>120</v>
      </c>
      <c r="B128" s="108"/>
      <c r="C128" s="83" t="s">
        <v>556</v>
      </c>
      <c r="D128" s="104"/>
      <c r="E128" s="79" t="s">
        <v>103</v>
      </c>
      <c r="F128" s="104"/>
      <c r="G128" s="104"/>
      <c r="H128" s="104"/>
      <c r="I128" s="105"/>
      <c r="J128" s="73" t="s">
        <v>1740</v>
      </c>
      <c r="K128" s="106"/>
      <c r="L128" s="106"/>
      <c r="M128" s="106" t="s">
        <v>1569</v>
      </c>
      <c r="N128" s="66" t="s">
        <v>1601</v>
      </c>
    </row>
    <row r="129" customFormat="false" ht="14.25" hidden="false" customHeight="false" outlineLevel="0" collapsed="false">
      <c r="A129" s="107" t="n">
        <v>121</v>
      </c>
      <c r="B129" s="108"/>
      <c r="C129" s="83" t="s">
        <v>557</v>
      </c>
      <c r="D129" s="104"/>
      <c r="E129" s="79" t="s">
        <v>103</v>
      </c>
      <c r="F129" s="104"/>
      <c r="G129" s="104"/>
      <c r="H129" s="104" t="s">
        <v>1731</v>
      </c>
      <c r="I129" s="105"/>
      <c r="J129" s="89" t="n">
        <v>104006</v>
      </c>
      <c r="K129" s="106"/>
      <c r="L129" s="106"/>
      <c r="M129" s="106" t="s">
        <v>1569</v>
      </c>
      <c r="N129" s="73" t="s">
        <v>1622</v>
      </c>
    </row>
    <row r="130" customFormat="false" ht="14.25" hidden="false" customHeight="false" outlineLevel="0" collapsed="false">
      <c r="A130" s="107" t="n">
        <v>122</v>
      </c>
      <c r="B130" s="108"/>
      <c r="C130" s="83" t="s">
        <v>558</v>
      </c>
      <c r="D130" s="104"/>
      <c r="E130" s="79" t="s">
        <v>103</v>
      </c>
      <c r="F130" s="104"/>
      <c r="G130" s="104"/>
      <c r="H130" s="104"/>
      <c r="I130" s="105"/>
      <c r="J130" s="106"/>
      <c r="K130" s="106"/>
      <c r="L130" s="106"/>
      <c r="M130" s="106" t="s">
        <v>1569</v>
      </c>
      <c r="N130" s="73"/>
    </row>
    <row r="131" customFormat="false" ht="14.25" hidden="false" customHeight="false" outlineLevel="0" collapsed="false">
      <c r="A131" s="107" t="n">
        <v>123</v>
      </c>
      <c r="B131" s="108"/>
      <c r="C131" s="83" t="s">
        <v>559</v>
      </c>
      <c r="D131" s="104"/>
      <c r="E131" s="79" t="s">
        <v>103</v>
      </c>
      <c r="F131" s="104"/>
      <c r="G131" s="104"/>
      <c r="H131" s="104" t="s">
        <v>1731</v>
      </c>
      <c r="I131" s="105"/>
      <c r="J131" s="89" t="n">
        <v>604009</v>
      </c>
      <c r="K131" s="106"/>
      <c r="L131" s="106"/>
      <c r="M131" s="106" t="s">
        <v>1569</v>
      </c>
      <c r="N131" s="66" t="s">
        <v>1595</v>
      </c>
    </row>
    <row r="132" customFormat="false" ht="14.25" hidden="false" customHeight="false" outlineLevel="0" collapsed="false">
      <c r="A132" s="107" t="n">
        <v>124</v>
      </c>
      <c r="B132" s="108"/>
      <c r="C132" s="83" t="s">
        <v>560</v>
      </c>
      <c r="D132" s="104"/>
      <c r="E132" s="79" t="s">
        <v>103</v>
      </c>
      <c r="F132" s="104"/>
      <c r="G132" s="104"/>
      <c r="H132" s="104"/>
      <c r="I132" s="105"/>
      <c r="J132" s="106"/>
      <c r="K132" s="106"/>
      <c r="L132" s="106"/>
      <c r="M132" s="106" t="s">
        <v>1569</v>
      </c>
      <c r="N132" s="66" t="s">
        <v>1722</v>
      </c>
    </row>
    <row r="133" customFormat="false" ht="14.25" hidden="false" customHeight="false" outlineLevel="0" collapsed="false">
      <c r="A133" s="107" t="n">
        <v>125</v>
      </c>
      <c r="B133" s="108"/>
      <c r="C133" s="83" t="s">
        <v>561</v>
      </c>
      <c r="D133" s="104"/>
      <c r="E133" s="79" t="s">
        <v>103</v>
      </c>
      <c r="F133" s="104"/>
      <c r="G133" s="104"/>
      <c r="H133" s="104"/>
      <c r="I133" s="105"/>
      <c r="J133" s="73" t="s">
        <v>1741</v>
      </c>
      <c r="K133" s="106"/>
      <c r="L133" s="106"/>
      <c r="M133" s="106" t="s">
        <v>1569</v>
      </c>
      <c r="N133" s="66" t="s">
        <v>1622</v>
      </c>
    </row>
    <row r="134" customFormat="false" ht="14.25" hidden="false" customHeight="false" outlineLevel="0" collapsed="false">
      <c r="A134" s="107" t="n">
        <v>126</v>
      </c>
      <c r="B134" s="108"/>
      <c r="C134" s="83" t="s">
        <v>562</v>
      </c>
      <c r="D134" s="104"/>
      <c r="E134" s="79" t="s">
        <v>103</v>
      </c>
      <c r="F134" s="104"/>
      <c r="G134" s="104"/>
      <c r="H134" s="104"/>
      <c r="I134" s="105"/>
      <c r="J134" s="73" t="s">
        <v>1742</v>
      </c>
      <c r="K134" s="106"/>
      <c r="L134" s="106"/>
      <c r="M134" s="106" t="s">
        <v>1569</v>
      </c>
      <c r="N134" s="66" t="s">
        <v>1618</v>
      </c>
    </row>
    <row r="135" customFormat="false" ht="14.25" hidden="false" customHeight="false" outlineLevel="0" collapsed="false">
      <c r="A135" s="107" t="n">
        <v>127</v>
      </c>
      <c r="B135" s="108"/>
      <c r="C135" s="83" t="s">
        <v>563</v>
      </c>
      <c r="D135" s="104"/>
      <c r="E135" s="79" t="s">
        <v>103</v>
      </c>
      <c r="F135" s="104"/>
      <c r="G135" s="104"/>
      <c r="H135" s="104"/>
      <c r="I135" s="105"/>
      <c r="J135" s="106"/>
      <c r="K135" s="106"/>
      <c r="L135" s="106"/>
      <c r="M135" s="106" t="s">
        <v>1569</v>
      </c>
      <c r="N135" s="66" t="s">
        <v>1595</v>
      </c>
    </row>
    <row r="136" customFormat="false" ht="14.25" hidden="false" customHeight="false" outlineLevel="0" collapsed="false">
      <c r="A136" s="107" t="n">
        <v>128</v>
      </c>
      <c r="B136" s="108"/>
      <c r="C136" s="83" t="s">
        <v>564</v>
      </c>
      <c r="D136" s="104"/>
      <c r="E136" s="79" t="s">
        <v>103</v>
      </c>
      <c r="F136" s="104"/>
      <c r="G136" s="104"/>
      <c r="H136" s="104"/>
      <c r="I136" s="105"/>
      <c r="J136" s="106"/>
      <c r="K136" s="106"/>
      <c r="L136" s="106"/>
      <c r="M136" s="106" t="s">
        <v>1569</v>
      </c>
      <c r="N136" s="73"/>
    </row>
    <row r="137" customFormat="false" ht="14.25" hidden="false" customHeight="false" outlineLevel="0" collapsed="false">
      <c r="A137" s="107" t="n">
        <v>129</v>
      </c>
      <c r="B137" s="108"/>
      <c r="C137" s="83" t="s">
        <v>566</v>
      </c>
      <c r="D137" s="104"/>
      <c r="E137" s="79" t="s">
        <v>103</v>
      </c>
      <c r="F137" s="104"/>
      <c r="G137" s="104"/>
      <c r="H137" s="104"/>
      <c r="I137" s="105"/>
      <c r="J137" s="106"/>
      <c r="K137" s="106"/>
      <c r="L137" s="106"/>
      <c r="M137" s="106" t="s">
        <v>1569</v>
      </c>
      <c r="N137" s="73"/>
    </row>
    <row r="138" customFormat="false" ht="14.25" hidden="false" customHeight="false" outlineLevel="0" collapsed="false">
      <c r="A138" s="107" t="n">
        <v>130</v>
      </c>
      <c r="B138" s="108"/>
      <c r="C138" s="83" t="s">
        <v>567</v>
      </c>
      <c r="D138" s="104"/>
      <c r="E138" s="79" t="s">
        <v>103</v>
      </c>
      <c r="F138" s="104"/>
      <c r="G138" s="104"/>
      <c r="H138" s="104"/>
      <c r="I138" s="105"/>
      <c r="J138" s="106"/>
      <c r="K138" s="106"/>
      <c r="L138" s="106"/>
      <c r="M138" s="106" t="s">
        <v>1569</v>
      </c>
      <c r="N138" s="73"/>
    </row>
    <row r="139" customFormat="false" ht="14.25" hidden="false" customHeight="false" outlineLevel="0" collapsed="false">
      <c r="A139" s="107" t="n">
        <v>131</v>
      </c>
      <c r="B139" s="108"/>
      <c r="C139" s="83" t="s">
        <v>568</v>
      </c>
      <c r="D139" s="104"/>
      <c r="E139" s="79" t="s">
        <v>103</v>
      </c>
      <c r="F139" s="104"/>
      <c r="G139" s="104"/>
      <c r="H139" s="104"/>
      <c r="I139" s="105"/>
      <c r="J139" s="73" t="s">
        <v>1743</v>
      </c>
      <c r="K139" s="106"/>
      <c r="L139" s="106"/>
      <c r="M139" s="106" t="s">
        <v>1569</v>
      </c>
      <c r="N139" s="66" t="s">
        <v>1618</v>
      </c>
    </row>
    <row r="140" customFormat="false" ht="14.25" hidden="false" customHeight="false" outlineLevel="0" collapsed="false">
      <c r="A140" s="107" t="n">
        <v>132</v>
      </c>
      <c r="B140" s="108"/>
      <c r="C140" s="83" t="s">
        <v>569</v>
      </c>
      <c r="D140" s="104"/>
      <c r="E140" s="79" t="s">
        <v>103</v>
      </c>
      <c r="F140" s="104"/>
      <c r="G140" s="104"/>
      <c r="H140" s="104"/>
      <c r="I140" s="105"/>
      <c r="J140" s="73" t="s">
        <v>1744</v>
      </c>
      <c r="K140" s="106"/>
      <c r="L140" s="106"/>
      <c r="M140" s="106" t="s">
        <v>1569</v>
      </c>
      <c r="N140" s="66" t="s">
        <v>1595</v>
      </c>
    </row>
    <row r="141" customFormat="false" ht="14.25" hidden="false" customHeight="false" outlineLevel="0" collapsed="false">
      <c r="A141" s="107" t="n">
        <v>133</v>
      </c>
      <c r="B141" s="108"/>
      <c r="C141" s="83" t="s">
        <v>570</v>
      </c>
      <c r="D141" s="104"/>
      <c r="E141" s="79" t="s">
        <v>103</v>
      </c>
      <c r="F141" s="104" t="s">
        <v>565</v>
      </c>
      <c r="G141" s="104"/>
      <c r="H141" s="104"/>
      <c r="I141" s="105"/>
      <c r="J141" s="73" t="s">
        <v>1745</v>
      </c>
      <c r="K141" s="106"/>
      <c r="L141" s="106"/>
      <c r="M141" s="106" t="s">
        <v>1569</v>
      </c>
      <c r="N141" s="66" t="s">
        <v>1595</v>
      </c>
    </row>
    <row r="142" customFormat="false" ht="14.25" hidden="false" customHeight="false" outlineLevel="0" collapsed="false">
      <c r="A142" s="107" t="n">
        <v>134</v>
      </c>
      <c r="B142" s="108"/>
      <c r="C142" s="83" t="s">
        <v>571</v>
      </c>
      <c r="D142" s="104"/>
      <c r="E142" s="79" t="s">
        <v>103</v>
      </c>
      <c r="F142" s="104" t="s">
        <v>565</v>
      </c>
      <c r="G142" s="104"/>
      <c r="H142" s="104"/>
      <c r="I142" s="105"/>
      <c r="J142" s="73" t="s">
        <v>1746</v>
      </c>
      <c r="K142" s="106"/>
      <c r="L142" s="106"/>
      <c r="M142" s="106" t="s">
        <v>1569</v>
      </c>
      <c r="N142" s="66" t="s">
        <v>1601</v>
      </c>
    </row>
    <row r="143" customFormat="false" ht="14.25" hidden="false" customHeight="false" outlineLevel="0" collapsed="false">
      <c r="A143" s="107" t="n">
        <v>135</v>
      </c>
      <c r="B143" s="108"/>
      <c r="C143" s="83" t="s">
        <v>572</v>
      </c>
      <c r="D143" s="104"/>
      <c r="E143" s="79" t="s">
        <v>103</v>
      </c>
      <c r="F143" s="104" t="s">
        <v>565</v>
      </c>
      <c r="G143" s="104"/>
      <c r="H143" s="104"/>
      <c r="I143" s="105"/>
      <c r="J143" s="73" t="s">
        <v>1747</v>
      </c>
      <c r="K143" s="106"/>
      <c r="L143" s="106"/>
      <c r="M143" s="106" t="s">
        <v>1569</v>
      </c>
      <c r="N143" s="66" t="s">
        <v>1595</v>
      </c>
    </row>
    <row r="144" customFormat="false" ht="14.25" hidden="false" customHeight="false" outlineLevel="0" collapsed="false">
      <c r="A144" s="107" t="n">
        <v>136</v>
      </c>
      <c r="B144" s="108"/>
      <c r="C144" s="83" t="s">
        <v>573</v>
      </c>
      <c r="D144" s="104"/>
      <c r="E144" s="79" t="s">
        <v>103</v>
      </c>
      <c r="F144" s="104" t="s">
        <v>565</v>
      </c>
      <c r="G144" s="104"/>
      <c r="H144" s="104"/>
      <c r="I144" s="105"/>
      <c r="J144" s="73" t="s">
        <v>1748</v>
      </c>
      <c r="K144" s="106"/>
      <c r="L144" s="106"/>
      <c r="M144" s="106" t="s">
        <v>1569</v>
      </c>
      <c r="N144" s="73" t="s">
        <v>1622</v>
      </c>
    </row>
    <row r="145" customFormat="false" ht="14.25" hidden="false" customHeight="false" outlineLevel="0" collapsed="false">
      <c r="A145" s="107" t="n">
        <v>137</v>
      </c>
      <c r="B145" s="108"/>
      <c r="C145" s="83" t="s">
        <v>574</v>
      </c>
      <c r="D145" s="104"/>
      <c r="E145" s="79" t="s">
        <v>103</v>
      </c>
      <c r="F145" s="104" t="s">
        <v>565</v>
      </c>
      <c r="G145" s="104"/>
      <c r="H145" s="104"/>
      <c r="I145" s="105"/>
      <c r="J145" s="73" t="s">
        <v>1749</v>
      </c>
      <c r="K145" s="106"/>
      <c r="L145" s="106"/>
      <c r="M145" s="106" t="s">
        <v>1569</v>
      </c>
      <c r="N145" s="73"/>
    </row>
    <row r="146" customFormat="false" ht="14.25" hidden="false" customHeight="false" outlineLevel="0" collapsed="false">
      <c r="A146" s="107" t="n">
        <v>138</v>
      </c>
      <c r="B146" s="108"/>
      <c r="C146" s="83" t="s">
        <v>575</v>
      </c>
      <c r="D146" s="104"/>
      <c r="E146" s="79" t="s">
        <v>103</v>
      </c>
      <c r="F146" s="104" t="s">
        <v>565</v>
      </c>
      <c r="G146" s="104"/>
      <c r="H146" s="104"/>
      <c r="I146" s="105"/>
      <c r="J146" s="73" t="s">
        <v>1750</v>
      </c>
      <c r="K146" s="106"/>
      <c r="L146" s="106"/>
      <c r="M146" s="106" t="s">
        <v>1569</v>
      </c>
      <c r="N146" s="66" t="s">
        <v>1595</v>
      </c>
    </row>
    <row r="147" customFormat="false" ht="14.25" hidden="false" customHeight="false" outlineLevel="0" collapsed="false">
      <c r="A147" s="107" t="n">
        <v>139</v>
      </c>
      <c r="B147" s="108"/>
      <c r="C147" s="83" t="s">
        <v>576</v>
      </c>
      <c r="D147" s="104"/>
      <c r="E147" s="79" t="s">
        <v>103</v>
      </c>
      <c r="F147" s="104" t="s">
        <v>565</v>
      </c>
      <c r="G147" s="104"/>
      <c r="H147" s="104"/>
      <c r="I147" s="105"/>
      <c r="J147" s="73" t="s">
        <v>1751</v>
      </c>
      <c r="K147" s="106"/>
      <c r="L147" s="106"/>
      <c r="M147" s="106" t="s">
        <v>1569</v>
      </c>
      <c r="N147" s="66" t="s">
        <v>1622</v>
      </c>
    </row>
    <row r="148" customFormat="false" ht="14.25" hidden="false" customHeight="false" outlineLevel="0" collapsed="false">
      <c r="A148" s="107" t="n">
        <v>140</v>
      </c>
      <c r="B148" s="108"/>
      <c r="C148" s="83" t="s">
        <v>579</v>
      </c>
      <c r="D148" s="104"/>
      <c r="E148" s="79" t="s">
        <v>103</v>
      </c>
      <c r="F148" s="104" t="s">
        <v>565</v>
      </c>
      <c r="G148" s="104"/>
      <c r="H148" s="104"/>
      <c r="I148" s="105"/>
      <c r="J148" s="73" t="s">
        <v>1752</v>
      </c>
      <c r="K148" s="106"/>
      <c r="L148" s="106"/>
      <c r="M148" s="106" t="s">
        <v>1569</v>
      </c>
      <c r="N148" s="66" t="s">
        <v>1595</v>
      </c>
    </row>
    <row r="149" customFormat="false" ht="14.25" hidden="false" customHeight="false" outlineLevel="0" collapsed="false">
      <c r="A149" s="107" t="n">
        <v>141</v>
      </c>
      <c r="B149" s="108"/>
      <c r="C149" s="83" t="s">
        <v>510</v>
      </c>
      <c r="D149" s="104"/>
      <c r="E149" s="79" t="s">
        <v>103</v>
      </c>
      <c r="F149" s="104" t="s">
        <v>565</v>
      </c>
      <c r="G149" s="104"/>
      <c r="H149" s="104"/>
      <c r="I149" s="105"/>
      <c r="J149" s="73" t="s">
        <v>1753</v>
      </c>
      <c r="K149" s="106"/>
      <c r="L149" s="106"/>
      <c r="M149" s="106" t="s">
        <v>1569</v>
      </c>
      <c r="N149" s="66" t="s">
        <v>1601</v>
      </c>
    </row>
    <row r="150" customFormat="false" ht="14.25" hidden="false" customHeight="false" outlineLevel="0" collapsed="false">
      <c r="A150" s="107" t="n">
        <v>142</v>
      </c>
      <c r="B150" s="108"/>
      <c r="C150" s="83" t="s">
        <v>520</v>
      </c>
      <c r="D150" s="104"/>
      <c r="E150" s="79" t="s">
        <v>103</v>
      </c>
      <c r="F150" s="104" t="s">
        <v>565</v>
      </c>
      <c r="G150" s="104"/>
      <c r="H150" s="104"/>
      <c r="I150" s="105"/>
      <c r="J150" s="73" t="s">
        <v>1754</v>
      </c>
      <c r="K150" s="106"/>
      <c r="L150" s="106"/>
      <c r="M150" s="106" t="s">
        <v>1569</v>
      </c>
      <c r="N150" s="66" t="s">
        <v>1755</v>
      </c>
    </row>
    <row r="151" customFormat="false" ht="14.25" hidden="false" customHeight="false" outlineLevel="0" collapsed="false">
      <c r="A151" s="107" t="n">
        <v>143</v>
      </c>
      <c r="B151" s="108"/>
      <c r="C151" s="83" t="s">
        <v>522</v>
      </c>
      <c r="D151" s="104"/>
      <c r="E151" s="79" t="s">
        <v>103</v>
      </c>
      <c r="F151" s="104" t="s">
        <v>565</v>
      </c>
      <c r="G151" s="104"/>
      <c r="H151" s="104"/>
      <c r="I151" s="105"/>
      <c r="J151" s="73" t="s">
        <v>1756</v>
      </c>
      <c r="K151" s="106"/>
      <c r="L151" s="106"/>
      <c r="M151" s="106" t="s">
        <v>1569</v>
      </c>
      <c r="N151" s="66" t="s">
        <v>1601</v>
      </c>
    </row>
    <row r="152" s="113" customFormat="true" ht="14.25" hidden="false" customHeight="false" outlineLevel="0" collapsed="false">
      <c r="A152" s="111"/>
      <c r="B152" s="112"/>
      <c r="C152" s="103"/>
      <c r="D152" s="104"/>
      <c r="E152" s="104"/>
      <c r="F152" s="104"/>
      <c r="G152" s="104"/>
      <c r="H152" s="104"/>
      <c r="I152" s="105"/>
      <c r="J152" s="106"/>
      <c r="K152" s="106"/>
      <c r="L152" s="106"/>
      <c r="M152" s="106"/>
      <c r="N152" s="106"/>
    </row>
    <row r="153" customFormat="false" ht="14.25" hidden="false" customHeight="false" outlineLevel="0" collapsed="false">
      <c r="A153" s="60" t="n">
        <v>144</v>
      </c>
      <c r="B153" s="114" t="s">
        <v>1757</v>
      </c>
      <c r="C153" s="62" t="s">
        <v>591</v>
      </c>
      <c r="D153" s="63" t="s">
        <v>590</v>
      </c>
      <c r="E153" s="63" t="s">
        <v>1758</v>
      </c>
      <c r="F153" s="63" t="s">
        <v>592</v>
      </c>
      <c r="G153" s="63"/>
      <c r="H153" s="63" t="s">
        <v>1759</v>
      </c>
      <c r="I153" s="86" t="n">
        <v>2012</v>
      </c>
      <c r="J153" s="65"/>
      <c r="K153" s="65"/>
      <c r="L153" s="65"/>
      <c r="M153" s="65" t="s">
        <v>1569</v>
      </c>
      <c r="N153" s="66" t="s">
        <v>1760</v>
      </c>
    </row>
    <row r="154" customFormat="false" ht="14.25" hidden="false" customHeight="false" outlineLevel="0" collapsed="false">
      <c r="A154" s="60" t="n">
        <v>145</v>
      </c>
      <c r="B154" s="114"/>
      <c r="C154" s="62" t="s">
        <v>596</v>
      </c>
      <c r="D154" s="63" t="s">
        <v>473</v>
      </c>
      <c r="E154" s="63" t="s">
        <v>1758</v>
      </c>
      <c r="F154" s="63" t="s">
        <v>597</v>
      </c>
      <c r="G154" s="63"/>
      <c r="H154" s="63" t="s">
        <v>1761</v>
      </c>
      <c r="I154" s="86" t="n">
        <v>2012</v>
      </c>
      <c r="J154" s="65"/>
      <c r="K154" s="65"/>
      <c r="L154" s="65"/>
      <c r="M154" s="65" t="s">
        <v>1569</v>
      </c>
      <c r="N154" s="66" t="s">
        <v>1595</v>
      </c>
    </row>
    <row r="155" s="53" customFormat="true" ht="14.25" hidden="false" customHeight="false" outlineLevel="0" collapsed="false">
      <c r="A155" s="90" t="n">
        <v>146</v>
      </c>
      <c r="B155" s="114"/>
      <c r="C155" s="91" t="s">
        <v>583</v>
      </c>
      <c r="D155" s="93"/>
      <c r="E155" s="93" t="s">
        <v>1758</v>
      </c>
      <c r="F155" s="93"/>
      <c r="G155" s="93"/>
      <c r="H155" s="93" t="s">
        <v>1759</v>
      </c>
      <c r="I155" s="95" t="n">
        <v>2012</v>
      </c>
      <c r="J155" s="96"/>
      <c r="K155" s="96"/>
      <c r="L155" s="96"/>
      <c r="M155" s="96" t="s">
        <v>1569</v>
      </c>
      <c r="N155" s="96" t="s">
        <v>1701</v>
      </c>
    </row>
    <row r="156" customFormat="false" ht="14.25" hidden="false" customHeight="false" outlineLevel="0" collapsed="false">
      <c r="A156" s="60" t="n">
        <v>147</v>
      </c>
      <c r="B156" s="114"/>
      <c r="C156" s="62" t="s">
        <v>584</v>
      </c>
      <c r="D156" s="63" t="s">
        <v>457</v>
      </c>
      <c r="E156" s="63" t="s">
        <v>1758</v>
      </c>
      <c r="F156" s="63" t="s">
        <v>585</v>
      </c>
      <c r="G156" s="63"/>
      <c r="H156" s="63" t="s">
        <v>1762</v>
      </c>
      <c r="I156" s="86" t="n">
        <v>2012</v>
      </c>
      <c r="J156" s="65"/>
      <c r="K156" s="65"/>
      <c r="L156" s="65"/>
      <c r="M156" s="65" t="s">
        <v>1569</v>
      </c>
      <c r="N156" s="66" t="s">
        <v>1595</v>
      </c>
    </row>
    <row r="157" customFormat="false" ht="14.25" hidden="false" customHeight="false" outlineLevel="0" collapsed="false">
      <c r="A157" s="60" t="n">
        <v>148</v>
      </c>
      <c r="B157" s="114"/>
      <c r="C157" s="62" t="s">
        <v>586</v>
      </c>
      <c r="D157" s="63" t="s">
        <v>457</v>
      </c>
      <c r="E157" s="63" t="s">
        <v>1758</v>
      </c>
      <c r="F157" s="63" t="s">
        <v>585</v>
      </c>
      <c r="G157" s="63"/>
      <c r="H157" s="63" t="s">
        <v>1762</v>
      </c>
      <c r="I157" s="86" t="n">
        <v>2012</v>
      </c>
      <c r="J157" s="65"/>
      <c r="K157" s="65"/>
      <c r="L157" s="65"/>
      <c r="M157" s="65" t="s">
        <v>1569</v>
      </c>
      <c r="N157" s="73"/>
    </row>
    <row r="158" customFormat="false" ht="14.25" hidden="false" customHeight="false" outlineLevel="0" collapsed="false">
      <c r="A158" s="60" t="n">
        <v>149</v>
      </c>
      <c r="B158" s="114"/>
      <c r="C158" s="62" t="s">
        <v>594</v>
      </c>
      <c r="D158" s="63" t="s">
        <v>593</v>
      </c>
      <c r="E158" s="63" t="s">
        <v>1758</v>
      </c>
      <c r="F158" s="63" t="s">
        <v>595</v>
      </c>
      <c r="G158" s="63"/>
      <c r="H158" s="63" t="s">
        <v>1761</v>
      </c>
      <c r="I158" s="86" t="n">
        <v>2012</v>
      </c>
      <c r="J158" s="65"/>
      <c r="K158" s="65"/>
      <c r="L158" s="65"/>
      <c r="M158" s="65" t="s">
        <v>1569</v>
      </c>
      <c r="N158" s="66" t="s">
        <v>1763</v>
      </c>
    </row>
    <row r="159" customFormat="false" ht="14.25" hidden="false" customHeight="false" outlineLevel="0" collapsed="false">
      <c r="A159" s="60" t="n">
        <v>150</v>
      </c>
      <c r="B159" s="114"/>
      <c r="C159" s="62" t="s">
        <v>588</v>
      </c>
      <c r="D159" s="63" t="s">
        <v>587</v>
      </c>
      <c r="E159" s="63" t="s">
        <v>1758</v>
      </c>
      <c r="F159" s="63" t="s">
        <v>589</v>
      </c>
      <c r="G159" s="63"/>
      <c r="H159" s="63" t="s">
        <v>1764</v>
      </c>
      <c r="I159" s="86" t="n">
        <v>2012</v>
      </c>
      <c r="J159" s="65"/>
      <c r="K159" s="65"/>
      <c r="L159" s="65"/>
      <c r="M159" s="65" t="s">
        <v>1569</v>
      </c>
      <c r="N159" s="66" t="s">
        <v>1595</v>
      </c>
    </row>
    <row r="160" customFormat="false" ht="14.25" hidden="false" customHeight="false" outlineLevel="0" collapsed="false">
      <c r="A160" s="60" t="n">
        <v>151</v>
      </c>
      <c r="B160" s="114"/>
      <c r="C160" s="62" t="s">
        <v>603</v>
      </c>
      <c r="D160" s="63" t="s">
        <v>369</v>
      </c>
      <c r="E160" s="63" t="s">
        <v>1758</v>
      </c>
      <c r="F160" s="63" t="s">
        <v>604</v>
      </c>
      <c r="G160" s="63"/>
      <c r="H160" s="63"/>
      <c r="I160" s="86"/>
      <c r="J160" s="65" t="s">
        <v>1765</v>
      </c>
      <c r="K160" s="65"/>
      <c r="L160" s="65"/>
      <c r="M160" s="65" t="s">
        <v>1569</v>
      </c>
      <c r="N160" s="66" t="s">
        <v>1595</v>
      </c>
    </row>
    <row r="161" customFormat="false" ht="14.25" hidden="false" customHeight="false" outlineLevel="0" collapsed="false">
      <c r="A161" s="60" t="n">
        <v>152</v>
      </c>
      <c r="B161" s="114"/>
      <c r="C161" s="62" t="s">
        <v>598</v>
      </c>
      <c r="D161" s="63" t="s">
        <v>473</v>
      </c>
      <c r="E161" s="63" t="s">
        <v>1758</v>
      </c>
      <c r="F161" s="63" t="s">
        <v>599</v>
      </c>
      <c r="G161" s="63"/>
      <c r="H161" s="63"/>
      <c r="I161" s="86" t="n">
        <v>2000</v>
      </c>
      <c r="J161" s="65"/>
      <c r="K161" s="65"/>
      <c r="L161" s="65"/>
      <c r="M161" s="65" t="s">
        <v>1569</v>
      </c>
      <c r="N161" s="73"/>
    </row>
    <row r="162" customFormat="false" ht="14.25" hidden="false" customHeight="false" outlineLevel="0" collapsed="false">
      <c r="A162" s="60" t="n">
        <v>153</v>
      </c>
      <c r="B162" s="114"/>
      <c r="C162" s="62" t="s">
        <v>600</v>
      </c>
      <c r="D162" s="63" t="s">
        <v>473</v>
      </c>
      <c r="E162" s="63" t="s">
        <v>1758</v>
      </c>
      <c r="F162" s="63" t="s">
        <v>601</v>
      </c>
      <c r="G162" s="63"/>
      <c r="H162" s="63"/>
      <c r="I162" s="86" t="n">
        <v>1990</v>
      </c>
      <c r="J162" s="65"/>
      <c r="K162" s="65"/>
      <c r="L162" s="65"/>
      <c r="M162" s="65" t="s">
        <v>1569</v>
      </c>
      <c r="N162" s="73"/>
    </row>
    <row r="163" customFormat="false" ht="14.25" hidden="false" customHeight="false" outlineLevel="0" collapsed="false">
      <c r="A163" s="74"/>
      <c r="B163" s="112"/>
      <c r="C163" s="75"/>
      <c r="D163" s="77"/>
      <c r="E163" s="77"/>
      <c r="F163" s="79"/>
      <c r="G163" s="79"/>
      <c r="H163" s="79"/>
      <c r="I163" s="80"/>
      <c r="J163" s="73"/>
      <c r="K163" s="73"/>
      <c r="L163" s="73"/>
      <c r="M163" s="73"/>
      <c r="N163" s="73"/>
    </row>
    <row r="164" s="53" customFormat="true" ht="14.25" hidden="false" customHeight="false" outlineLevel="0" collapsed="false">
      <c r="A164" s="90" t="n">
        <v>154</v>
      </c>
      <c r="B164" s="108" t="s">
        <v>1766</v>
      </c>
      <c r="C164" s="91" t="s">
        <v>624</v>
      </c>
      <c r="D164" s="93" t="s">
        <v>369</v>
      </c>
      <c r="E164" s="93" t="s">
        <v>107</v>
      </c>
      <c r="F164" s="93"/>
      <c r="G164" s="93"/>
      <c r="H164" s="93" t="s">
        <v>1767</v>
      </c>
      <c r="I164" s="95"/>
      <c r="J164" s="96"/>
      <c r="K164" s="96"/>
      <c r="L164" s="96"/>
      <c r="M164" s="96" t="s">
        <v>1569</v>
      </c>
      <c r="N164" s="96" t="s">
        <v>1701</v>
      </c>
    </row>
    <row r="165" customFormat="false" ht="14.25" hidden="false" customHeight="false" outlineLevel="0" collapsed="false">
      <c r="A165" s="107" t="n">
        <v>155</v>
      </c>
      <c r="B165" s="108"/>
      <c r="C165" s="103" t="s">
        <v>625</v>
      </c>
      <c r="D165" s="104"/>
      <c r="E165" s="104" t="s">
        <v>107</v>
      </c>
      <c r="F165" s="104"/>
      <c r="G165" s="104"/>
      <c r="H165" s="104" t="s">
        <v>1767</v>
      </c>
      <c r="I165" s="105"/>
      <c r="J165" s="106"/>
      <c r="K165" s="106"/>
      <c r="L165" s="106"/>
      <c r="M165" s="106" t="s">
        <v>1569</v>
      </c>
      <c r="N165" s="73"/>
    </row>
    <row r="166" customFormat="false" ht="14.25" hidden="false" customHeight="false" outlineLevel="0" collapsed="false">
      <c r="A166" s="107" t="n">
        <v>156</v>
      </c>
      <c r="B166" s="108"/>
      <c r="C166" s="103" t="s">
        <v>637</v>
      </c>
      <c r="D166" s="104" t="s">
        <v>420</v>
      </c>
      <c r="E166" s="104" t="s">
        <v>107</v>
      </c>
      <c r="F166" s="104" t="s">
        <v>638</v>
      </c>
      <c r="G166" s="104"/>
      <c r="H166" s="104" t="s">
        <v>1767</v>
      </c>
      <c r="I166" s="105"/>
      <c r="J166" s="106"/>
      <c r="K166" s="106"/>
      <c r="L166" s="106"/>
      <c r="M166" s="106" t="s">
        <v>1569</v>
      </c>
      <c r="N166" s="66" t="s">
        <v>1595</v>
      </c>
    </row>
    <row r="167" customFormat="false" ht="14.25" hidden="false" customHeight="false" outlineLevel="0" collapsed="false">
      <c r="A167" s="107" t="n">
        <v>157</v>
      </c>
      <c r="B167" s="108"/>
      <c r="C167" s="103" t="s">
        <v>629</v>
      </c>
      <c r="D167" s="115"/>
      <c r="E167" s="104" t="s">
        <v>107</v>
      </c>
      <c r="F167" s="115"/>
      <c r="G167" s="115"/>
      <c r="H167" s="104" t="s">
        <v>1767</v>
      </c>
      <c r="I167" s="116"/>
      <c r="J167" s="106"/>
      <c r="K167" s="106"/>
      <c r="L167" s="106"/>
      <c r="M167" s="106" t="s">
        <v>1569</v>
      </c>
      <c r="N167" s="66" t="s">
        <v>1768</v>
      </c>
    </row>
    <row r="168" customFormat="false" ht="14.25" hidden="false" customHeight="false" outlineLevel="0" collapsed="false">
      <c r="A168" s="107" t="n">
        <v>158</v>
      </c>
      <c r="B168" s="108"/>
      <c r="C168" s="103" t="s">
        <v>630</v>
      </c>
      <c r="D168" s="115" t="s">
        <v>369</v>
      </c>
      <c r="E168" s="104" t="s">
        <v>107</v>
      </c>
      <c r="F168" s="104" t="n">
        <v>2501</v>
      </c>
      <c r="G168" s="115"/>
      <c r="H168" s="104" t="s">
        <v>1767</v>
      </c>
      <c r="I168" s="116"/>
      <c r="J168" s="106"/>
      <c r="K168" s="106"/>
      <c r="L168" s="106"/>
      <c r="M168" s="106" t="s">
        <v>1569</v>
      </c>
      <c r="N168" s="66" t="s">
        <v>1595</v>
      </c>
    </row>
    <row r="169" customFormat="false" ht="14.25" hidden="false" customHeight="false" outlineLevel="0" collapsed="false">
      <c r="A169" s="107" t="n">
        <v>159</v>
      </c>
      <c r="B169" s="108"/>
      <c r="C169" s="103" t="s">
        <v>639</v>
      </c>
      <c r="D169" s="115" t="s">
        <v>420</v>
      </c>
      <c r="E169" s="104" t="s">
        <v>107</v>
      </c>
      <c r="F169" s="115" t="s">
        <v>640</v>
      </c>
      <c r="G169" s="115"/>
      <c r="H169" s="104" t="s">
        <v>1767</v>
      </c>
      <c r="I169" s="116"/>
      <c r="J169" s="106"/>
      <c r="K169" s="106"/>
      <c r="L169" s="106"/>
      <c r="M169" s="106" t="s">
        <v>1569</v>
      </c>
      <c r="N169" s="66" t="s">
        <v>1618</v>
      </c>
    </row>
    <row r="170" customFormat="false" ht="14.25" hidden="false" customHeight="false" outlineLevel="0" collapsed="false">
      <c r="A170" s="107" t="n">
        <v>160</v>
      </c>
      <c r="B170" s="108"/>
      <c r="C170" s="103" t="s">
        <v>632</v>
      </c>
      <c r="D170" s="104" t="s">
        <v>369</v>
      </c>
      <c r="E170" s="104" t="s">
        <v>107</v>
      </c>
      <c r="F170" s="104"/>
      <c r="G170" s="104" t="s">
        <v>633</v>
      </c>
      <c r="H170" s="104" t="s">
        <v>1769</v>
      </c>
      <c r="I170" s="116"/>
      <c r="J170" s="106" t="s">
        <v>1770</v>
      </c>
      <c r="K170" s="106"/>
      <c r="L170" s="106" t="s">
        <v>1771</v>
      </c>
      <c r="M170" s="106" t="s">
        <v>1569</v>
      </c>
      <c r="N170" s="73" t="s">
        <v>1622</v>
      </c>
    </row>
    <row r="171" customFormat="false" ht="14.25" hidden="false" customHeight="false" outlineLevel="0" collapsed="false">
      <c r="A171" s="107" t="n">
        <v>161</v>
      </c>
      <c r="B171" s="108"/>
      <c r="C171" s="103" t="s">
        <v>615</v>
      </c>
      <c r="D171" s="104" t="s">
        <v>606</v>
      </c>
      <c r="E171" s="104" t="s">
        <v>107</v>
      </c>
      <c r="F171" s="115" t="s">
        <v>608</v>
      </c>
      <c r="G171" s="115" t="s">
        <v>616</v>
      </c>
      <c r="H171" s="104" t="s">
        <v>1772</v>
      </c>
      <c r="I171" s="116" t="n">
        <v>2020.08</v>
      </c>
      <c r="J171" s="106"/>
      <c r="K171" s="106"/>
      <c r="L171" s="106"/>
      <c r="M171" s="106" t="s">
        <v>1569</v>
      </c>
      <c r="N171" s="66" t="s">
        <v>1601</v>
      </c>
    </row>
    <row r="172" customFormat="false" ht="14.25" hidden="false" customHeight="false" outlineLevel="0" collapsed="false">
      <c r="A172" s="107" t="n">
        <v>162</v>
      </c>
      <c r="B172" s="108"/>
      <c r="C172" s="103" t="s">
        <v>613</v>
      </c>
      <c r="D172" s="115" t="s">
        <v>606</v>
      </c>
      <c r="E172" s="104" t="s">
        <v>107</v>
      </c>
      <c r="F172" s="115" t="s">
        <v>608</v>
      </c>
      <c r="G172" s="115" t="s">
        <v>614</v>
      </c>
      <c r="H172" s="104" t="s">
        <v>1772</v>
      </c>
      <c r="I172" s="116" t="n">
        <v>2020</v>
      </c>
      <c r="J172" s="106"/>
      <c r="K172" s="106"/>
      <c r="L172" s="106"/>
      <c r="M172" s="106" t="s">
        <v>1569</v>
      </c>
      <c r="N172" s="66" t="s">
        <v>1601</v>
      </c>
    </row>
    <row r="173" customFormat="false" ht="14.25" hidden="false" customHeight="false" outlineLevel="0" collapsed="false">
      <c r="A173" s="107" t="n">
        <v>163</v>
      </c>
      <c r="B173" s="108"/>
      <c r="C173" s="103" t="s">
        <v>617</v>
      </c>
      <c r="D173" s="115" t="s">
        <v>606</v>
      </c>
      <c r="E173" s="104" t="s">
        <v>107</v>
      </c>
      <c r="F173" s="115" t="s">
        <v>608</v>
      </c>
      <c r="G173" s="115" t="s">
        <v>618</v>
      </c>
      <c r="H173" s="104" t="s">
        <v>1772</v>
      </c>
      <c r="I173" s="116" t="n">
        <v>2020</v>
      </c>
      <c r="J173" s="106"/>
      <c r="K173" s="106"/>
      <c r="L173" s="106"/>
      <c r="M173" s="106" t="s">
        <v>1569</v>
      </c>
      <c r="N173" s="66" t="s">
        <v>1595</v>
      </c>
    </row>
    <row r="174" customFormat="false" ht="14.25" hidden="false" customHeight="false" outlineLevel="0" collapsed="false">
      <c r="A174" s="107" t="n">
        <v>164</v>
      </c>
      <c r="B174" s="108"/>
      <c r="C174" s="103" t="s">
        <v>635</v>
      </c>
      <c r="D174" s="104" t="s">
        <v>634</v>
      </c>
      <c r="E174" s="104" t="s">
        <v>107</v>
      </c>
      <c r="F174" s="115" t="s">
        <v>636</v>
      </c>
      <c r="G174" s="115"/>
      <c r="H174" s="104" t="s">
        <v>1767</v>
      </c>
      <c r="I174" s="116"/>
      <c r="J174" s="106"/>
      <c r="K174" s="106"/>
      <c r="L174" s="106"/>
      <c r="M174" s="106" t="s">
        <v>1569</v>
      </c>
      <c r="N174" s="66" t="s">
        <v>1768</v>
      </c>
    </row>
    <row r="175" customFormat="false" ht="14.25" hidden="false" customHeight="false" outlineLevel="0" collapsed="false">
      <c r="A175" s="107" t="n">
        <v>165</v>
      </c>
      <c r="B175" s="108"/>
      <c r="C175" s="103" t="s">
        <v>607</v>
      </c>
      <c r="D175" s="104" t="s">
        <v>606</v>
      </c>
      <c r="E175" s="104" t="s">
        <v>107</v>
      </c>
      <c r="F175" s="104" t="s">
        <v>608</v>
      </c>
      <c r="G175" s="104" t="s">
        <v>609</v>
      </c>
      <c r="H175" s="104" t="s">
        <v>1772</v>
      </c>
      <c r="I175" s="116" t="n">
        <v>2021.01</v>
      </c>
      <c r="J175" s="106"/>
      <c r="K175" s="106"/>
      <c r="L175" s="106"/>
      <c r="M175" s="106" t="s">
        <v>1569</v>
      </c>
      <c r="N175" s="66" t="s">
        <v>1622</v>
      </c>
    </row>
    <row r="176" customFormat="false" ht="14.25" hidden="false" customHeight="false" outlineLevel="0" collapsed="false">
      <c r="A176" s="107" t="n">
        <v>166</v>
      </c>
      <c r="B176" s="108"/>
      <c r="C176" s="103" t="s">
        <v>610</v>
      </c>
      <c r="D176" s="104" t="s">
        <v>606</v>
      </c>
      <c r="E176" s="104" t="s">
        <v>107</v>
      </c>
      <c r="F176" s="104" t="s">
        <v>611</v>
      </c>
      <c r="G176" s="104" t="s">
        <v>612</v>
      </c>
      <c r="H176" s="104" t="s">
        <v>1772</v>
      </c>
      <c r="I176" s="116" t="n">
        <v>2021</v>
      </c>
      <c r="J176" s="106"/>
      <c r="K176" s="106"/>
      <c r="L176" s="106"/>
      <c r="M176" s="106" t="s">
        <v>1569</v>
      </c>
      <c r="N176" s="66" t="s">
        <v>1630</v>
      </c>
    </row>
    <row r="177" customFormat="false" ht="14.25" hidden="false" customHeight="false" outlineLevel="0" collapsed="false">
      <c r="A177" s="107" t="n">
        <v>167</v>
      </c>
      <c r="B177" s="108"/>
      <c r="C177" s="103" t="s">
        <v>619</v>
      </c>
      <c r="D177" s="104" t="s">
        <v>420</v>
      </c>
      <c r="E177" s="104" t="s">
        <v>107</v>
      </c>
      <c r="F177" s="104" t="s">
        <v>620</v>
      </c>
      <c r="G177" s="104"/>
      <c r="H177" s="104" t="s">
        <v>1767</v>
      </c>
      <c r="I177" s="116" t="n">
        <v>2014</v>
      </c>
      <c r="J177" s="106"/>
      <c r="K177" s="106"/>
      <c r="L177" s="106"/>
      <c r="M177" s="106" t="s">
        <v>1569</v>
      </c>
      <c r="N177" s="66" t="s">
        <v>1618</v>
      </c>
    </row>
    <row r="178" customFormat="false" ht="14.25" hidden="false" customHeight="false" outlineLevel="0" collapsed="false">
      <c r="A178" s="107" t="n">
        <v>168</v>
      </c>
      <c r="B178" s="108"/>
      <c r="C178" s="103" t="s">
        <v>621</v>
      </c>
      <c r="D178" s="104" t="s">
        <v>420</v>
      </c>
      <c r="E178" s="104" t="s">
        <v>107</v>
      </c>
      <c r="F178" s="104" t="s">
        <v>622</v>
      </c>
      <c r="G178" s="104"/>
      <c r="H178" s="104" t="s">
        <v>1767</v>
      </c>
      <c r="I178" s="116" t="n">
        <v>2008</v>
      </c>
      <c r="J178" s="106"/>
      <c r="K178" s="106"/>
      <c r="L178" s="106"/>
      <c r="M178" s="106" t="s">
        <v>1569</v>
      </c>
      <c r="N178" s="73" t="s">
        <v>1622</v>
      </c>
    </row>
    <row r="179" customFormat="false" ht="14.25" hidden="false" customHeight="false" outlineLevel="0" collapsed="false">
      <c r="A179" s="107" t="n">
        <v>169</v>
      </c>
      <c r="B179" s="108"/>
      <c r="C179" s="103" t="s">
        <v>627</v>
      </c>
      <c r="D179" s="104" t="s">
        <v>626</v>
      </c>
      <c r="E179" s="104" t="s">
        <v>107</v>
      </c>
      <c r="F179" s="104" t="s">
        <v>628</v>
      </c>
      <c r="G179" s="104"/>
      <c r="H179" s="104" t="s">
        <v>1773</v>
      </c>
      <c r="I179" s="116"/>
      <c r="J179" s="106"/>
      <c r="K179" s="106"/>
      <c r="L179" s="106"/>
      <c r="M179" s="106" t="s">
        <v>1569</v>
      </c>
      <c r="N179" s="73"/>
    </row>
    <row r="180" customFormat="false" ht="14.25" hidden="false" customHeight="false" outlineLevel="0" collapsed="false">
      <c r="A180" s="74"/>
      <c r="B180" s="112"/>
      <c r="C180" s="75"/>
      <c r="D180" s="76"/>
      <c r="E180" s="79"/>
      <c r="F180" s="79"/>
      <c r="G180" s="79"/>
      <c r="H180" s="79"/>
      <c r="I180" s="80"/>
      <c r="J180" s="73"/>
      <c r="K180" s="73"/>
      <c r="L180" s="73"/>
      <c r="M180" s="73"/>
      <c r="N180" s="73"/>
    </row>
    <row r="181" s="53" customFormat="true" ht="15.75" hidden="false" customHeight="true" outlineLevel="0" collapsed="false">
      <c r="A181" s="90" t="n">
        <v>170</v>
      </c>
      <c r="B181" s="114" t="s">
        <v>641</v>
      </c>
      <c r="C181" s="91" t="s">
        <v>651</v>
      </c>
      <c r="D181" s="117" t="s">
        <v>294</v>
      </c>
      <c r="E181" s="93" t="s">
        <v>109</v>
      </c>
      <c r="F181" s="93"/>
      <c r="G181" s="93"/>
      <c r="H181" s="93" t="s">
        <v>1774</v>
      </c>
      <c r="I181" s="95" t="n">
        <v>2014</v>
      </c>
      <c r="J181" s="96"/>
      <c r="K181" s="96"/>
      <c r="L181" s="96"/>
      <c r="M181" s="96" t="s">
        <v>1569</v>
      </c>
      <c r="N181" s="96" t="s">
        <v>1701</v>
      </c>
    </row>
    <row r="182" customFormat="false" ht="15.75" hidden="false" customHeight="true" outlineLevel="0" collapsed="false">
      <c r="A182" s="60" t="n">
        <v>171</v>
      </c>
      <c r="B182" s="114"/>
      <c r="C182" s="62" t="s">
        <v>669</v>
      </c>
      <c r="D182" s="64" t="s">
        <v>1775</v>
      </c>
      <c r="E182" s="63" t="s">
        <v>109</v>
      </c>
      <c r="F182" s="63" t="s">
        <v>670</v>
      </c>
      <c r="G182" s="63"/>
      <c r="H182" s="63" t="s">
        <v>1774</v>
      </c>
      <c r="I182" s="86" t="n">
        <v>2014</v>
      </c>
      <c r="J182" s="118" t="s">
        <v>1776</v>
      </c>
      <c r="K182" s="65"/>
      <c r="L182" s="65"/>
      <c r="M182" s="65" t="s">
        <v>1569</v>
      </c>
      <c r="N182" s="66" t="s">
        <v>1618</v>
      </c>
    </row>
    <row r="183" customFormat="false" ht="17.25" hidden="false" customHeight="true" outlineLevel="0" collapsed="false">
      <c r="A183" s="60" t="n">
        <v>172</v>
      </c>
      <c r="B183" s="114"/>
      <c r="C183" s="62" t="s">
        <v>652</v>
      </c>
      <c r="D183" s="64" t="s">
        <v>294</v>
      </c>
      <c r="E183" s="63" t="s">
        <v>109</v>
      </c>
      <c r="F183" s="63" t="s">
        <v>1777</v>
      </c>
      <c r="G183" s="63"/>
      <c r="H183" s="63" t="s">
        <v>1774</v>
      </c>
      <c r="I183" s="86" t="n">
        <v>2014</v>
      </c>
      <c r="J183" s="118" t="s">
        <v>1778</v>
      </c>
      <c r="K183" s="65"/>
      <c r="L183" s="65"/>
      <c r="M183" s="65" t="s">
        <v>1569</v>
      </c>
      <c r="N183" s="66" t="s">
        <v>1593</v>
      </c>
    </row>
    <row r="184" customFormat="false" ht="15.75" hidden="false" customHeight="true" outlineLevel="0" collapsed="false">
      <c r="A184" s="60" t="n">
        <v>173</v>
      </c>
      <c r="B184" s="114"/>
      <c r="C184" s="62" t="s">
        <v>653</v>
      </c>
      <c r="D184" s="64" t="s">
        <v>294</v>
      </c>
      <c r="E184" s="63" t="s">
        <v>109</v>
      </c>
      <c r="F184" s="63"/>
      <c r="G184" s="63"/>
      <c r="H184" s="63" t="s">
        <v>1774</v>
      </c>
      <c r="I184" s="86" t="n">
        <v>2014</v>
      </c>
      <c r="J184" s="118" t="s">
        <v>1779</v>
      </c>
      <c r="K184" s="65"/>
      <c r="L184" s="65"/>
      <c r="M184" s="65" t="s">
        <v>1569</v>
      </c>
      <c r="N184" s="66" t="s">
        <v>1593</v>
      </c>
    </row>
    <row r="185" customFormat="false" ht="15.75" hidden="false" customHeight="true" outlineLevel="0" collapsed="false">
      <c r="A185" s="60" t="n">
        <v>174</v>
      </c>
      <c r="B185" s="114"/>
      <c r="C185" s="62" t="s">
        <v>654</v>
      </c>
      <c r="D185" s="64" t="s">
        <v>294</v>
      </c>
      <c r="E185" s="63" t="s">
        <v>109</v>
      </c>
      <c r="F185" s="63"/>
      <c r="G185" s="63"/>
      <c r="H185" s="63" t="s">
        <v>1774</v>
      </c>
      <c r="I185" s="86" t="n">
        <v>2017</v>
      </c>
      <c r="J185" s="118" t="s">
        <v>1780</v>
      </c>
      <c r="K185" s="65"/>
      <c r="L185" s="65"/>
      <c r="M185" s="65" t="s">
        <v>1569</v>
      </c>
      <c r="N185" s="66" t="s">
        <v>1595</v>
      </c>
    </row>
    <row r="186" customFormat="false" ht="15.75" hidden="false" customHeight="true" outlineLevel="0" collapsed="false">
      <c r="A186" s="60" t="n">
        <v>175</v>
      </c>
      <c r="B186" s="114"/>
      <c r="C186" s="62" t="s">
        <v>659</v>
      </c>
      <c r="D186" s="64" t="s">
        <v>294</v>
      </c>
      <c r="E186" s="63" t="s">
        <v>109</v>
      </c>
      <c r="F186" s="63"/>
      <c r="G186" s="63"/>
      <c r="H186" s="63" t="s">
        <v>1774</v>
      </c>
      <c r="I186" s="86" t="n">
        <v>2017</v>
      </c>
      <c r="J186" s="118" t="s">
        <v>1781</v>
      </c>
      <c r="K186" s="65"/>
      <c r="L186" s="65"/>
      <c r="M186" s="65" t="s">
        <v>1569</v>
      </c>
      <c r="N186" s="66" t="s">
        <v>1595</v>
      </c>
    </row>
    <row r="187" customFormat="false" ht="15.75" hidden="false" customHeight="true" outlineLevel="0" collapsed="false">
      <c r="A187" s="60" t="n">
        <v>176</v>
      </c>
      <c r="B187" s="114"/>
      <c r="C187" s="62" t="s">
        <v>668</v>
      </c>
      <c r="D187" s="64" t="s">
        <v>294</v>
      </c>
      <c r="E187" s="63" t="s">
        <v>109</v>
      </c>
      <c r="F187" s="63"/>
      <c r="G187" s="63"/>
      <c r="H187" s="63" t="s">
        <v>1774</v>
      </c>
      <c r="I187" s="86" t="n">
        <v>2017</v>
      </c>
      <c r="J187" s="118" t="s">
        <v>1782</v>
      </c>
      <c r="K187" s="65"/>
      <c r="L187" s="65"/>
      <c r="M187" s="65" t="s">
        <v>1569</v>
      </c>
      <c r="N187" s="66" t="s">
        <v>1783</v>
      </c>
    </row>
    <row r="188" customFormat="false" ht="15.75" hidden="false" customHeight="true" outlineLevel="0" collapsed="false">
      <c r="A188" s="60" t="n">
        <v>177</v>
      </c>
      <c r="B188" s="114"/>
      <c r="C188" s="62" t="s">
        <v>660</v>
      </c>
      <c r="D188" s="64" t="s">
        <v>386</v>
      </c>
      <c r="E188" s="63" t="s">
        <v>109</v>
      </c>
      <c r="F188" s="63" t="s">
        <v>1784</v>
      </c>
      <c r="G188" s="63"/>
      <c r="H188" s="63" t="s">
        <v>1774</v>
      </c>
      <c r="I188" s="86" t="n">
        <v>2017</v>
      </c>
      <c r="J188" s="65"/>
      <c r="K188" s="65"/>
      <c r="L188" s="65"/>
      <c r="M188" s="65" t="s">
        <v>1569</v>
      </c>
      <c r="N188" s="66" t="s">
        <v>1595</v>
      </c>
    </row>
    <row r="189" customFormat="false" ht="15.75" hidden="false" customHeight="true" outlineLevel="0" collapsed="false">
      <c r="A189" s="60" t="n">
        <v>178</v>
      </c>
      <c r="B189" s="114"/>
      <c r="C189" s="62" t="s">
        <v>672</v>
      </c>
      <c r="D189" s="64" t="s">
        <v>294</v>
      </c>
      <c r="E189" s="63" t="s">
        <v>109</v>
      </c>
      <c r="F189" s="63"/>
      <c r="G189" s="63"/>
      <c r="H189" s="63" t="s">
        <v>1774</v>
      </c>
      <c r="I189" s="86" t="n">
        <v>2017</v>
      </c>
      <c r="J189" s="118" t="s">
        <v>1785</v>
      </c>
      <c r="K189" s="65"/>
      <c r="L189" s="65"/>
      <c r="M189" s="65" t="s">
        <v>1569</v>
      </c>
      <c r="N189" s="66" t="s">
        <v>1763</v>
      </c>
    </row>
    <row r="190" customFormat="false" ht="15.75" hidden="false" customHeight="true" outlineLevel="0" collapsed="false">
      <c r="A190" s="60" t="n">
        <v>179</v>
      </c>
      <c r="B190" s="114"/>
      <c r="C190" s="62" t="s">
        <v>645</v>
      </c>
      <c r="D190" s="64" t="s">
        <v>644</v>
      </c>
      <c r="E190" s="63" t="s">
        <v>109</v>
      </c>
      <c r="F190" s="63"/>
      <c r="G190" s="63"/>
      <c r="H190" s="63" t="s">
        <v>1774</v>
      </c>
      <c r="I190" s="86" t="n">
        <v>2017</v>
      </c>
      <c r="J190" s="118" t="s">
        <v>1786</v>
      </c>
      <c r="K190" s="65"/>
      <c r="L190" s="65"/>
      <c r="M190" s="65" t="s">
        <v>1569</v>
      </c>
      <c r="N190" s="66" t="s">
        <v>1595</v>
      </c>
    </row>
    <row r="191" customFormat="false" ht="15.75" hidden="false" customHeight="true" outlineLevel="0" collapsed="false">
      <c r="A191" s="60" t="n">
        <v>180</v>
      </c>
      <c r="B191" s="114"/>
      <c r="C191" s="62" t="s">
        <v>655</v>
      </c>
      <c r="D191" s="64" t="s">
        <v>294</v>
      </c>
      <c r="E191" s="63" t="s">
        <v>109</v>
      </c>
      <c r="F191" s="63" t="s">
        <v>643</v>
      </c>
      <c r="G191" s="63"/>
      <c r="H191" s="63" t="s">
        <v>1774</v>
      </c>
      <c r="I191" s="86" t="n">
        <v>2017</v>
      </c>
      <c r="J191" s="118" t="s">
        <v>1787</v>
      </c>
      <c r="K191" s="65"/>
      <c r="L191" s="65"/>
      <c r="M191" s="65" t="s">
        <v>1569</v>
      </c>
      <c r="N191" s="66" t="s">
        <v>1595</v>
      </c>
    </row>
    <row r="192" customFormat="false" ht="15.75" hidden="false" customHeight="true" outlineLevel="0" collapsed="false">
      <c r="A192" s="60" t="n">
        <v>181</v>
      </c>
      <c r="B192" s="114"/>
      <c r="C192" s="62" t="s">
        <v>662</v>
      </c>
      <c r="D192" s="64" t="s">
        <v>294</v>
      </c>
      <c r="E192" s="63" t="s">
        <v>109</v>
      </c>
      <c r="F192" s="63" t="s">
        <v>643</v>
      </c>
      <c r="G192" s="63"/>
      <c r="H192" s="63" t="s">
        <v>1788</v>
      </c>
      <c r="I192" s="86" t="n">
        <v>2016</v>
      </c>
      <c r="J192" s="118" t="s">
        <v>1789</v>
      </c>
      <c r="K192" s="65"/>
      <c r="L192" s="65" t="s">
        <v>1790</v>
      </c>
      <c r="M192" s="65" t="s">
        <v>1569</v>
      </c>
      <c r="N192" s="66" t="s">
        <v>1595</v>
      </c>
    </row>
    <row r="193" customFormat="false" ht="15.75" hidden="false" customHeight="true" outlineLevel="0" collapsed="false">
      <c r="A193" s="60" t="n">
        <v>182</v>
      </c>
      <c r="B193" s="114"/>
      <c r="C193" s="62" t="s">
        <v>646</v>
      </c>
      <c r="D193" s="64" t="s">
        <v>294</v>
      </c>
      <c r="E193" s="63" t="s">
        <v>109</v>
      </c>
      <c r="F193" s="63" t="s">
        <v>643</v>
      </c>
      <c r="G193" s="63"/>
      <c r="H193" s="63" t="s">
        <v>1788</v>
      </c>
      <c r="I193" s="86" t="n">
        <v>2016</v>
      </c>
      <c r="J193" s="118" t="s">
        <v>1791</v>
      </c>
      <c r="K193" s="65"/>
      <c r="L193" s="65" t="s">
        <v>1792</v>
      </c>
      <c r="M193" s="65" t="s">
        <v>1569</v>
      </c>
      <c r="N193" s="66" t="s">
        <v>1595</v>
      </c>
    </row>
    <row r="194" customFormat="false" ht="15.75" hidden="false" customHeight="true" outlineLevel="0" collapsed="false">
      <c r="A194" s="60" t="n">
        <v>183</v>
      </c>
      <c r="B194" s="114"/>
      <c r="C194" s="62" t="s">
        <v>649</v>
      </c>
      <c r="D194" s="64" t="s">
        <v>294</v>
      </c>
      <c r="E194" s="63" t="s">
        <v>109</v>
      </c>
      <c r="F194" s="63" t="s">
        <v>643</v>
      </c>
      <c r="G194" s="63"/>
      <c r="H194" s="63" t="s">
        <v>1788</v>
      </c>
      <c r="I194" s="86" t="n">
        <v>2016</v>
      </c>
      <c r="J194" s="118" t="s">
        <v>1793</v>
      </c>
      <c r="K194" s="65"/>
      <c r="L194" s="65" t="s">
        <v>1794</v>
      </c>
      <c r="M194" s="65" t="s">
        <v>1569</v>
      </c>
      <c r="N194" s="66" t="s">
        <v>1622</v>
      </c>
    </row>
    <row r="195" customFormat="false" ht="15.75" hidden="false" customHeight="true" outlineLevel="0" collapsed="false">
      <c r="A195" s="60" t="n">
        <v>184</v>
      </c>
      <c r="B195" s="114"/>
      <c r="C195" s="62" t="s">
        <v>656</v>
      </c>
      <c r="D195" s="64" t="s">
        <v>294</v>
      </c>
      <c r="E195" s="63" t="s">
        <v>109</v>
      </c>
      <c r="F195" s="63" t="s">
        <v>643</v>
      </c>
      <c r="G195" s="63"/>
      <c r="H195" s="63" t="s">
        <v>1788</v>
      </c>
      <c r="I195" s="86" t="n">
        <v>2016</v>
      </c>
      <c r="J195" s="118" t="s">
        <v>1795</v>
      </c>
      <c r="K195" s="65"/>
      <c r="L195" s="65" t="s">
        <v>1796</v>
      </c>
      <c r="M195" s="65" t="s">
        <v>1569</v>
      </c>
      <c r="N195" s="66" t="s">
        <v>1722</v>
      </c>
    </row>
    <row r="196" customFormat="false" ht="15.75" hidden="false" customHeight="true" outlineLevel="0" collapsed="false">
      <c r="A196" s="60" t="n">
        <v>185</v>
      </c>
      <c r="B196" s="114"/>
      <c r="C196" s="62" t="s">
        <v>657</v>
      </c>
      <c r="D196" s="64" t="s">
        <v>294</v>
      </c>
      <c r="E196" s="63" t="s">
        <v>109</v>
      </c>
      <c r="F196" s="63" t="s">
        <v>643</v>
      </c>
      <c r="G196" s="63"/>
      <c r="H196" s="63" t="s">
        <v>1788</v>
      </c>
      <c r="I196" s="86" t="n">
        <v>2017</v>
      </c>
      <c r="J196" s="118" t="s">
        <v>1797</v>
      </c>
      <c r="K196" s="65"/>
      <c r="L196" s="65" t="s">
        <v>1798</v>
      </c>
      <c r="M196" s="65" t="s">
        <v>1569</v>
      </c>
      <c r="N196" s="66" t="s">
        <v>1755</v>
      </c>
    </row>
    <row r="197" customFormat="false" ht="15.75" hidden="false" customHeight="true" outlineLevel="0" collapsed="false">
      <c r="A197" s="60" t="n">
        <v>186</v>
      </c>
      <c r="B197" s="114"/>
      <c r="C197" s="62" t="s">
        <v>658</v>
      </c>
      <c r="D197" s="64" t="s">
        <v>294</v>
      </c>
      <c r="E197" s="63" t="s">
        <v>109</v>
      </c>
      <c r="F197" s="63" t="s">
        <v>643</v>
      </c>
      <c r="G197" s="63"/>
      <c r="H197" s="63" t="s">
        <v>1788</v>
      </c>
      <c r="I197" s="86" t="n">
        <v>2017</v>
      </c>
      <c r="J197" s="118" t="s">
        <v>1799</v>
      </c>
      <c r="K197" s="65"/>
      <c r="L197" s="65" t="s">
        <v>1800</v>
      </c>
      <c r="M197" s="65" t="s">
        <v>1569</v>
      </c>
      <c r="N197" s="66" t="s">
        <v>1622</v>
      </c>
    </row>
    <row r="198" customFormat="false" ht="15.75" hidden="false" customHeight="true" outlineLevel="0" collapsed="false">
      <c r="A198" s="60" t="n">
        <v>187</v>
      </c>
      <c r="B198" s="114"/>
      <c r="C198" s="62" t="s">
        <v>663</v>
      </c>
      <c r="D198" s="64" t="s">
        <v>294</v>
      </c>
      <c r="E198" s="63" t="s">
        <v>109</v>
      </c>
      <c r="F198" s="63" t="s">
        <v>643</v>
      </c>
      <c r="G198" s="63"/>
      <c r="H198" s="63" t="s">
        <v>1788</v>
      </c>
      <c r="I198" s="86" t="n">
        <v>2017</v>
      </c>
      <c r="J198" s="118" t="s">
        <v>1801</v>
      </c>
      <c r="K198" s="65"/>
      <c r="L198" s="65" t="s">
        <v>1802</v>
      </c>
      <c r="M198" s="65" t="s">
        <v>1569</v>
      </c>
      <c r="N198" s="66" t="s">
        <v>1618</v>
      </c>
    </row>
    <row r="199" s="53" customFormat="true" ht="15.75" hidden="false" customHeight="true" outlineLevel="0" collapsed="false">
      <c r="A199" s="90" t="n">
        <v>188</v>
      </c>
      <c r="B199" s="114"/>
      <c r="C199" s="91" t="s">
        <v>666</v>
      </c>
      <c r="D199" s="117" t="s">
        <v>294</v>
      </c>
      <c r="E199" s="93" t="s">
        <v>109</v>
      </c>
      <c r="F199" s="93" t="s">
        <v>667</v>
      </c>
      <c r="G199" s="93"/>
      <c r="H199" s="93" t="s">
        <v>1788</v>
      </c>
      <c r="I199" s="95" t="n">
        <v>2016</v>
      </c>
      <c r="J199" s="119" t="s">
        <v>1803</v>
      </c>
      <c r="K199" s="96"/>
      <c r="L199" s="96" t="s">
        <v>1804</v>
      </c>
      <c r="M199" s="96" t="s">
        <v>1569</v>
      </c>
      <c r="N199" s="96" t="s">
        <v>1701</v>
      </c>
    </row>
    <row r="200" s="53" customFormat="true" ht="15.75" hidden="false" customHeight="true" outlineLevel="0" collapsed="false">
      <c r="A200" s="90" t="n">
        <v>189</v>
      </c>
      <c r="B200" s="114"/>
      <c r="C200" s="91" t="s">
        <v>650</v>
      </c>
      <c r="D200" s="117" t="s">
        <v>294</v>
      </c>
      <c r="E200" s="93" t="s">
        <v>109</v>
      </c>
      <c r="F200" s="93" t="s">
        <v>643</v>
      </c>
      <c r="G200" s="93"/>
      <c r="H200" s="93" t="s">
        <v>1788</v>
      </c>
      <c r="I200" s="95" t="n">
        <v>2020</v>
      </c>
      <c r="J200" s="119" t="s">
        <v>1805</v>
      </c>
      <c r="K200" s="96"/>
      <c r="L200" s="96"/>
      <c r="M200" s="96" t="s">
        <v>1569</v>
      </c>
      <c r="N200" s="96" t="s">
        <v>1701</v>
      </c>
    </row>
    <row r="201" s="53" customFormat="true" ht="15.75" hidden="false" customHeight="true" outlineLevel="0" collapsed="false">
      <c r="A201" s="90" t="n">
        <v>190</v>
      </c>
      <c r="B201" s="114"/>
      <c r="C201" s="91" t="s">
        <v>642</v>
      </c>
      <c r="D201" s="117" t="s">
        <v>294</v>
      </c>
      <c r="E201" s="93" t="s">
        <v>109</v>
      </c>
      <c r="F201" s="93" t="s">
        <v>643</v>
      </c>
      <c r="G201" s="93"/>
      <c r="H201" s="93" t="s">
        <v>1788</v>
      </c>
      <c r="I201" s="95" t="n">
        <v>2021</v>
      </c>
      <c r="J201" s="119" t="s">
        <v>1806</v>
      </c>
      <c r="K201" s="96"/>
      <c r="L201" s="96"/>
      <c r="M201" s="96" t="s">
        <v>1569</v>
      </c>
      <c r="N201" s="96" t="s">
        <v>1701</v>
      </c>
    </row>
    <row r="202" s="53" customFormat="true" ht="15.75" hidden="false" customHeight="true" outlineLevel="0" collapsed="false">
      <c r="A202" s="90" t="n">
        <v>191</v>
      </c>
      <c r="B202" s="114"/>
      <c r="C202" s="91" t="s">
        <v>664</v>
      </c>
      <c r="D202" s="117" t="s">
        <v>294</v>
      </c>
      <c r="E202" s="93" t="s">
        <v>109</v>
      </c>
      <c r="F202" s="93" t="s">
        <v>643</v>
      </c>
      <c r="G202" s="93"/>
      <c r="H202" s="93" t="s">
        <v>1788</v>
      </c>
      <c r="I202" s="95" t="n">
        <v>2021</v>
      </c>
      <c r="J202" s="119" t="s">
        <v>1807</v>
      </c>
      <c r="K202" s="96"/>
      <c r="L202" s="96"/>
      <c r="M202" s="96" t="s">
        <v>1569</v>
      </c>
      <c r="N202" s="96" t="s">
        <v>1701</v>
      </c>
    </row>
    <row r="203" s="53" customFormat="true" ht="15.75" hidden="false" customHeight="true" outlineLevel="0" collapsed="false">
      <c r="A203" s="90" t="n">
        <v>192</v>
      </c>
      <c r="B203" s="114"/>
      <c r="C203" s="91" t="s">
        <v>665</v>
      </c>
      <c r="D203" s="117" t="s">
        <v>294</v>
      </c>
      <c r="E203" s="93" t="s">
        <v>109</v>
      </c>
      <c r="F203" s="93" t="s">
        <v>643</v>
      </c>
      <c r="G203" s="93"/>
      <c r="H203" s="93" t="s">
        <v>1788</v>
      </c>
      <c r="I203" s="95" t="n">
        <v>2021</v>
      </c>
      <c r="J203" s="119" t="s">
        <v>1808</v>
      </c>
      <c r="K203" s="96"/>
      <c r="L203" s="96"/>
      <c r="M203" s="96" t="s">
        <v>1569</v>
      </c>
      <c r="N203" s="96" t="s">
        <v>1701</v>
      </c>
    </row>
    <row r="204" customFormat="false" ht="15.75" hidden="false" customHeight="true" outlineLevel="0" collapsed="false">
      <c r="A204" s="60" t="n">
        <v>193</v>
      </c>
      <c r="B204" s="114"/>
      <c r="C204" s="62" t="s">
        <v>647</v>
      </c>
      <c r="D204" s="64" t="s">
        <v>294</v>
      </c>
      <c r="E204" s="63" t="s">
        <v>109</v>
      </c>
      <c r="F204" s="63" t="s">
        <v>648</v>
      </c>
      <c r="G204" s="63"/>
      <c r="H204" s="63" t="s">
        <v>1788</v>
      </c>
      <c r="I204" s="86" t="n">
        <v>2021</v>
      </c>
      <c r="J204" s="118" t="s">
        <v>1809</v>
      </c>
      <c r="K204" s="65"/>
      <c r="L204" s="65" t="s">
        <v>1810</v>
      </c>
      <c r="M204" s="65" t="s">
        <v>1569</v>
      </c>
      <c r="N204" s="66" t="s">
        <v>1627</v>
      </c>
    </row>
    <row r="205" customFormat="false" ht="15.75" hidden="false" customHeight="true" outlineLevel="0" collapsed="false">
      <c r="A205" s="60" t="n">
        <v>194</v>
      </c>
      <c r="B205" s="114"/>
      <c r="C205" s="62" t="s">
        <v>671</v>
      </c>
      <c r="D205" s="64" t="s">
        <v>294</v>
      </c>
      <c r="E205" s="63" t="s">
        <v>109</v>
      </c>
      <c r="F205" s="63" t="s">
        <v>648</v>
      </c>
      <c r="G205" s="63"/>
      <c r="H205" s="63" t="s">
        <v>1788</v>
      </c>
      <c r="I205" s="86" t="n">
        <v>2021</v>
      </c>
      <c r="J205" s="118" t="s">
        <v>1811</v>
      </c>
      <c r="K205" s="65"/>
      <c r="L205" s="65" t="s">
        <v>1812</v>
      </c>
      <c r="M205" s="65" t="s">
        <v>1569</v>
      </c>
      <c r="N205" s="66" t="s">
        <v>1813</v>
      </c>
    </row>
    <row r="206" customFormat="false" ht="14.25" hidden="false" customHeight="false" outlineLevel="0" collapsed="false">
      <c r="A206" s="120"/>
      <c r="B206" s="121"/>
      <c r="C206" s="122"/>
      <c r="D206" s="123"/>
      <c r="E206" s="124"/>
      <c r="F206" s="104"/>
      <c r="G206" s="104"/>
      <c r="H206" s="104"/>
      <c r="I206" s="105"/>
      <c r="J206" s="106"/>
      <c r="K206" s="106"/>
      <c r="L206" s="106"/>
      <c r="M206" s="106"/>
      <c r="N206" s="73"/>
    </row>
    <row r="207" s="53" customFormat="true" ht="14.25" hidden="false" customHeight="false" outlineLevel="0" collapsed="false">
      <c r="A207" s="90" t="n">
        <v>195</v>
      </c>
      <c r="B207" s="108" t="s">
        <v>1814</v>
      </c>
      <c r="C207" s="91" t="s">
        <v>688</v>
      </c>
      <c r="D207" s="93" t="s">
        <v>687</v>
      </c>
      <c r="E207" s="93" t="s">
        <v>1815</v>
      </c>
      <c r="F207" s="93" t="s">
        <v>689</v>
      </c>
      <c r="G207" s="93"/>
      <c r="H207" s="93" t="s">
        <v>1816</v>
      </c>
      <c r="I207" s="95" t="n">
        <v>2012</v>
      </c>
      <c r="J207" s="96" t="n">
        <v>11000</v>
      </c>
      <c r="K207" s="96"/>
      <c r="L207" s="96"/>
      <c r="M207" s="96" t="s">
        <v>1569</v>
      </c>
      <c r="N207" s="96" t="s">
        <v>1701</v>
      </c>
    </row>
    <row r="208" s="53" customFormat="true" ht="14.25" hidden="false" customHeight="false" outlineLevel="0" collapsed="false">
      <c r="A208" s="90" t="n">
        <v>196</v>
      </c>
      <c r="B208" s="108"/>
      <c r="C208" s="91" t="s">
        <v>683</v>
      </c>
      <c r="D208" s="93" t="s">
        <v>420</v>
      </c>
      <c r="E208" s="93" t="s">
        <v>1815</v>
      </c>
      <c r="F208" s="93" t="s">
        <v>684</v>
      </c>
      <c r="G208" s="93"/>
      <c r="H208" s="93" t="s">
        <v>1817</v>
      </c>
      <c r="I208" s="95" t="n">
        <v>2013</v>
      </c>
      <c r="J208" s="96" t="s">
        <v>684</v>
      </c>
      <c r="K208" s="96"/>
      <c r="L208" s="96"/>
      <c r="M208" s="96" t="s">
        <v>1569</v>
      </c>
      <c r="N208" s="96" t="s">
        <v>1701</v>
      </c>
    </row>
    <row r="209" s="53" customFormat="true" ht="14.25" hidden="false" customHeight="false" outlineLevel="0" collapsed="false">
      <c r="A209" s="90" t="n">
        <v>197</v>
      </c>
      <c r="B209" s="108"/>
      <c r="C209" s="91" t="s">
        <v>679</v>
      </c>
      <c r="D209" s="93" t="s">
        <v>420</v>
      </c>
      <c r="E209" s="93" t="s">
        <v>1815</v>
      </c>
      <c r="F209" s="93" t="s">
        <v>680</v>
      </c>
      <c r="G209" s="93"/>
      <c r="H209" s="93" t="s">
        <v>1817</v>
      </c>
      <c r="I209" s="95" t="n">
        <v>2014</v>
      </c>
      <c r="J209" s="96" t="s">
        <v>1818</v>
      </c>
      <c r="K209" s="96"/>
      <c r="L209" s="96"/>
      <c r="M209" s="96" t="s">
        <v>1569</v>
      </c>
      <c r="N209" s="96" t="s">
        <v>1701</v>
      </c>
    </row>
    <row r="210" s="53" customFormat="true" ht="14.25" hidden="false" customHeight="false" outlineLevel="0" collapsed="false">
      <c r="A210" s="90" t="n">
        <v>198</v>
      </c>
      <c r="B210" s="108"/>
      <c r="C210" s="91" t="s">
        <v>681</v>
      </c>
      <c r="D210" s="93" t="s">
        <v>420</v>
      </c>
      <c r="E210" s="93" t="s">
        <v>1815</v>
      </c>
      <c r="F210" s="93" t="s">
        <v>682</v>
      </c>
      <c r="G210" s="93"/>
      <c r="H210" s="93" t="s">
        <v>1817</v>
      </c>
      <c r="I210" s="95" t="n">
        <v>2014</v>
      </c>
      <c r="J210" s="96" t="s">
        <v>682</v>
      </c>
      <c r="K210" s="96"/>
      <c r="L210" s="96"/>
      <c r="M210" s="96" t="s">
        <v>1569</v>
      </c>
      <c r="N210" s="96" t="s">
        <v>1701</v>
      </c>
    </row>
    <row r="211" s="53" customFormat="true" ht="14.25" hidden="false" customHeight="false" outlineLevel="0" collapsed="false">
      <c r="A211" s="90" t="n">
        <v>199</v>
      </c>
      <c r="B211" s="108"/>
      <c r="C211" s="91" t="s">
        <v>686</v>
      </c>
      <c r="D211" s="93" t="s">
        <v>685</v>
      </c>
      <c r="E211" s="93" t="s">
        <v>1815</v>
      </c>
      <c r="F211" s="93"/>
      <c r="G211" s="93"/>
      <c r="H211" s="93" t="s">
        <v>1817</v>
      </c>
      <c r="I211" s="95" t="n">
        <v>2012</v>
      </c>
      <c r="J211" s="96" t="s">
        <v>1819</v>
      </c>
      <c r="K211" s="96"/>
      <c r="L211" s="96"/>
      <c r="M211" s="96" t="s">
        <v>1569</v>
      </c>
      <c r="N211" s="96" t="s">
        <v>1701</v>
      </c>
    </row>
    <row r="212" s="53" customFormat="true" ht="14.25" hidden="false" customHeight="false" outlineLevel="0" collapsed="false">
      <c r="A212" s="90" t="n">
        <v>200</v>
      </c>
      <c r="B212" s="108"/>
      <c r="C212" s="91" t="s">
        <v>694</v>
      </c>
      <c r="D212" s="93"/>
      <c r="E212" s="93" t="s">
        <v>1815</v>
      </c>
      <c r="F212" s="93"/>
      <c r="G212" s="93"/>
      <c r="H212" s="93"/>
      <c r="I212" s="95"/>
      <c r="J212" s="96"/>
      <c r="K212" s="96"/>
      <c r="L212" s="96"/>
      <c r="M212" s="96" t="s">
        <v>1569</v>
      </c>
      <c r="N212" s="96" t="s">
        <v>1701</v>
      </c>
    </row>
    <row r="213" s="53" customFormat="true" ht="14.25" hidden="false" customHeight="false" outlineLevel="0" collapsed="false">
      <c r="A213" s="90" t="n">
        <v>201</v>
      </c>
      <c r="B213" s="108"/>
      <c r="C213" s="91" t="s">
        <v>695</v>
      </c>
      <c r="D213" s="93"/>
      <c r="E213" s="93" t="s">
        <v>1815</v>
      </c>
      <c r="F213" s="93"/>
      <c r="G213" s="93"/>
      <c r="H213" s="93"/>
      <c r="I213" s="95"/>
      <c r="J213" s="96"/>
      <c r="K213" s="96"/>
      <c r="L213" s="96"/>
      <c r="M213" s="96" t="s">
        <v>1569</v>
      </c>
      <c r="N213" s="96" t="s">
        <v>1701</v>
      </c>
    </row>
    <row r="214" customFormat="false" ht="14.25" hidden="false" customHeight="false" outlineLevel="0" collapsed="false">
      <c r="A214" s="107" t="n">
        <v>202</v>
      </c>
      <c r="B214" s="108"/>
      <c r="C214" s="103" t="s">
        <v>677</v>
      </c>
      <c r="D214" s="104" t="s">
        <v>676</v>
      </c>
      <c r="E214" s="104" t="s">
        <v>1815</v>
      </c>
      <c r="F214" s="104" t="s">
        <v>678</v>
      </c>
      <c r="G214" s="104"/>
      <c r="H214" s="104"/>
      <c r="I214" s="104" t="n">
        <v>2019</v>
      </c>
      <c r="J214" s="106"/>
      <c r="K214" s="106"/>
      <c r="L214" s="106"/>
      <c r="M214" s="106" t="s">
        <v>1569</v>
      </c>
      <c r="N214" s="66" t="s">
        <v>1595</v>
      </c>
    </row>
    <row r="215" customFormat="false" ht="14.25" hidden="false" customHeight="false" outlineLevel="0" collapsed="false">
      <c r="A215" s="107" t="n">
        <v>203</v>
      </c>
      <c r="B215" s="108"/>
      <c r="C215" s="103" t="s">
        <v>690</v>
      </c>
      <c r="D215" s="104" t="s">
        <v>687</v>
      </c>
      <c r="E215" s="104" t="s">
        <v>1815</v>
      </c>
      <c r="F215" s="104" t="s">
        <v>691</v>
      </c>
      <c r="G215" s="104"/>
      <c r="H215" s="104"/>
      <c r="I215" s="104" t="n">
        <v>2012</v>
      </c>
      <c r="J215" s="106"/>
      <c r="K215" s="106"/>
      <c r="L215" s="106"/>
      <c r="M215" s="106" t="s">
        <v>1569</v>
      </c>
      <c r="N215" s="66" t="s">
        <v>1783</v>
      </c>
      <c r="O215" s="125" t="s">
        <v>1820</v>
      </c>
    </row>
    <row r="216" s="113" customFormat="true" ht="14.25" hidden="false" customHeight="false" outlineLevel="0" collapsed="false">
      <c r="A216" s="107" t="n">
        <v>204</v>
      </c>
      <c r="B216" s="108"/>
      <c r="C216" s="103" t="s">
        <v>674</v>
      </c>
      <c r="D216" s="104" t="s">
        <v>457</v>
      </c>
      <c r="E216" s="104" t="s">
        <v>1815</v>
      </c>
      <c r="F216" s="104" t="s">
        <v>675</v>
      </c>
      <c r="G216" s="104"/>
      <c r="H216" s="104"/>
      <c r="I216" s="104" t="n">
        <v>2020</v>
      </c>
      <c r="J216" s="106"/>
      <c r="K216" s="106"/>
      <c r="L216" s="106"/>
      <c r="M216" s="106" t="s">
        <v>1569</v>
      </c>
      <c r="N216" s="66" t="s">
        <v>1595</v>
      </c>
    </row>
    <row r="217" customFormat="false" ht="14.25" hidden="false" customHeight="false" outlineLevel="0" collapsed="false">
      <c r="A217" s="107" t="n">
        <v>205</v>
      </c>
      <c r="B217" s="108"/>
      <c r="C217" s="103" t="s">
        <v>692</v>
      </c>
      <c r="D217" s="104" t="s">
        <v>687</v>
      </c>
      <c r="E217" s="104" t="s">
        <v>1815</v>
      </c>
      <c r="F217" s="104" t="s">
        <v>693</v>
      </c>
      <c r="G217" s="104"/>
      <c r="H217" s="104"/>
      <c r="I217" s="104" t="n">
        <v>2006</v>
      </c>
      <c r="J217" s="106" t="n">
        <v>13570</v>
      </c>
      <c r="K217" s="106"/>
      <c r="L217" s="106"/>
      <c r="M217" s="106" t="s">
        <v>1569</v>
      </c>
      <c r="N217" s="66" t="s">
        <v>1821</v>
      </c>
    </row>
    <row r="218" customFormat="false" ht="14.25" hidden="false" customHeight="false" outlineLevel="0" collapsed="false">
      <c r="A218" s="74"/>
      <c r="B218" s="112"/>
      <c r="C218" s="75"/>
      <c r="D218" s="76"/>
      <c r="E218" s="77"/>
      <c r="F218" s="79" t="s">
        <v>1822</v>
      </c>
      <c r="G218" s="79" t="s">
        <v>1822</v>
      </c>
      <c r="H218" s="79" t="s">
        <v>1822</v>
      </c>
      <c r="I218" s="80"/>
      <c r="J218" s="73"/>
      <c r="K218" s="73"/>
      <c r="L218" s="73"/>
      <c r="M218" s="73"/>
      <c r="N218" s="73"/>
    </row>
    <row r="219" customFormat="false" ht="14.25" hidden="false" customHeight="false" outlineLevel="0" collapsed="false">
      <c r="A219" s="60" t="n">
        <v>206</v>
      </c>
      <c r="B219" s="114" t="s">
        <v>696</v>
      </c>
      <c r="C219" s="62" t="s">
        <v>708</v>
      </c>
      <c r="D219" s="63" t="s">
        <v>416</v>
      </c>
      <c r="E219" s="63" t="s">
        <v>113</v>
      </c>
      <c r="F219" s="63" t="s">
        <v>709</v>
      </c>
      <c r="G219" s="63" t="s">
        <v>711</v>
      </c>
      <c r="H219" s="63" t="s">
        <v>1823</v>
      </c>
      <c r="I219" s="86" t="n">
        <v>1992</v>
      </c>
      <c r="J219" s="65"/>
      <c r="K219" s="65"/>
      <c r="L219" s="65"/>
      <c r="M219" s="65" t="s">
        <v>1569</v>
      </c>
      <c r="N219" s="66" t="s">
        <v>1622</v>
      </c>
    </row>
    <row r="220" customFormat="false" ht="14.25" hidden="false" customHeight="false" outlineLevel="0" collapsed="false">
      <c r="A220" s="60" t="n">
        <v>207</v>
      </c>
      <c r="B220" s="114"/>
      <c r="C220" s="62" t="s">
        <v>701</v>
      </c>
      <c r="D220" s="63" t="s">
        <v>394</v>
      </c>
      <c r="E220" s="63" t="s">
        <v>113</v>
      </c>
      <c r="F220" s="63" t="s">
        <v>702</v>
      </c>
      <c r="G220" s="63" t="s">
        <v>703</v>
      </c>
      <c r="H220" s="63" t="s">
        <v>1824</v>
      </c>
      <c r="I220" s="86" t="n">
        <v>2013</v>
      </c>
      <c r="J220" s="65" t="s">
        <v>1825</v>
      </c>
      <c r="K220" s="65" t="s">
        <v>1825</v>
      </c>
      <c r="L220" s="65" t="s">
        <v>1826</v>
      </c>
      <c r="M220" s="65" t="s">
        <v>1569</v>
      </c>
      <c r="N220" s="66" t="s">
        <v>1595</v>
      </c>
    </row>
    <row r="221" s="52" customFormat="true" ht="14.25" hidden="false" customHeight="false" outlineLevel="0" collapsed="false">
      <c r="A221" s="126" t="n">
        <v>208</v>
      </c>
      <c r="B221" s="114"/>
      <c r="C221" s="127" t="s">
        <v>1827</v>
      </c>
      <c r="D221" s="128" t="s">
        <v>425</v>
      </c>
      <c r="E221" s="128" t="s">
        <v>1828</v>
      </c>
      <c r="F221" s="128"/>
      <c r="G221" s="128" t="s">
        <v>1121</v>
      </c>
      <c r="H221" s="128" t="s">
        <v>1823</v>
      </c>
      <c r="I221" s="129" t="n">
        <v>1990</v>
      </c>
      <c r="J221" s="130"/>
      <c r="K221" s="130" t="s">
        <v>1829</v>
      </c>
      <c r="L221" s="130"/>
      <c r="M221" s="130"/>
      <c r="N221" s="66" t="s">
        <v>1618</v>
      </c>
      <c r="O221" s="52" t="s">
        <v>1830</v>
      </c>
    </row>
    <row r="222" customFormat="false" ht="14.25" hidden="false" customHeight="false" outlineLevel="0" collapsed="false">
      <c r="A222" s="60" t="n">
        <v>209</v>
      </c>
      <c r="B222" s="114"/>
      <c r="C222" s="62" t="s">
        <v>705</v>
      </c>
      <c r="D222" s="63" t="s">
        <v>704</v>
      </c>
      <c r="E222" s="63" t="s">
        <v>113</v>
      </c>
      <c r="F222" s="63" t="s">
        <v>706</v>
      </c>
      <c r="G222" s="63" t="s">
        <v>707</v>
      </c>
      <c r="H222" s="63" t="s">
        <v>1823</v>
      </c>
      <c r="I222" s="86" t="n">
        <v>2012</v>
      </c>
      <c r="J222" s="65"/>
      <c r="K222" s="65"/>
      <c r="L222" s="65"/>
      <c r="M222" s="65" t="s">
        <v>1569</v>
      </c>
      <c r="N222" s="66" t="s">
        <v>1831</v>
      </c>
    </row>
    <row r="223" customFormat="false" ht="14.25" hidden="false" customHeight="false" outlineLevel="0" collapsed="false">
      <c r="A223" s="60" t="n">
        <v>210</v>
      </c>
      <c r="B223" s="114"/>
      <c r="C223" s="62" t="s">
        <v>698</v>
      </c>
      <c r="D223" s="63" t="s">
        <v>697</v>
      </c>
      <c r="E223" s="63" t="s">
        <v>113</v>
      </c>
      <c r="F223" s="63" t="s">
        <v>699</v>
      </c>
      <c r="G223" s="63" t="s">
        <v>700</v>
      </c>
      <c r="H223" s="63" t="s">
        <v>1832</v>
      </c>
      <c r="I223" s="86" t="n">
        <v>2019</v>
      </c>
      <c r="J223" s="65"/>
      <c r="K223" s="65"/>
      <c r="L223" s="65"/>
      <c r="M223" s="65" t="s">
        <v>1569</v>
      </c>
      <c r="N223" s="66" t="s">
        <v>1833</v>
      </c>
    </row>
    <row r="224" customFormat="false" ht="14.25" hidden="false" customHeight="false" outlineLevel="0" collapsed="false">
      <c r="A224" s="74"/>
      <c r="B224" s="112"/>
      <c r="C224" s="83"/>
      <c r="D224" s="78"/>
      <c r="E224" s="79"/>
      <c r="F224" s="79"/>
      <c r="G224" s="79"/>
      <c r="H224" s="79"/>
      <c r="I224" s="80"/>
      <c r="J224" s="73"/>
      <c r="K224" s="73"/>
      <c r="L224" s="73"/>
      <c r="M224" s="73"/>
      <c r="N224" s="73"/>
    </row>
    <row r="225" customFormat="false" ht="14.25" hidden="false" customHeight="false" outlineLevel="0" collapsed="false">
      <c r="A225" s="107" t="n">
        <v>211</v>
      </c>
      <c r="B225" s="108" t="s">
        <v>1834</v>
      </c>
      <c r="C225" s="103" t="s">
        <v>714</v>
      </c>
      <c r="D225" s="104" t="s">
        <v>713</v>
      </c>
      <c r="E225" s="104" t="s">
        <v>115</v>
      </c>
      <c r="F225" s="104" t="s">
        <v>715</v>
      </c>
      <c r="G225" s="104" t="s">
        <v>717</v>
      </c>
      <c r="H225" s="104" t="s">
        <v>1835</v>
      </c>
      <c r="I225" s="105" t="n">
        <v>1998</v>
      </c>
      <c r="J225" s="106" t="n">
        <v>506167</v>
      </c>
      <c r="K225" s="106"/>
      <c r="L225" s="106"/>
      <c r="M225" s="106" t="s">
        <v>1569</v>
      </c>
      <c r="N225" s="66" t="s">
        <v>1595</v>
      </c>
    </row>
    <row r="226" customFormat="false" ht="14.25" hidden="false" customHeight="false" outlineLevel="0" collapsed="false">
      <c r="A226" s="107" t="n">
        <v>212</v>
      </c>
      <c r="B226" s="108"/>
      <c r="C226" s="103" t="s">
        <v>719</v>
      </c>
      <c r="D226" s="104" t="s">
        <v>718</v>
      </c>
      <c r="E226" s="104" t="s">
        <v>115</v>
      </c>
      <c r="F226" s="104" t="s">
        <v>720</v>
      </c>
      <c r="G226" s="104" t="s">
        <v>722</v>
      </c>
      <c r="H226" s="104" t="s">
        <v>1836</v>
      </c>
      <c r="I226" s="105" t="n">
        <v>1995</v>
      </c>
      <c r="J226" s="106"/>
      <c r="K226" s="106"/>
      <c r="L226" s="106"/>
      <c r="M226" s="106" t="s">
        <v>1837</v>
      </c>
      <c r="N226" s="66" t="s">
        <v>1601</v>
      </c>
    </row>
    <row r="227" customFormat="false" ht="14.25" hidden="false" customHeight="false" outlineLevel="0" collapsed="false">
      <c r="A227" s="74"/>
      <c r="B227" s="112"/>
      <c r="C227" s="83"/>
      <c r="D227" s="79"/>
      <c r="E227" s="79"/>
      <c r="F227" s="79"/>
      <c r="G227" s="79"/>
      <c r="H227" s="79"/>
      <c r="I227" s="80"/>
      <c r="J227" s="73"/>
      <c r="K227" s="73"/>
      <c r="L227" s="73"/>
      <c r="M227" s="73"/>
      <c r="N227" s="73"/>
    </row>
    <row r="228" customFormat="false" ht="14.25" hidden="false" customHeight="false" outlineLevel="0" collapsed="false">
      <c r="A228" s="60" t="n">
        <v>213</v>
      </c>
      <c r="B228" s="114" t="s">
        <v>1838</v>
      </c>
      <c r="C228" s="62" t="s">
        <v>735</v>
      </c>
      <c r="D228" s="63" t="s">
        <v>734</v>
      </c>
      <c r="E228" s="63" t="s">
        <v>1839</v>
      </c>
      <c r="F228" s="63"/>
      <c r="G228" s="63" t="s">
        <v>736</v>
      </c>
      <c r="H228" s="63" t="s">
        <v>1840</v>
      </c>
      <c r="I228" s="86" t="n">
        <v>1996</v>
      </c>
      <c r="J228" s="65"/>
      <c r="K228" s="65"/>
      <c r="L228" s="65"/>
      <c r="M228" s="65" t="s">
        <v>1684</v>
      </c>
      <c r="N228" s="66" t="s">
        <v>1595</v>
      </c>
    </row>
    <row r="229" customFormat="false" ht="14.25" hidden="false" customHeight="false" outlineLevel="0" collapsed="false">
      <c r="A229" s="60" t="n">
        <v>214</v>
      </c>
      <c r="B229" s="114"/>
      <c r="C229" s="62" t="s">
        <v>724</v>
      </c>
      <c r="D229" s="63" t="s">
        <v>394</v>
      </c>
      <c r="E229" s="63" t="s">
        <v>1839</v>
      </c>
      <c r="F229" s="63" t="s">
        <v>725</v>
      </c>
      <c r="G229" s="63" t="s">
        <v>726</v>
      </c>
      <c r="H229" s="63" t="s">
        <v>1841</v>
      </c>
      <c r="I229" s="86" t="n">
        <v>2006</v>
      </c>
      <c r="J229" s="131"/>
      <c r="K229" s="65"/>
      <c r="L229" s="65"/>
      <c r="M229" s="65" t="s">
        <v>1569</v>
      </c>
      <c r="N229" s="66" t="s">
        <v>1595</v>
      </c>
    </row>
    <row r="230" customFormat="false" ht="14.25" hidden="false" customHeight="false" outlineLevel="0" collapsed="false">
      <c r="A230" s="60" t="n">
        <v>215</v>
      </c>
      <c r="B230" s="114"/>
      <c r="C230" s="62" t="s">
        <v>727</v>
      </c>
      <c r="D230" s="63" t="s">
        <v>425</v>
      </c>
      <c r="E230" s="63" t="s">
        <v>1839</v>
      </c>
      <c r="F230" s="63" t="s">
        <v>728</v>
      </c>
      <c r="G230" s="63" t="s">
        <v>730</v>
      </c>
      <c r="H230" s="63" t="s">
        <v>1842</v>
      </c>
      <c r="I230" s="86" t="n">
        <v>2005</v>
      </c>
      <c r="J230" s="100" t="s">
        <v>1843</v>
      </c>
      <c r="K230" s="100" t="s">
        <v>1843</v>
      </c>
      <c r="L230" s="65" t="s">
        <v>1844</v>
      </c>
      <c r="M230" s="65" t="s">
        <v>1684</v>
      </c>
      <c r="N230" s="66" t="s">
        <v>1595</v>
      </c>
    </row>
    <row r="231" customFormat="false" ht="14.25" hidden="false" customHeight="false" outlineLevel="0" collapsed="false">
      <c r="A231" s="60" t="n">
        <v>216</v>
      </c>
      <c r="B231" s="114"/>
      <c r="C231" s="62" t="s">
        <v>731</v>
      </c>
      <c r="D231" s="63" t="s">
        <v>425</v>
      </c>
      <c r="E231" s="63" t="s">
        <v>1839</v>
      </c>
      <c r="F231" s="63" t="s">
        <v>732</v>
      </c>
      <c r="G231" s="63" t="s">
        <v>733</v>
      </c>
      <c r="H231" s="63" t="s">
        <v>1845</v>
      </c>
      <c r="I231" s="86" t="n">
        <v>2003</v>
      </c>
      <c r="J231" s="132" t="s">
        <v>1846</v>
      </c>
      <c r="K231" s="132" t="s">
        <v>1846</v>
      </c>
      <c r="L231" s="65" t="n">
        <v>832137</v>
      </c>
      <c r="M231" s="65" t="s">
        <v>1684</v>
      </c>
      <c r="N231" s="66" t="s">
        <v>1595</v>
      </c>
    </row>
    <row r="232" customFormat="false" ht="14.25" hidden="false" customHeight="false" outlineLevel="0" collapsed="false">
      <c r="A232" s="60" t="n">
        <v>217</v>
      </c>
      <c r="B232" s="114"/>
      <c r="C232" s="133" t="s">
        <v>750</v>
      </c>
      <c r="D232" s="64" t="s">
        <v>394</v>
      </c>
      <c r="E232" s="64" t="s">
        <v>1847</v>
      </c>
      <c r="F232" s="64" t="s">
        <v>751</v>
      </c>
      <c r="G232" s="64" t="s">
        <v>752</v>
      </c>
      <c r="H232" s="64" t="s">
        <v>1848</v>
      </c>
      <c r="I232" s="134" t="n">
        <v>2010</v>
      </c>
      <c r="J232" s="65"/>
      <c r="K232" s="65"/>
      <c r="L232" s="65"/>
      <c r="M232" s="65" t="s">
        <v>1684</v>
      </c>
      <c r="N232" s="66" t="s">
        <v>1595</v>
      </c>
    </row>
    <row r="233" customFormat="false" ht="14.25" hidden="false" customHeight="false" outlineLevel="0" collapsed="false">
      <c r="A233" s="74"/>
      <c r="B233" s="112"/>
      <c r="C233" s="83"/>
      <c r="D233" s="78"/>
      <c r="E233" s="79"/>
      <c r="F233" s="79"/>
      <c r="G233" s="79"/>
      <c r="H233" s="79"/>
      <c r="I233" s="80"/>
      <c r="J233" s="73"/>
      <c r="K233" s="73"/>
      <c r="L233" s="73"/>
      <c r="M233" s="73"/>
      <c r="N233" s="73"/>
    </row>
    <row r="234" customFormat="false" ht="14.25" hidden="false" customHeight="false" outlineLevel="0" collapsed="false">
      <c r="A234" s="107" t="n">
        <v>218</v>
      </c>
      <c r="B234" s="135" t="s">
        <v>1849</v>
      </c>
      <c r="C234" s="103" t="s">
        <v>769</v>
      </c>
      <c r="D234" s="136" t="s">
        <v>753</v>
      </c>
      <c r="E234" s="136" t="s">
        <v>1850</v>
      </c>
      <c r="F234" s="136" t="s">
        <v>770</v>
      </c>
      <c r="G234" s="136" t="s">
        <v>771</v>
      </c>
      <c r="H234" s="136" t="s">
        <v>1851</v>
      </c>
      <c r="I234" s="137" t="n">
        <v>2008</v>
      </c>
      <c r="J234" s="106" t="s">
        <v>1852</v>
      </c>
      <c r="K234" s="106" t="n">
        <v>10707</v>
      </c>
      <c r="L234" s="106" t="n">
        <v>15126</v>
      </c>
      <c r="M234" s="106" t="s">
        <v>1569</v>
      </c>
      <c r="N234" s="66" t="s">
        <v>1853</v>
      </c>
    </row>
    <row r="235" customFormat="false" ht="14.25" hidden="false" customHeight="false" outlineLevel="0" collapsed="false">
      <c r="A235" s="107" t="n">
        <v>219</v>
      </c>
      <c r="B235" s="135"/>
      <c r="C235" s="103" t="s">
        <v>766</v>
      </c>
      <c r="D235" s="136" t="s">
        <v>606</v>
      </c>
      <c r="E235" s="136" t="s">
        <v>1850</v>
      </c>
      <c r="F235" s="136" t="s">
        <v>767</v>
      </c>
      <c r="G235" s="136" t="s">
        <v>768</v>
      </c>
      <c r="H235" s="136" t="s">
        <v>1854</v>
      </c>
      <c r="I235" s="137" t="n">
        <v>2019</v>
      </c>
      <c r="J235" s="106" t="s">
        <v>767</v>
      </c>
      <c r="K235" s="106"/>
      <c r="L235" s="106" t="s">
        <v>1855</v>
      </c>
      <c r="M235" s="106" t="s">
        <v>1569</v>
      </c>
      <c r="N235" s="66" t="s">
        <v>1856</v>
      </c>
    </row>
    <row r="236" customFormat="false" ht="14.25" hidden="false" customHeight="false" outlineLevel="0" collapsed="false">
      <c r="A236" s="74"/>
      <c r="B236" s="112"/>
      <c r="C236" s="83"/>
      <c r="D236" s="79"/>
      <c r="E236" s="79"/>
      <c r="F236" s="79"/>
      <c r="G236" s="79"/>
      <c r="H236" s="79"/>
      <c r="I236" s="80"/>
      <c r="J236" s="73"/>
      <c r="K236" s="73"/>
      <c r="L236" s="73"/>
      <c r="M236" s="73"/>
      <c r="N236" s="73"/>
    </row>
    <row r="237" customFormat="false" ht="14.25" hidden="false" customHeight="false" outlineLevel="0" collapsed="false">
      <c r="A237" s="60" t="n">
        <v>220</v>
      </c>
      <c r="B237" s="118" t="s">
        <v>1857</v>
      </c>
      <c r="C237" s="62" t="s">
        <v>817</v>
      </c>
      <c r="D237" s="63" t="s">
        <v>773</v>
      </c>
      <c r="E237" s="63" t="s">
        <v>1858</v>
      </c>
      <c r="F237" s="63" t="s">
        <v>775</v>
      </c>
      <c r="G237" s="63" t="s">
        <v>818</v>
      </c>
      <c r="H237" s="63" t="s">
        <v>1859</v>
      </c>
      <c r="I237" s="86" t="n">
        <v>2005</v>
      </c>
      <c r="J237" s="65"/>
      <c r="K237" s="65"/>
      <c r="L237" s="65"/>
      <c r="M237" s="65" t="s">
        <v>1569</v>
      </c>
      <c r="N237" s="66" t="s">
        <v>1860</v>
      </c>
    </row>
    <row r="238" customFormat="false" ht="14.25" hidden="false" customHeight="false" outlineLevel="0" collapsed="false">
      <c r="A238" s="60" t="n">
        <v>221</v>
      </c>
      <c r="B238" s="118"/>
      <c r="C238" s="62" t="s">
        <v>835</v>
      </c>
      <c r="D238" s="63" t="s">
        <v>831</v>
      </c>
      <c r="E238" s="63" t="s">
        <v>1858</v>
      </c>
      <c r="F238" s="63" t="s">
        <v>826</v>
      </c>
      <c r="G238" s="63" t="s">
        <v>836</v>
      </c>
      <c r="H238" s="63" t="s">
        <v>1861</v>
      </c>
      <c r="I238" s="86"/>
      <c r="J238" s="65"/>
      <c r="K238" s="65"/>
      <c r="L238" s="65"/>
      <c r="M238" s="65" t="s">
        <v>1569</v>
      </c>
      <c r="N238" s="66" t="s">
        <v>1862</v>
      </c>
    </row>
    <row r="239" customFormat="false" ht="14.25" hidden="false" customHeight="false" outlineLevel="0" collapsed="false">
      <c r="A239" s="60" t="n">
        <v>222</v>
      </c>
      <c r="B239" s="118"/>
      <c r="C239" s="133" t="s">
        <v>828</v>
      </c>
      <c r="D239" s="64" t="s">
        <v>425</v>
      </c>
      <c r="E239" s="64" t="s">
        <v>1858</v>
      </c>
      <c r="F239" s="64" t="s">
        <v>826</v>
      </c>
      <c r="G239" s="64" t="s">
        <v>830</v>
      </c>
      <c r="H239" s="64" t="s">
        <v>1863</v>
      </c>
      <c r="I239" s="134" t="n">
        <v>1997</v>
      </c>
      <c r="J239" s="65"/>
      <c r="K239" s="65" t="s">
        <v>1864</v>
      </c>
      <c r="L239" s="65"/>
      <c r="M239" s="65" t="s">
        <v>1569</v>
      </c>
      <c r="N239" s="66" t="s">
        <v>1865</v>
      </c>
    </row>
    <row r="240" customFormat="false" ht="14.25" hidden="false" customHeight="false" outlineLevel="0" collapsed="false">
      <c r="A240" s="60" t="n">
        <v>223</v>
      </c>
      <c r="B240" s="118"/>
      <c r="C240" s="133" t="s">
        <v>832</v>
      </c>
      <c r="D240" s="64" t="s">
        <v>831</v>
      </c>
      <c r="E240" s="64" t="s">
        <v>1858</v>
      </c>
      <c r="F240" s="64" t="s">
        <v>826</v>
      </c>
      <c r="G240" s="64" t="s">
        <v>834</v>
      </c>
      <c r="H240" s="64" t="s">
        <v>1863</v>
      </c>
      <c r="I240" s="134" t="n">
        <v>1985</v>
      </c>
      <c r="J240" s="65"/>
      <c r="K240" s="65"/>
      <c r="L240" s="65"/>
      <c r="M240" s="65" t="s">
        <v>1569</v>
      </c>
      <c r="N240" s="66" t="s">
        <v>1866</v>
      </c>
    </row>
    <row r="241" customFormat="false" ht="14.25" hidden="false" customHeight="false" outlineLevel="0" collapsed="false">
      <c r="A241" s="60" t="n">
        <v>224</v>
      </c>
      <c r="B241" s="118"/>
      <c r="C241" s="133" t="s">
        <v>823</v>
      </c>
      <c r="D241" s="64" t="s">
        <v>420</v>
      </c>
      <c r="E241" s="64" t="s">
        <v>1858</v>
      </c>
      <c r="F241" s="64" t="s">
        <v>804</v>
      </c>
      <c r="G241" s="64" t="s">
        <v>824</v>
      </c>
      <c r="H241" s="64" t="s">
        <v>1867</v>
      </c>
      <c r="I241" s="134" t="n">
        <v>2003</v>
      </c>
      <c r="J241" s="65"/>
      <c r="K241" s="65" t="s">
        <v>1868</v>
      </c>
      <c r="L241" s="65" t="s">
        <v>1869</v>
      </c>
      <c r="M241" s="65" t="s">
        <v>1569</v>
      </c>
      <c r="N241" s="66" t="s">
        <v>1870</v>
      </c>
    </row>
    <row r="242" customFormat="false" ht="14.25" hidden="false" customHeight="false" outlineLevel="0" collapsed="false">
      <c r="A242" s="60" t="n">
        <v>225</v>
      </c>
      <c r="B242" s="118"/>
      <c r="C242" s="133" t="s">
        <v>825</v>
      </c>
      <c r="D242" s="64" t="s">
        <v>420</v>
      </c>
      <c r="E242" s="64" t="s">
        <v>1858</v>
      </c>
      <c r="F242" s="64" t="s">
        <v>826</v>
      </c>
      <c r="G242" s="64" t="s">
        <v>827</v>
      </c>
      <c r="H242" s="64" t="s">
        <v>1861</v>
      </c>
      <c r="I242" s="134" t="n">
        <v>1999</v>
      </c>
      <c r="J242" s="65"/>
      <c r="K242" s="65"/>
      <c r="L242" s="65"/>
      <c r="M242" s="65" t="s">
        <v>1569</v>
      </c>
      <c r="N242" s="66" t="s">
        <v>1618</v>
      </c>
    </row>
    <row r="243" customFormat="false" ht="14.25" hidden="false" customHeight="false" outlineLevel="0" collapsed="false">
      <c r="A243" s="60" t="n">
        <v>226</v>
      </c>
      <c r="B243" s="118"/>
      <c r="C243" s="133" t="s">
        <v>801</v>
      </c>
      <c r="D243" s="64" t="s">
        <v>792</v>
      </c>
      <c r="E243" s="64" t="s">
        <v>1858</v>
      </c>
      <c r="F243" s="64" t="s">
        <v>797</v>
      </c>
      <c r="G243" s="64" t="s">
        <v>802</v>
      </c>
      <c r="H243" s="64" t="s">
        <v>1871</v>
      </c>
      <c r="I243" s="134" t="n">
        <v>2011</v>
      </c>
      <c r="J243" s="65"/>
      <c r="K243" s="65"/>
      <c r="L243" s="65"/>
      <c r="M243" s="65" t="s">
        <v>1569</v>
      </c>
      <c r="N243" s="66" t="s">
        <v>1601</v>
      </c>
    </row>
    <row r="244" customFormat="false" ht="14.25" hidden="false" customHeight="false" outlineLevel="0" collapsed="false">
      <c r="A244" s="60" t="n">
        <v>227</v>
      </c>
      <c r="B244" s="118"/>
      <c r="C244" s="133" t="s">
        <v>803</v>
      </c>
      <c r="D244" s="64" t="s">
        <v>420</v>
      </c>
      <c r="E244" s="64" t="s">
        <v>1858</v>
      </c>
      <c r="F244" s="64" t="s">
        <v>804</v>
      </c>
      <c r="G244" s="64" t="s">
        <v>805</v>
      </c>
      <c r="H244" s="64" t="s">
        <v>1867</v>
      </c>
      <c r="I244" s="134" t="n">
        <v>2008</v>
      </c>
      <c r="J244" s="65"/>
      <c r="K244" s="65"/>
      <c r="L244" s="65"/>
      <c r="M244" s="65" t="s">
        <v>1569</v>
      </c>
      <c r="N244" s="73"/>
    </row>
    <row r="245" customFormat="false" ht="14.25" hidden="false" customHeight="false" outlineLevel="0" collapsed="false">
      <c r="A245" s="60" t="n">
        <v>228</v>
      </c>
      <c r="B245" s="118"/>
      <c r="C245" s="133" t="s">
        <v>820</v>
      </c>
      <c r="D245" s="64" t="s">
        <v>819</v>
      </c>
      <c r="E245" s="64" t="s">
        <v>1858</v>
      </c>
      <c r="F245" s="64" t="s">
        <v>821</v>
      </c>
      <c r="G245" s="64" t="s">
        <v>822</v>
      </c>
      <c r="H245" s="64" t="s">
        <v>1872</v>
      </c>
      <c r="I245" s="134" t="n">
        <v>2005</v>
      </c>
      <c r="J245" s="65"/>
      <c r="K245" s="65"/>
      <c r="L245" s="65"/>
      <c r="M245" s="65" t="s">
        <v>1569</v>
      </c>
      <c r="N245" s="73"/>
    </row>
    <row r="246" customFormat="false" ht="14.25" hidden="false" customHeight="false" outlineLevel="0" collapsed="false">
      <c r="A246" s="60" t="n">
        <v>229</v>
      </c>
      <c r="B246" s="118"/>
      <c r="C246" s="133" t="s">
        <v>806</v>
      </c>
      <c r="D246" s="64" t="s">
        <v>773</v>
      </c>
      <c r="E246" s="64" t="s">
        <v>1858</v>
      </c>
      <c r="F246" s="64" t="s">
        <v>807</v>
      </c>
      <c r="G246" s="64" t="s">
        <v>808</v>
      </c>
      <c r="H246" s="64" t="s">
        <v>1873</v>
      </c>
      <c r="I246" s="134" t="n">
        <v>2008</v>
      </c>
      <c r="J246" s="65"/>
      <c r="K246" s="65"/>
      <c r="L246" s="65"/>
      <c r="M246" s="65" t="s">
        <v>1569</v>
      </c>
      <c r="N246" s="73"/>
    </row>
    <row r="247" customFormat="false" ht="14.25" hidden="false" customHeight="false" outlineLevel="0" collapsed="false">
      <c r="A247" s="60" t="n">
        <v>230</v>
      </c>
      <c r="B247" s="118"/>
      <c r="C247" s="133" t="s">
        <v>809</v>
      </c>
      <c r="D247" s="64" t="s">
        <v>773</v>
      </c>
      <c r="E247" s="64" t="s">
        <v>1858</v>
      </c>
      <c r="F247" s="64" t="s">
        <v>807</v>
      </c>
      <c r="G247" s="64" t="s">
        <v>811</v>
      </c>
      <c r="H247" s="64" t="s">
        <v>1874</v>
      </c>
      <c r="I247" s="134" t="n">
        <v>2007</v>
      </c>
      <c r="J247" s="65"/>
      <c r="K247" s="65"/>
      <c r="L247" s="65"/>
      <c r="M247" s="65" t="s">
        <v>1569</v>
      </c>
      <c r="N247" s="73"/>
    </row>
    <row r="248" customFormat="false" ht="14.25" hidden="false" customHeight="false" outlineLevel="0" collapsed="false">
      <c r="A248" s="60" t="n">
        <v>231</v>
      </c>
      <c r="B248" s="118"/>
      <c r="C248" s="133" t="s">
        <v>796</v>
      </c>
      <c r="D248" s="64" t="s">
        <v>792</v>
      </c>
      <c r="E248" s="64" t="s">
        <v>1858</v>
      </c>
      <c r="F248" s="64" t="s">
        <v>797</v>
      </c>
      <c r="G248" s="64" t="s">
        <v>798</v>
      </c>
      <c r="H248" s="64" t="s">
        <v>1871</v>
      </c>
      <c r="I248" s="134" t="n">
        <v>2015</v>
      </c>
      <c r="J248" s="65"/>
      <c r="K248" s="65"/>
      <c r="L248" s="65"/>
      <c r="M248" s="65" t="s">
        <v>1569</v>
      </c>
      <c r="N248" s="66" t="s">
        <v>1588</v>
      </c>
    </row>
    <row r="249" customFormat="false" ht="14.25" hidden="false" customHeight="false" outlineLevel="0" collapsed="false">
      <c r="A249" s="60" t="n">
        <v>232</v>
      </c>
      <c r="B249" s="118"/>
      <c r="C249" s="133" t="s">
        <v>793</v>
      </c>
      <c r="D249" s="64" t="s">
        <v>792</v>
      </c>
      <c r="E249" s="64" t="s">
        <v>1858</v>
      </c>
      <c r="F249" s="64" t="s">
        <v>794</v>
      </c>
      <c r="G249" s="64" t="s">
        <v>795</v>
      </c>
      <c r="H249" s="64" t="s">
        <v>1875</v>
      </c>
      <c r="I249" s="134" t="n">
        <v>2016</v>
      </c>
      <c r="J249" s="65"/>
      <c r="K249" s="65"/>
      <c r="L249" s="65"/>
      <c r="M249" s="65" t="s">
        <v>1569</v>
      </c>
      <c r="N249" s="66" t="s">
        <v>1876</v>
      </c>
    </row>
    <row r="250" customFormat="false" ht="14.25" hidden="false" customHeight="false" outlineLevel="0" collapsed="false">
      <c r="A250" s="60" t="n">
        <v>233</v>
      </c>
      <c r="B250" s="118"/>
      <c r="C250" s="133" t="s">
        <v>799</v>
      </c>
      <c r="D250" s="64" t="s">
        <v>773</v>
      </c>
      <c r="E250" s="64" t="s">
        <v>1858</v>
      </c>
      <c r="F250" s="64" t="s">
        <v>775</v>
      </c>
      <c r="G250" s="64" t="s">
        <v>800</v>
      </c>
      <c r="H250" s="64" t="s">
        <v>1877</v>
      </c>
      <c r="I250" s="134" t="n">
        <v>2012</v>
      </c>
      <c r="J250" s="65"/>
      <c r="K250" s="65"/>
      <c r="L250" s="65"/>
      <c r="M250" s="65" t="s">
        <v>1569</v>
      </c>
      <c r="N250" s="66" t="s">
        <v>1860</v>
      </c>
    </row>
    <row r="251" customFormat="false" ht="14.25" hidden="false" customHeight="false" outlineLevel="0" collapsed="false">
      <c r="A251" s="60" t="n">
        <v>234</v>
      </c>
      <c r="B251" s="118"/>
      <c r="C251" s="133" t="s">
        <v>812</v>
      </c>
      <c r="D251" s="64" t="s">
        <v>773</v>
      </c>
      <c r="E251" s="64" t="s">
        <v>1858</v>
      </c>
      <c r="F251" s="64" t="s">
        <v>775</v>
      </c>
      <c r="G251" s="64" t="s">
        <v>813</v>
      </c>
      <c r="H251" s="64" t="s">
        <v>1877</v>
      </c>
      <c r="I251" s="134" t="n">
        <v>2007</v>
      </c>
      <c r="J251" s="65"/>
      <c r="K251" s="65"/>
      <c r="L251" s="65"/>
      <c r="M251" s="65" t="s">
        <v>1569</v>
      </c>
      <c r="N251" s="66" t="s">
        <v>1878</v>
      </c>
    </row>
    <row r="252" customFormat="false" ht="14.25" hidden="false" customHeight="false" outlineLevel="0" collapsed="false">
      <c r="A252" s="60" t="n">
        <v>235</v>
      </c>
      <c r="B252" s="118"/>
      <c r="C252" s="133" t="s">
        <v>814</v>
      </c>
      <c r="D252" s="64" t="s">
        <v>773</v>
      </c>
      <c r="E252" s="64" t="s">
        <v>1858</v>
      </c>
      <c r="F252" s="64" t="s">
        <v>815</v>
      </c>
      <c r="G252" s="64" t="s">
        <v>816</v>
      </c>
      <c r="H252" s="64" t="s">
        <v>1877</v>
      </c>
      <c r="I252" s="134" t="n">
        <v>2007</v>
      </c>
      <c r="J252" s="65"/>
      <c r="K252" s="65"/>
      <c r="L252" s="65"/>
      <c r="M252" s="65" t="s">
        <v>1569</v>
      </c>
      <c r="N252" s="66" t="s">
        <v>1879</v>
      </c>
    </row>
    <row r="253" customFormat="false" ht="14.25" hidden="false" customHeight="false" outlineLevel="0" collapsed="false">
      <c r="A253" s="60" t="n">
        <v>236</v>
      </c>
      <c r="B253" s="118"/>
      <c r="C253" s="133" t="s">
        <v>774</v>
      </c>
      <c r="D253" s="64" t="s">
        <v>773</v>
      </c>
      <c r="E253" s="64" t="s">
        <v>1858</v>
      </c>
      <c r="F253" s="64" t="s">
        <v>775</v>
      </c>
      <c r="G253" s="64" t="s">
        <v>776</v>
      </c>
      <c r="H253" s="64" t="s">
        <v>1880</v>
      </c>
      <c r="I253" s="134" t="n">
        <v>2019</v>
      </c>
      <c r="J253" s="65"/>
      <c r="K253" s="65"/>
      <c r="L253" s="65"/>
      <c r="M253" s="65" t="s">
        <v>1569</v>
      </c>
      <c r="N253" s="73" t="s">
        <v>1881</v>
      </c>
    </row>
    <row r="254" customFormat="false" ht="14.25" hidden="false" customHeight="false" outlineLevel="0" collapsed="false">
      <c r="A254" s="60" t="n">
        <v>237</v>
      </c>
      <c r="B254" s="118"/>
      <c r="C254" s="133" t="s">
        <v>785</v>
      </c>
      <c r="D254" s="64" t="s">
        <v>773</v>
      </c>
      <c r="E254" s="64" t="s">
        <v>1858</v>
      </c>
      <c r="F254" s="64" t="s">
        <v>775</v>
      </c>
      <c r="G254" s="64" t="s">
        <v>786</v>
      </c>
      <c r="H254" s="64" t="s">
        <v>1882</v>
      </c>
      <c r="I254" s="134" t="n">
        <v>2019</v>
      </c>
      <c r="J254" s="65"/>
      <c r="K254" s="65"/>
      <c r="L254" s="65"/>
      <c r="M254" s="65" t="s">
        <v>1569</v>
      </c>
      <c r="N254" s="73" t="s">
        <v>1881</v>
      </c>
    </row>
    <row r="255" customFormat="false" ht="14.25" hidden="false" customHeight="false" outlineLevel="0" collapsed="false">
      <c r="A255" s="60" t="n">
        <v>238</v>
      </c>
      <c r="B255" s="118"/>
      <c r="C255" s="133" t="s">
        <v>777</v>
      </c>
      <c r="D255" s="64" t="s">
        <v>773</v>
      </c>
      <c r="E255" s="64" t="s">
        <v>1858</v>
      </c>
      <c r="F255" s="64" t="s">
        <v>775</v>
      </c>
      <c r="G255" s="64" t="s">
        <v>778</v>
      </c>
      <c r="H255" s="64" t="s">
        <v>1882</v>
      </c>
      <c r="I255" s="134" t="n">
        <v>2019</v>
      </c>
      <c r="J255" s="65"/>
      <c r="K255" s="65"/>
      <c r="L255" s="65"/>
      <c r="M255" s="65" t="s">
        <v>1569</v>
      </c>
      <c r="N255" s="73" t="s">
        <v>1881</v>
      </c>
    </row>
    <row r="256" customFormat="false" ht="14.25" hidden="false" customHeight="false" outlineLevel="0" collapsed="false">
      <c r="A256" s="60" t="n">
        <v>239</v>
      </c>
      <c r="B256" s="118"/>
      <c r="C256" s="133" t="s">
        <v>779</v>
      </c>
      <c r="D256" s="64" t="s">
        <v>773</v>
      </c>
      <c r="E256" s="64" t="s">
        <v>1858</v>
      </c>
      <c r="F256" s="64" t="s">
        <v>775</v>
      </c>
      <c r="G256" s="64" t="s">
        <v>780</v>
      </c>
      <c r="H256" s="64" t="s">
        <v>1882</v>
      </c>
      <c r="I256" s="134" t="n">
        <v>2019</v>
      </c>
      <c r="J256" s="65"/>
      <c r="K256" s="65"/>
      <c r="L256" s="65"/>
      <c r="M256" s="65" t="s">
        <v>1569</v>
      </c>
      <c r="N256" s="73" t="s">
        <v>1881</v>
      </c>
    </row>
    <row r="257" customFormat="false" ht="14.25" hidden="false" customHeight="false" outlineLevel="0" collapsed="false">
      <c r="A257" s="60" t="n">
        <v>240</v>
      </c>
      <c r="B257" s="118"/>
      <c r="C257" s="133" t="s">
        <v>781</v>
      </c>
      <c r="D257" s="64" t="s">
        <v>773</v>
      </c>
      <c r="E257" s="64" t="s">
        <v>1858</v>
      </c>
      <c r="F257" s="64" t="s">
        <v>775</v>
      </c>
      <c r="G257" s="64" t="s">
        <v>782</v>
      </c>
      <c r="H257" s="64" t="s">
        <v>1882</v>
      </c>
      <c r="I257" s="134" t="n">
        <v>2019</v>
      </c>
      <c r="J257" s="65"/>
      <c r="K257" s="65"/>
      <c r="L257" s="65"/>
      <c r="M257" s="65" t="s">
        <v>1569</v>
      </c>
      <c r="N257" s="73" t="s">
        <v>1881</v>
      </c>
    </row>
    <row r="258" customFormat="false" ht="14.25" hidden="false" customHeight="false" outlineLevel="0" collapsed="false">
      <c r="A258" s="60" t="n">
        <v>241</v>
      </c>
      <c r="B258" s="118"/>
      <c r="C258" s="133" t="s">
        <v>783</v>
      </c>
      <c r="D258" s="64" t="s">
        <v>773</v>
      </c>
      <c r="E258" s="64" t="s">
        <v>1858</v>
      </c>
      <c r="F258" s="64" t="s">
        <v>775</v>
      </c>
      <c r="G258" s="64" t="s">
        <v>784</v>
      </c>
      <c r="H258" s="64" t="s">
        <v>1882</v>
      </c>
      <c r="I258" s="134" t="n">
        <v>2019</v>
      </c>
      <c r="J258" s="65"/>
      <c r="K258" s="65"/>
      <c r="L258" s="65"/>
      <c r="M258" s="65" t="s">
        <v>1569</v>
      </c>
      <c r="N258" s="73" t="s">
        <v>1881</v>
      </c>
    </row>
    <row r="259" customFormat="false" ht="14.25" hidden="false" customHeight="false" outlineLevel="0" collapsed="false">
      <c r="A259" s="60" t="n">
        <v>242</v>
      </c>
      <c r="B259" s="118"/>
      <c r="C259" s="133" t="s">
        <v>787</v>
      </c>
      <c r="D259" s="64" t="s">
        <v>773</v>
      </c>
      <c r="E259" s="64" t="s">
        <v>1858</v>
      </c>
      <c r="F259" s="64" t="s">
        <v>788</v>
      </c>
      <c r="G259" s="64" t="s">
        <v>789</v>
      </c>
      <c r="H259" s="64" t="s">
        <v>1882</v>
      </c>
      <c r="I259" s="134" t="n">
        <v>2017</v>
      </c>
      <c r="J259" s="65"/>
      <c r="K259" s="65"/>
      <c r="L259" s="65"/>
      <c r="M259" s="65" t="s">
        <v>1569</v>
      </c>
      <c r="N259" s="73" t="s">
        <v>1881</v>
      </c>
    </row>
    <row r="260" customFormat="false" ht="14.25" hidden="false" customHeight="false" outlineLevel="0" collapsed="false">
      <c r="A260" s="60" t="n">
        <v>243</v>
      </c>
      <c r="B260" s="118"/>
      <c r="C260" s="133" t="s">
        <v>790</v>
      </c>
      <c r="D260" s="64" t="s">
        <v>773</v>
      </c>
      <c r="E260" s="64" t="s">
        <v>1858</v>
      </c>
      <c r="F260" s="64" t="s">
        <v>775</v>
      </c>
      <c r="G260" s="64" t="s">
        <v>791</v>
      </c>
      <c r="H260" s="64" t="s">
        <v>1883</v>
      </c>
      <c r="I260" s="134" t="n">
        <v>2017</v>
      </c>
      <c r="J260" s="65"/>
      <c r="K260" s="65"/>
      <c r="L260" s="65"/>
      <c r="M260" s="65" t="s">
        <v>1569</v>
      </c>
      <c r="N260" s="73" t="s">
        <v>1881</v>
      </c>
    </row>
    <row r="261" customFormat="false" ht="14.25" hidden="false" customHeight="false" outlineLevel="0" collapsed="false">
      <c r="A261" s="138" t="n">
        <v>244</v>
      </c>
      <c r="B261" s="118"/>
      <c r="C261" s="133"/>
      <c r="D261" s="64" t="s">
        <v>773</v>
      </c>
      <c r="E261" s="64" t="s">
        <v>1858</v>
      </c>
      <c r="F261" s="64"/>
      <c r="G261" s="64" t="s">
        <v>1884</v>
      </c>
      <c r="H261" s="64"/>
      <c r="I261" s="134"/>
      <c r="J261" s="65"/>
      <c r="K261" s="65"/>
      <c r="L261" s="65"/>
      <c r="M261" s="65" t="s">
        <v>1569</v>
      </c>
      <c r="N261" s="66" t="s">
        <v>1595</v>
      </c>
    </row>
    <row r="262" customFormat="false" ht="14.25" hidden="false" customHeight="false" outlineLevel="0" collapsed="false">
      <c r="A262" s="74"/>
      <c r="B262" s="112"/>
      <c r="C262" s="139"/>
      <c r="D262" s="140"/>
      <c r="E262" s="141"/>
      <c r="F262" s="141"/>
      <c r="G262" s="141"/>
      <c r="H262" s="141"/>
      <c r="I262" s="142"/>
      <c r="J262" s="73"/>
      <c r="K262" s="73"/>
      <c r="L262" s="73"/>
      <c r="M262" s="73"/>
      <c r="N262" s="73"/>
    </row>
    <row r="263" customFormat="false" ht="14.25" hidden="false" customHeight="false" outlineLevel="0" collapsed="false">
      <c r="A263" s="143" t="n">
        <v>245</v>
      </c>
      <c r="B263" s="108" t="s">
        <v>837</v>
      </c>
      <c r="C263" s="144" t="s">
        <v>843</v>
      </c>
      <c r="D263" s="115" t="s">
        <v>773</v>
      </c>
      <c r="E263" s="115" t="s">
        <v>125</v>
      </c>
      <c r="F263" s="115" t="s">
        <v>844</v>
      </c>
      <c r="G263" s="115" t="s">
        <v>846</v>
      </c>
      <c r="H263" s="115" t="s">
        <v>1885</v>
      </c>
      <c r="I263" s="116" t="n">
        <v>1987</v>
      </c>
      <c r="J263" s="106"/>
      <c r="K263" s="106"/>
      <c r="L263" s="106"/>
      <c r="M263" s="106" t="s">
        <v>1569</v>
      </c>
      <c r="N263" s="66" t="s">
        <v>1886</v>
      </c>
      <c r="O263" s="125" t="s">
        <v>1887</v>
      </c>
    </row>
    <row r="264" s="53" customFormat="true" ht="14.25" hidden="false" customHeight="false" outlineLevel="0" collapsed="false">
      <c r="A264" s="145" t="n">
        <v>246</v>
      </c>
      <c r="B264" s="108"/>
      <c r="C264" s="146"/>
      <c r="D264" s="117" t="s">
        <v>773</v>
      </c>
      <c r="E264" s="117" t="s">
        <v>125</v>
      </c>
      <c r="F264" s="117" t="s">
        <v>840</v>
      </c>
      <c r="G264" s="117" t="s">
        <v>842</v>
      </c>
      <c r="H264" s="117" t="s">
        <v>1888</v>
      </c>
      <c r="I264" s="147" t="n">
        <v>1989</v>
      </c>
      <c r="J264" s="96"/>
      <c r="K264" s="96"/>
      <c r="L264" s="96"/>
      <c r="M264" s="96" t="s">
        <v>1569</v>
      </c>
      <c r="N264" s="96" t="s">
        <v>1701</v>
      </c>
    </row>
    <row r="265" s="53" customFormat="true" ht="14.25" hidden="false" customHeight="false" outlineLevel="0" collapsed="false">
      <c r="A265" s="145" t="n">
        <v>247</v>
      </c>
      <c r="B265" s="108"/>
      <c r="C265" s="146"/>
      <c r="D265" s="117" t="s">
        <v>773</v>
      </c>
      <c r="E265" s="117" t="s">
        <v>125</v>
      </c>
      <c r="F265" s="117" t="s">
        <v>838</v>
      </c>
      <c r="G265" s="117" t="s">
        <v>839</v>
      </c>
      <c r="H265" s="117" t="s">
        <v>1889</v>
      </c>
      <c r="I265" s="147" t="n">
        <v>2006</v>
      </c>
      <c r="J265" s="96"/>
      <c r="K265" s="96"/>
      <c r="L265" s="96"/>
      <c r="M265" s="96" t="s">
        <v>1569</v>
      </c>
      <c r="N265" s="96" t="s">
        <v>1701</v>
      </c>
    </row>
    <row r="266" customFormat="false" ht="14.25" hidden="false" customHeight="false" outlineLevel="0" collapsed="false">
      <c r="A266" s="74"/>
      <c r="B266" s="112"/>
      <c r="C266" s="139"/>
      <c r="D266" s="141"/>
      <c r="E266" s="141"/>
      <c r="F266" s="141"/>
      <c r="G266" s="141"/>
      <c r="H266" s="141"/>
      <c r="I266" s="142"/>
      <c r="J266" s="73"/>
      <c r="K266" s="73"/>
      <c r="L266" s="73"/>
      <c r="M266" s="73"/>
      <c r="N266" s="73"/>
    </row>
    <row r="267" customFormat="false" ht="14.25" hidden="false" customHeight="false" outlineLevel="0" collapsed="false">
      <c r="A267" s="60" t="n">
        <v>248</v>
      </c>
      <c r="B267" s="114" t="s">
        <v>847</v>
      </c>
      <c r="C267" s="133" t="s">
        <v>864</v>
      </c>
      <c r="D267" s="64" t="s">
        <v>773</v>
      </c>
      <c r="E267" s="64" t="s">
        <v>1890</v>
      </c>
      <c r="F267" s="64" t="s">
        <v>865</v>
      </c>
      <c r="G267" s="64" t="s">
        <v>866</v>
      </c>
      <c r="H267" s="64" t="s">
        <v>1891</v>
      </c>
      <c r="I267" s="134" t="n">
        <v>2000</v>
      </c>
      <c r="J267" s="65"/>
      <c r="K267" s="65"/>
      <c r="L267" s="65"/>
      <c r="M267" s="65" t="s">
        <v>1569</v>
      </c>
      <c r="N267" s="66" t="s">
        <v>1892</v>
      </c>
    </row>
    <row r="268" customFormat="false" ht="14.25" hidden="false" customHeight="false" outlineLevel="0" collapsed="false">
      <c r="A268" s="60" t="n">
        <v>249</v>
      </c>
      <c r="B268" s="114"/>
      <c r="C268" s="133" t="s">
        <v>867</v>
      </c>
      <c r="D268" s="64" t="s">
        <v>773</v>
      </c>
      <c r="E268" s="64" t="s">
        <v>1890</v>
      </c>
      <c r="F268" s="64" t="s">
        <v>868</v>
      </c>
      <c r="G268" s="64" t="s">
        <v>869</v>
      </c>
      <c r="H268" s="64" t="s">
        <v>1893</v>
      </c>
      <c r="I268" s="134" t="n">
        <v>1997</v>
      </c>
      <c r="J268" s="65"/>
      <c r="K268" s="65"/>
      <c r="L268" s="65"/>
      <c r="M268" s="65" t="s">
        <v>1569</v>
      </c>
      <c r="N268" s="66" t="s">
        <v>1622</v>
      </c>
    </row>
    <row r="269" customFormat="false" ht="14.25" hidden="false" customHeight="false" outlineLevel="0" collapsed="false">
      <c r="A269" s="60" t="n">
        <v>250</v>
      </c>
      <c r="B269" s="114"/>
      <c r="C269" s="133" t="s">
        <v>870</v>
      </c>
      <c r="D269" s="64" t="s">
        <v>773</v>
      </c>
      <c r="E269" s="64" t="s">
        <v>1890</v>
      </c>
      <c r="F269" s="64" t="s">
        <v>871</v>
      </c>
      <c r="G269" s="64" t="s">
        <v>872</v>
      </c>
      <c r="H269" s="64" t="s">
        <v>1893</v>
      </c>
      <c r="I269" s="134" t="n">
        <v>1997</v>
      </c>
      <c r="J269" s="65"/>
      <c r="K269" s="65"/>
      <c r="L269" s="65"/>
      <c r="M269" s="65" t="s">
        <v>1569</v>
      </c>
      <c r="N269" s="66" t="s">
        <v>1894</v>
      </c>
    </row>
    <row r="270" customFormat="false" ht="14.25" hidden="false" customHeight="false" outlineLevel="0" collapsed="false">
      <c r="A270" s="60" t="n">
        <v>251</v>
      </c>
      <c r="B270" s="114"/>
      <c r="C270" s="133" t="s">
        <v>878</v>
      </c>
      <c r="D270" s="64" t="s">
        <v>773</v>
      </c>
      <c r="E270" s="64" t="s">
        <v>1890</v>
      </c>
      <c r="F270" s="64" t="s">
        <v>879</v>
      </c>
      <c r="G270" s="64" t="s">
        <v>881</v>
      </c>
      <c r="H270" s="64" t="s">
        <v>1895</v>
      </c>
      <c r="I270" s="134" t="n">
        <v>1973</v>
      </c>
      <c r="J270" s="65"/>
      <c r="K270" s="65"/>
      <c r="L270" s="65"/>
      <c r="M270" s="65" t="s">
        <v>1569</v>
      </c>
      <c r="N270" s="66" t="s">
        <v>1783</v>
      </c>
    </row>
    <row r="271" customFormat="false" ht="14.25" hidden="false" customHeight="false" outlineLevel="0" collapsed="false">
      <c r="A271" s="60" t="n">
        <v>252</v>
      </c>
      <c r="B271" s="114"/>
      <c r="C271" s="133" t="s">
        <v>858</v>
      </c>
      <c r="D271" s="64" t="s">
        <v>848</v>
      </c>
      <c r="E271" s="64" t="s">
        <v>1890</v>
      </c>
      <c r="F271" s="64" t="s">
        <v>850</v>
      </c>
      <c r="G271" s="64" t="s">
        <v>859</v>
      </c>
      <c r="H271" s="64" t="s">
        <v>1896</v>
      </c>
      <c r="I271" s="134" t="n">
        <v>2016</v>
      </c>
      <c r="J271" s="65" t="s">
        <v>1897</v>
      </c>
      <c r="K271" s="65"/>
      <c r="L271" s="100" t="s">
        <v>1898</v>
      </c>
      <c r="M271" s="100" t="s">
        <v>1569</v>
      </c>
      <c r="N271" s="66" t="s">
        <v>1593</v>
      </c>
    </row>
    <row r="272" customFormat="false" ht="14.25" hidden="false" customHeight="false" outlineLevel="0" collapsed="false">
      <c r="A272" s="60" t="n">
        <v>253</v>
      </c>
      <c r="B272" s="114"/>
      <c r="C272" s="133" t="s">
        <v>860</v>
      </c>
      <c r="D272" s="64" t="s">
        <v>848</v>
      </c>
      <c r="E272" s="64" t="s">
        <v>1890</v>
      </c>
      <c r="F272" s="64" t="s">
        <v>850</v>
      </c>
      <c r="G272" s="64" t="s">
        <v>861</v>
      </c>
      <c r="H272" s="64" t="s">
        <v>1896</v>
      </c>
      <c r="I272" s="134" t="n">
        <v>2016</v>
      </c>
      <c r="J272" s="65" t="s">
        <v>1899</v>
      </c>
      <c r="K272" s="65"/>
      <c r="L272" s="65" t="s">
        <v>1900</v>
      </c>
      <c r="M272" s="65" t="s">
        <v>1569</v>
      </c>
      <c r="N272" s="66" t="s">
        <v>1601</v>
      </c>
    </row>
    <row r="273" customFormat="false" ht="14.25" hidden="false" customHeight="false" outlineLevel="0" collapsed="false">
      <c r="A273" s="60" t="n">
        <v>254</v>
      </c>
      <c r="B273" s="114"/>
      <c r="C273" s="133" t="s">
        <v>862</v>
      </c>
      <c r="D273" s="64" t="s">
        <v>848</v>
      </c>
      <c r="E273" s="64" t="s">
        <v>1890</v>
      </c>
      <c r="F273" s="64" t="s">
        <v>850</v>
      </c>
      <c r="G273" s="64" t="s">
        <v>863</v>
      </c>
      <c r="H273" s="64" t="s">
        <v>1896</v>
      </c>
      <c r="I273" s="134" t="n">
        <v>2016</v>
      </c>
      <c r="J273" s="65" t="s">
        <v>1901</v>
      </c>
      <c r="K273" s="65"/>
      <c r="L273" s="65" t="s">
        <v>1902</v>
      </c>
      <c r="M273" s="65" t="s">
        <v>1569</v>
      </c>
      <c r="N273" s="66" t="s">
        <v>1601</v>
      </c>
    </row>
    <row r="274" customFormat="false" ht="14.25" hidden="false" customHeight="false" outlineLevel="0" collapsed="false">
      <c r="A274" s="60" t="n">
        <v>255</v>
      </c>
      <c r="B274" s="114"/>
      <c r="C274" s="133" t="s">
        <v>855</v>
      </c>
      <c r="D274" s="64" t="s">
        <v>848</v>
      </c>
      <c r="E274" s="64" t="s">
        <v>1890</v>
      </c>
      <c r="F274" s="64" t="s">
        <v>856</v>
      </c>
      <c r="G274" s="64" t="s">
        <v>857</v>
      </c>
      <c r="H274" s="64" t="s">
        <v>1896</v>
      </c>
      <c r="I274" s="134" t="n">
        <v>2017</v>
      </c>
      <c r="J274" s="65" t="s">
        <v>1903</v>
      </c>
      <c r="K274" s="65"/>
      <c r="L274" s="65" t="s">
        <v>1904</v>
      </c>
      <c r="M274" s="65" t="s">
        <v>1569</v>
      </c>
      <c r="N274" s="66" t="s">
        <v>1714</v>
      </c>
    </row>
    <row r="275" customFormat="false" ht="14.25" hidden="false" customHeight="false" outlineLevel="0" collapsed="false">
      <c r="A275" s="60" t="n">
        <v>256</v>
      </c>
      <c r="B275" s="114"/>
      <c r="C275" s="133" t="s">
        <v>849</v>
      </c>
      <c r="D275" s="64" t="s">
        <v>848</v>
      </c>
      <c r="E275" s="64" t="s">
        <v>1890</v>
      </c>
      <c r="F275" s="64" t="s">
        <v>850</v>
      </c>
      <c r="G275" s="64" t="s">
        <v>851</v>
      </c>
      <c r="H275" s="64" t="s">
        <v>1896</v>
      </c>
      <c r="I275" s="134" t="n">
        <v>2019</v>
      </c>
      <c r="J275" s="65" t="s">
        <v>1905</v>
      </c>
      <c r="K275" s="65"/>
      <c r="L275" s="65" t="s">
        <v>850</v>
      </c>
      <c r="M275" s="65" t="s">
        <v>1569</v>
      </c>
      <c r="N275" s="66" t="s">
        <v>1595</v>
      </c>
    </row>
    <row r="276" customFormat="false" ht="14.25" hidden="false" customHeight="false" outlineLevel="0" collapsed="false">
      <c r="A276" s="60" t="n">
        <v>257</v>
      </c>
      <c r="B276" s="114"/>
      <c r="C276" s="133" t="s">
        <v>874</v>
      </c>
      <c r="D276" s="64" t="s">
        <v>873</v>
      </c>
      <c r="E276" s="64" t="s">
        <v>1890</v>
      </c>
      <c r="F276" s="64" t="s">
        <v>875</v>
      </c>
      <c r="G276" s="63" t="s">
        <v>877</v>
      </c>
      <c r="H276" s="64"/>
      <c r="I276" s="134" t="n">
        <v>1984</v>
      </c>
      <c r="J276" s="65" t="s">
        <v>875</v>
      </c>
      <c r="K276" s="65"/>
      <c r="L276" s="65" t="s">
        <v>1906</v>
      </c>
      <c r="M276" s="65" t="s">
        <v>1569</v>
      </c>
      <c r="N276" s="66" t="s">
        <v>1622</v>
      </c>
    </row>
    <row r="277" customFormat="false" ht="14.25" hidden="false" customHeight="false" outlineLevel="0" collapsed="false">
      <c r="A277" s="60" t="n">
        <v>258</v>
      </c>
      <c r="B277" s="114"/>
      <c r="C277" s="133" t="s">
        <v>852</v>
      </c>
      <c r="D277" s="64" t="s">
        <v>425</v>
      </c>
      <c r="E277" s="64" t="s">
        <v>1890</v>
      </c>
      <c r="F277" s="64" t="s">
        <v>853</v>
      </c>
      <c r="G277" s="63" t="s">
        <v>854</v>
      </c>
      <c r="H277" s="64" t="s">
        <v>1907</v>
      </c>
      <c r="I277" s="134" t="n">
        <v>2018</v>
      </c>
      <c r="J277" s="65" t="s">
        <v>1908</v>
      </c>
      <c r="K277" s="65"/>
      <c r="L277" s="100" t="n">
        <v>750944</v>
      </c>
      <c r="M277" s="100" t="s">
        <v>1569</v>
      </c>
      <c r="N277" s="66" t="s">
        <v>1595</v>
      </c>
    </row>
    <row r="278" customFormat="false" ht="14.25" hidden="false" customHeight="false" outlineLevel="0" collapsed="false">
      <c r="A278" s="74"/>
      <c r="B278" s="143"/>
      <c r="C278" s="139"/>
      <c r="D278" s="141"/>
      <c r="E278" s="141"/>
      <c r="F278" s="141"/>
      <c r="G278" s="141"/>
      <c r="H278" s="141"/>
      <c r="I278" s="142"/>
      <c r="J278" s="73"/>
      <c r="K278" s="73"/>
      <c r="L278" s="73"/>
      <c r="M278" s="73"/>
      <c r="N278" s="73"/>
    </row>
    <row r="279" customFormat="false" ht="14.25" hidden="false" customHeight="false" outlineLevel="0" collapsed="false">
      <c r="A279" s="107" t="n">
        <v>259</v>
      </c>
      <c r="B279" s="108" t="s">
        <v>882</v>
      </c>
      <c r="C279" s="144" t="s">
        <v>912</v>
      </c>
      <c r="D279" s="115" t="s">
        <v>394</v>
      </c>
      <c r="E279" s="115" t="s">
        <v>882</v>
      </c>
      <c r="F279" s="115" t="s">
        <v>913</v>
      </c>
      <c r="G279" s="115" t="s">
        <v>914</v>
      </c>
      <c r="H279" s="115"/>
      <c r="I279" s="116" t="n">
        <v>2006</v>
      </c>
      <c r="J279" s="106" t="s">
        <v>1909</v>
      </c>
      <c r="K279" s="106"/>
      <c r="L279" s="106"/>
      <c r="M279" s="106" t="s">
        <v>1569</v>
      </c>
      <c r="N279" s="66" t="s">
        <v>1910</v>
      </c>
      <c r="O279" s="148" t="s">
        <v>1911</v>
      </c>
    </row>
    <row r="280" customFormat="false" ht="14.25" hidden="false" customHeight="false" outlineLevel="0" collapsed="false">
      <c r="A280" s="107" t="n">
        <v>260</v>
      </c>
      <c r="B280" s="108"/>
      <c r="C280" s="144" t="s">
        <v>902</v>
      </c>
      <c r="D280" s="115" t="s">
        <v>394</v>
      </c>
      <c r="E280" s="115" t="s">
        <v>129</v>
      </c>
      <c r="F280" s="115" t="s">
        <v>903</v>
      </c>
      <c r="G280" s="115" t="s">
        <v>904</v>
      </c>
      <c r="H280" s="115" t="s">
        <v>1912</v>
      </c>
      <c r="I280" s="116" t="n">
        <v>2012</v>
      </c>
      <c r="J280" s="106"/>
      <c r="K280" s="106"/>
      <c r="L280" s="106"/>
      <c r="M280" s="106" t="s">
        <v>1569</v>
      </c>
      <c r="N280" s="73" t="s">
        <v>1622</v>
      </c>
    </row>
    <row r="281" s="52" customFormat="true" ht="14.25" hidden="false" customHeight="false" outlineLevel="0" collapsed="false">
      <c r="A281" s="126" t="n">
        <v>261</v>
      </c>
      <c r="B281" s="108"/>
      <c r="C281" s="149" t="s">
        <v>915</v>
      </c>
      <c r="D281" s="150" t="s">
        <v>394</v>
      </c>
      <c r="E281" s="150" t="s">
        <v>129</v>
      </c>
      <c r="F281" s="150" t="s">
        <v>903</v>
      </c>
      <c r="G281" s="150" t="s">
        <v>916</v>
      </c>
      <c r="H281" s="150" t="s">
        <v>1912</v>
      </c>
      <c r="I281" s="151" t="n">
        <v>2012</v>
      </c>
      <c r="J281" s="130"/>
      <c r="K281" s="130"/>
      <c r="L281" s="130"/>
      <c r="M281" s="130" t="s">
        <v>1569</v>
      </c>
      <c r="N281" s="130" t="s">
        <v>1595</v>
      </c>
      <c r="O281" s="52" t="s">
        <v>1913</v>
      </c>
    </row>
    <row r="282" customFormat="false" ht="14.25" hidden="false" customHeight="false" outlineLevel="0" collapsed="false">
      <c r="A282" s="107" t="n">
        <v>262</v>
      </c>
      <c r="B282" s="108"/>
      <c r="C282" s="144" t="s">
        <v>895</v>
      </c>
      <c r="D282" s="115" t="s">
        <v>394</v>
      </c>
      <c r="E282" s="115" t="s">
        <v>129</v>
      </c>
      <c r="F282" s="115" t="s">
        <v>896</v>
      </c>
      <c r="G282" s="115" t="s">
        <v>897</v>
      </c>
      <c r="H282" s="115" t="s">
        <v>1912</v>
      </c>
      <c r="I282" s="116" t="n">
        <v>2014</v>
      </c>
      <c r="J282" s="106" t="s">
        <v>1914</v>
      </c>
      <c r="K282" s="106"/>
      <c r="L282" s="106" t="s">
        <v>1915</v>
      </c>
      <c r="M282" s="106" t="s">
        <v>1569</v>
      </c>
      <c r="N282" s="66" t="s">
        <v>1648</v>
      </c>
    </row>
    <row r="283" customFormat="false" ht="14.25" hidden="false" customHeight="false" outlineLevel="0" collapsed="false">
      <c r="A283" s="107" t="n">
        <v>263</v>
      </c>
      <c r="B283" s="108"/>
      <c r="C283" s="144" t="s">
        <v>899</v>
      </c>
      <c r="D283" s="115" t="s">
        <v>898</v>
      </c>
      <c r="E283" s="115" t="s">
        <v>129</v>
      </c>
      <c r="F283" s="115" t="s">
        <v>900</v>
      </c>
      <c r="G283" s="115" t="s">
        <v>901</v>
      </c>
      <c r="H283" s="115" t="s">
        <v>1916</v>
      </c>
      <c r="I283" s="116" t="n">
        <v>2013</v>
      </c>
      <c r="J283" s="106"/>
      <c r="K283" s="106"/>
      <c r="L283" s="106"/>
      <c r="M283" s="106" t="s">
        <v>1569</v>
      </c>
      <c r="N283" s="66" t="s">
        <v>1595</v>
      </c>
    </row>
    <row r="284" customFormat="false" ht="14.25" hidden="false" customHeight="false" outlineLevel="0" collapsed="false">
      <c r="A284" s="107" t="n">
        <v>264</v>
      </c>
      <c r="B284" s="108"/>
      <c r="C284" s="144" t="s">
        <v>907</v>
      </c>
      <c r="D284" s="115" t="s">
        <v>394</v>
      </c>
      <c r="E284" s="115" t="s">
        <v>129</v>
      </c>
      <c r="F284" s="115" t="s">
        <v>908</v>
      </c>
      <c r="G284" s="115" t="s">
        <v>909</v>
      </c>
      <c r="H284" s="115" t="s">
        <v>1917</v>
      </c>
      <c r="I284" s="116" t="n">
        <v>2011</v>
      </c>
      <c r="J284" s="106"/>
      <c r="K284" s="106"/>
      <c r="L284" s="106"/>
      <c r="M284" s="106" t="s">
        <v>1569</v>
      </c>
      <c r="N284" s="66" t="s">
        <v>1588</v>
      </c>
    </row>
    <row r="285" customFormat="false" ht="14.25" hidden="false" customHeight="false" outlineLevel="0" collapsed="false">
      <c r="A285" s="107" t="n">
        <v>265</v>
      </c>
      <c r="B285" s="108"/>
      <c r="C285" s="144" t="s">
        <v>905</v>
      </c>
      <c r="D285" s="115" t="s">
        <v>394</v>
      </c>
      <c r="E285" s="115" t="s">
        <v>129</v>
      </c>
      <c r="F285" s="115" t="s">
        <v>908</v>
      </c>
      <c r="G285" s="115" t="s">
        <v>906</v>
      </c>
      <c r="H285" s="115" t="s">
        <v>1918</v>
      </c>
      <c r="I285" s="116" t="n">
        <v>2011</v>
      </c>
      <c r="J285" s="106"/>
      <c r="K285" s="106"/>
      <c r="L285" s="106"/>
      <c r="M285" s="106" t="s">
        <v>1569</v>
      </c>
      <c r="N285" s="66" t="s">
        <v>1783</v>
      </c>
    </row>
    <row r="286" customFormat="false" ht="14.25" hidden="false" customHeight="false" outlineLevel="0" collapsed="false">
      <c r="A286" s="107" t="n">
        <v>266</v>
      </c>
      <c r="B286" s="108"/>
      <c r="C286" s="144" t="s">
        <v>883</v>
      </c>
      <c r="D286" s="104" t="s">
        <v>792</v>
      </c>
      <c r="E286" s="115" t="s">
        <v>129</v>
      </c>
      <c r="F286" s="115" t="s">
        <v>884</v>
      </c>
      <c r="G286" s="115" t="s">
        <v>885</v>
      </c>
      <c r="H286" s="115" t="s">
        <v>1919</v>
      </c>
      <c r="I286" s="116" t="n">
        <v>2019</v>
      </c>
      <c r="J286" s="106"/>
      <c r="K286" s="106" t="s">
        <v>1920</v>
      </c>
      <c r="L286" s="106" t="s">
        <v>1921</v>
      </c>
      <c r="M286" s="106" t="s">
        <v>1569</v>
      </c>
      <c r="N286" s="66" t="s">
        <v>1622</v>
      </c>
    </row>
    <row r="287" customFormat="false" ht="14.25" hidden="false" customHeight="false" outlineLevel="0" collapsed="false">
      <c r="A287" s="107" t="n">
        <v>267</v>
      </c>
      <c r="B287" s="108"/>
      <c r="C287" s="144" t="s">
        <v>886</v>
      </c>
      <c r="D287" s="104" t="s">
        <v>792</v>
      </c>
      <c r="E287" s="115" t="s">
        <v>129</v>
      </c>
      <c r="F287" s="115" t="s">
        <v>884</v>
      </c>
      <c r="G287" s="115" t="s">
        <v>887</v>
      </c>
      <c r="H287" s="115" t="s">
        <v>1919</v>
      </c>
      <c r="I287" s="116" t="n">
        <v>2019</v>
      </c>
      <c r="J287" s="106"/>
      <c r="K287" s="106"/>
      <c r="L287" s="106"/>
      <c r="M287" s="106" t="s">
        <v>1569</v>
      </c>
      <c r="N287" s="66" t="s">
        <v>1922</v>
      </c>
    </row>
    <row r="288" customFormat="false" ht="14.25" hidden="false" customHeight="false" outlineLevel="0" collapsed="false">
      <c r="A288" s="107" t="n">
        <v>268</v>
      </c>
      <c r="B288" s="108"/>
      <c r="C288" s="144" t="s">
        <v>888</v>
      </c>
      <c r="D288" s="104" t="s">
        <v>792</v>
      </c>
      <c r="E288" s="115" t="s">
        <v>129</v>
      </c>
      <c r="F288" s="115" t="s">
        <v>884</v>
      </c>
      <c r="G288" s="115" t="s">
        <v>889</v>
      </c>
      <c r="H288" s="115" t="s">
        <v>1919</v>
      </c>
      <c r="I288" s="116" t="n">
        <v>2019</v>
      </c>
      <c r="J288" s="106" t="s">
        <v>1923</v>
      </c>
      <c r="K288" s="106"/>
      <c r="L288" s="106" t="s">
        <v>1924</v>
      </c>
      <c r="M288" s="106" t="s">
        <v>1569</v>
      </c>
      <c r="N288" s="66" t="s">
        <v>1622</v>
      </c>
    </row>
    <row r="289" customFormat="false" ht="14.25" hidden="false" customHeight="false" outlineLevel="0" collapsed="false">
      <c r="A289" s="107" t="n">
        <v>269</v>
      </c>
      <c r="B289" s="108"/>
      <c r="C289" s="144" t="s">
        <v>890</v>
      </c>
      <c r="D289" s="104" t="s">
        <v>792</v>
      </c>
      <c r="E289" s="115" t="s">
        <v>129</v>
      </c>
      <c r="F289" s="115" t="s">
        <v>884</v>
      </c>
      <c r="G289" s="115" t="s">
        <v>891</v>
      </c>
      <c r="H289" s="115" t="s">
        <v>1919</v>
      </c>
      <c r="I289" s="116" t="n">
        <v>2019</v>
      </c>
      <c r="J289" s="106"/>
      <c r="K289" s="106"/>
      <c r="L289" s="106"/>
      <c r="M289" s="106" t="s">
        <v>1569</v>
      </c>
      <c r="N289" s="66" t="s">
        <v>1593</v>
      </c>
    </row>
    <row r="290" customFormat="false" ht="14.25" hidden="false" customHeight="false" outlineLevel="0" collapsed="false">
      <c r="A290" s="107" t="n">
        <v>270</v>
      </c>
      <c r="B290" s="108"/>
      <c r="C290" s="144" t="s">
        <v>892</v>
      </c>
      <c r="D290" s="104" t="s">
        <v>394</v>
      </c>
      <c r="E290" s="115" t="s">
        <v>129</v>
      </c>
      <c r="F290" s="115" t="s">
        <v>893</v>
      </c>
      <c r="G290" s="115" t="s">
        <v>894</v>
      </c>
      <c r="H290" s="115" t="s">
        <v>1925</v>
      </c>
      <c r="I290" s="116" t="n">
        <v>2019</v>
      </c>
      <c r="J290" s="106" t="s">
        <v>1926</v>
      </c>
      <c r="K290" s="106"/>
      <c r="L290" s="106"/>
      <c r="M290" s="106" t="s">
        <v>1569</v>
      </c>
      <c r="N290" s="66" t="s">
        <v>1588</v>
      </c>
    </row>
    <row r="291" customFormat="false" ht="14.25" hidden="false" customHeight="false" outlineLevel="0" collapsed="false">
      <c r="A291" s="107" t="n">
        <v>271</v>
      </c>
      <c r="B291" s="108"/>
      <c r="C291" s="144" t="s">
        <v>910</v>
      </c>
      <c r="D291" s="104" t="s">
        <v>844</v>
      </c>
      <c r="E291" s="115" t="s">
        <v>129</v>
      </c>
      <c r="F291" s="115"/>
      <c r="G291" s="115" t="s">
        <v>911</v>
      </c>
      <c r="H291" s="115"/>
      <c r="I291" s="116"/>
      <c r="J291" s="106"/>
      <c r="K291" s="106"/>
      <c r="L291" s="106"/>
      <c r="M291" s="106" t="s">
        <v>1569</v>
      </c>
      <c r="N291" s="66" t="s">
        <v>1595</v>
      </c>
    </row>
    <row r="292" customFormat="false" ht="14.25" hidden="false" customHeight="false" outlineLevel="0" collapsed="false">
      <c r="A292" s="74"/>
      <c r="B292" s="107"/>
      <c r="C292" s="139"/>
      <c r="D292" s="140"/>
      <c r="E292" s="141"/>
      <c r="F292" s="141"/>
      <c r="G292" s="141"/>
      <c r="H292" s="141"/>
      <c r="I292" s="142"/>
      <c r="J292" s="73"/>
      <c r="K292" s="73"/>
      <c r="L292" s="73"/>
      <c r="M292" s="73"/>
      <c r="N292" s="73"/>
    </row>
    <row r="293" customFormat="false" ht="14.25" hidden="false" customHeight="false" outlineLevel="0" collapsed="false">
      <c r="A293" s="60" t="n">
        <v>272</v>
      </c>
      <c r="B293" s="114" t="s">
        <v>1927</v>
      </c>
      <c r="C293" s="133" t="s">
        <v>1087</v>
      </c>
      <c r="D293" s="64" t="s">
        <v>738</v>
      </c>
      <c r="E293" s="64" t="s">
        <v>1928</v>
      </c>
      <c r="F293" s="64" t="s">
        <v>1088</v>
      </c>
      <c r="G293" s="64" t="s">
        <v>1089</v>
      </c>
      <c r="H293" s="64" t="s">
        <v>1929</v>
      </c>
      <c r="I293" s="134" t="n">
        <v>2006</v>
      </c>
      <c r="J293" s="65"/>
      <c r="K293" s="65"/>
      <c r="L293" s="65"/>
      <c r="M293" s="65" t="s">
        <v>1569</v>
      </c>
      <c r="N293" s="66" t="s">
        <v>1593</v>
      </c>
    </row>
    <row r="294" customFormat="false" ht="14.25" hidden="false" customHeight="false" outlineLevel="0" collapsed="false">
      <c r="A294" s="60" t="n">
        <v>273</v>
      </c>
      <c r="B294" s="114"/>
      <c r="C294" s="133" t="s">
        <v>1041</v>
      </c>
      <c r="D294" s="64" t="s">
        <v>394</v>
      </c>
      <c r="E294" s="64" t="s">
        <v>1928</v>
      </c>
      <c r="F294" s="64" t="s">
        <v>1039</v>
      </c>
      <c r="G294" s="64" t="s">
        <v>1042</v>
      </c>
      <c r="H294" s="64" t="s">
        <v>1930</v>
      </c>
      <c r="I294" s="134" t="n">
        <v>2013</v>
      </c>
      <c r="J294" s="65"/>
      <c r="K294" s="65"/>
      <c r="L294" s="65"/>
      <c r="M294" s="65" t="s">
        <v>1569</v>
      </c>
      <c r="N294" s="66" t="s">
        <v>1601</v>
      </c>
    </row>
    <row r="295" customFormat="false" ht="14.25" hidden="false" customHeight="false" outlineLevel="0" collapsed="false">
      <c r="A295" s="60" t="n">
        <v>274</v>
      </c>
      <c r="B295" s="114"/>
      <c r="C295" s="133" t="s">
        <v>1043</v>
      </c>
      <c r="D295" s="64" t="s">
        <v>738</v>
      </c>
      <c r="E295" s="64" t="s">
        <v>1928</v>
      </c>
      <c r="F295" s="64" t="s">
        <v>1044</v>
      </c>
      <c r="G295" s="64" t="s">
        <v>1045</v>
      </c>
      <c r="H295" s="64" t="s">
        <v>1929</v>
      </c>
      <c r="I295" s="134" t="n">
        <v>2012</v>
      </c>
      <c r="J295" s="65"/>
      <c r="K295" s="65"/>
      <c r="L295" s="65"/>
      <c r="M295" s="65" t="s">
        <v>1684</v>
      </c>
      <c r="N295" s="66" t="s">
        <v>1601</v>
      </c>
    </row>
    <row r="296" customFormat="false" ht="14.25" hidden="false" customHeight="false" outlineLevel="0" collapsed="false">
      <c r="A296" s="60" t="n">
        <v>275</v>
      </c>
      <c r="B296" s="114"/>
      <c r="C296" s="133" t="s">
        <v>1092</v>
      </c>
      <c r="D296" s="64" t="s">
        <v>738</v>
      </c>
      <c r="E296" s="64" t="s">
        <v>1928</v>
      </c>
      <c r="F296" s="64" t="s">
        <v>1088</v>
      </c>
      <c r="G296" s="64" t="s">
        <v>1093</v>
      </c>
      <c r="H296" s="64" t="s">
        <v>1929</v>
      </c>
      <c r="I296" s="134" t="n">
        <v>2003</v>
      </c>
      <c r="J296" s="65"/>
      <c r="K296" s="65"/>
      <c r="L296" s="65"/>
      <c r="M296" s="65" t="s">
        <v>1569</v>
      </c>
      <c r="N296" s="66" t="s">
        <v>1595</v>
      </c>
    </row>
    <row r="297" customFormat="false" ht="14.25" hidden="false" customHeight="false" outlineLevel="0" collapsed="false">
      <c r="A297" s="60" t="n">
        <v>276</v>
      </c>
      <c r="B297" s="114"/>
      <c r="C297" s="133" t="s">
        <v>1046</v>
      </c>
      <c r="D297" s="64" t="s">
        <v>738</v>
      </c>
      <c r="E297" s="64" t="s">
        <v>1928</v>
      </c>
      <c r="F297" s="64" t="s">
        <v>1088</v>
      </c>
      <c r="G297" s="64" t="s">
        <v>1047</v>
      </c>
      <c r="H297" s="64" t="s">
        <v>1929</v>
      </c>
      <c r="I297" s="134" t="n">
        <v>2003</v>
      </c>
      <c r="J297" s="65"/>
      <c r="K297" s="65"/>
      <c r="L297" s="65"/>
      <c r="M297" s="65" t="s">
        <v>1569</v>
      </c>
      <c r="N297" s="66" t="s">
        <v>1595</v>
      </c>
    </row>
    <row r="298" customFormat="false" ht="14.25" hidden="false" customHeight="false" outlineLevel="0" collapsed="false">
      <c r="A298" s="60" t="n">
        <v>277</v>
      </c>
      <c r="B298" s="114"/>
      <c r="C298" s="133" t="s">
        <v>1077</v>
      </c>
      <c r="D298" s="64" t="s">
        <v>394</v>
      </c>
      <c r="E298" s="64" t="s">
        <v>1928</v>
      </c>
      <c r="F298" s="64" t="s">
        <v>1012</v>
      </c>
      <c r="G298" s="64" t="s">
        <v>1078</v>
      </c>
      <c r="H298" s="64" t="s">
        <v>1929</v>
      </c>
      <c r="I298" s="134" t="n">
        <v>2011</v>
      </c>
      <c r="J298" s="65"/>
      <c r="K298" s="65"/>
      <c r="L298" s="65"/>
      <c r="M298" s="65" t="s">
        <v>1684</v>
      </c>
      <c r="N298" s="66" t="s">
        <v>1910</v>
      </c>
      <c r="O298" s="125" t="s">
        <v>1648</v>
      </c>
    </row>
    <row r="299" customFormat="false" ht="14.25" hidden="false" customHeight="false" outlineLevel="0" collapsed="false">
      <c r="A299" s="60" t="n">
        <v>278</v>
      </c>
      <c r="B299" s="114"/>
      <c r="C299" s="133" t="s">
        <v>921</v>
      </c>
      <c r="D299" s="64" t="s">
        <v>394</v>
      </c>
      <c r="E299" s="64" t="s">
        <v>1928</v>
      </c>
      <c r="F299" s="64" t="s">
        <v>1012</v>
      </c>
      <c r="G299" s="64" t="s">
        <v>922</v>
      </c>
      <c r="H299" s="64" t="s">
        <v>1929</v>
      </c>
      <c r="I299" s="134" t="n">
        <v>2011</v>
      </c>
      <c r="J299" s="65"/>
      <c r="K299" s="65"/>
      <c r="L299" s="65"/>
      <c r="M299" s="65" t="s">
        <v>1684</v>
      </c>
      <c r="N299" s="66" t="s">
        <v>1601</v>
      </c>
    </row>
    <row r="300" customFormat="false" ht="14.25" hidden="false" customHeight="false" outlineLevel="0" collapsed="false">
      <c r="A300" s="60" t="n">
        <v>279</v>
      </c>
      <c r="B300" s="114"/>
      <c r="C300" s="133" t="s">
        <v>923</v>
      </c>
      <c r="D300" s="64" t="s">
        <v>394</v>
      </c>
      <c r="E300" s="64" t="s">
        <v>1928</v>
      </c>
      <c r="F300" s="64" t="s">
        <v>1012</v>
      </c>
      <c r="G300" s="64" t="s">
        <v>924</v>
      </c>
      <c r="H300" s="64" t="s">
        <v>1929</v>
      </c>
      <c r="I300" s="134" t="n">
        <v>2011</v>
      </c>
      <c r="J300" s="65"/>
      <c r="K300" s="65"/>
      <c r="L300" s="65"/>
      <c r="M300" s="65" t="s">
        <v>1684</v>
      </c>
      <c r="N300" s="66" t="s">
        <v>1601</v>
      </c>
    </row>
    <row r="301" customFormat="false" ht="14.25" hidden="false" customHeight="false" outlineLevel="0" collapsed="false">
      <c r="A301" s="60" t="n">
        <v>280</v>
      </c>
      <c r="B301" s="114"/>
      <c r="C301" s="133" t="s">
        <v>1055</v>
      </c>
      <c r="D301" s="64" t="s">
        <v>394</v>
      </c>
      <c r="E301" s="64" t="s">
        <v>1928</v>
      </c>
      <c r="F301" s="64" t="s">
        <v>1039</v>
      </c>
      <c r="G301" s="64" t="s">
        <v>1056</v>
      </c>
      <c r="H301" s="64" t="s">
        <v>1930</v>
      </c>
      <c r="I301" s="134" t="n">
        <v>2012</v>
      </c>
      <c r="J301" s="65"/>
      <c r="K301" s="65"/>
      <c r="L301" s="65"/>
      <c r="M301" s="65" t="s">
        <v>1569</v>
      </c>
      <c r="N301" s="66" t="s">
        <v>1595</v>
      </c>
    </row>
    <row r="302" customFormat="false" ht="14.25" hidden="false" customHeight="false" outlineLevel="0" collapsed="false">
      <c r="A302" s="60" t="n">
        <v>281</v>
      </c>
      <c r="B302" s="114"/>
      <c r="C302" s="133" t="s">
        <v>925</v>
      </c>
      <c r="D302" s="64" t="s">
        <v>394</v>
      </c>
      <c r="E302" s="64" t="s">
        <v>1928</v>
      </c>
      <c r="F302" s="64" t="s">
        <v>1039</v>
      </c>
      <c r="G302" s="64" t="s">
        <v>926</v>
      </c>
      <c r="H302" s="64" t="s">
        <v>1930</v>
      </c>
      <c r="I302" s="134" t="n">
        <v>2012</v>
      </c>
      <c r="J302" s="65"/>
      <c r="K302" s="65"/>
      <c r="L302" s="65"/>
      <c r="M302" s="65" t="s">
        <v>1569</v>
      </c>
      <c r="N302" s="66" t="s">
        <v>1595</v>
      </c>
    </row>
    <row r="303" customFormat="false" ht="14.25" hidden="false" customHeight="false" outlineLevel="0" collapsed="false">
      <c r="A303" s="60" t="n">
        <v>282</v>
      </c>
      <c r="B303" s="114"/>
      <c r="C303" s="133" t="s">
        <v>1059</v>
      </c>
      <c r="D303" s="64" t="s">
        <v>394</v>
      </c>
      <c r="E303" s="64" t="s">
        <v>1928</v>
      </c>
      <c r="F303" s="64" t="s">
        <v>1060</v>
      </c>
      <c r="G303" s="64" t="s">
        <v>1061</v>
      </c>
      <c r="H303" s="64" t="s">
        <v>1931</v>
      </c>
      <c r="I303" s="134" t="n">
        <v>2012</v>
      </c>
      <c r="J303" s="65"/>
      <c r="K303" s="65"/>
      <c r="L303" s="65"/>
      <c r="M303" s="65" t="s">
        <v>1569</v>
      </c>
      <c r="N303" s="66" t="s">
        <v>1595</v>
      </c>
    </row>
    <row r="304" customFormat="false" ht="14.25" hidden="false" customHeight="false" outlineLevel="0" collapsed="false">
      <c r="A304" s="60" t="n">
        <v>283</v>
      </c>
      <c r="B304" s="114"/>
      <c r="C304" s="133" t="s">
        <v>927</v>
      </c>
      <c r="D304" s="64" t="s">
        <v>394</v>
      </c>
      <c r="E304" s="64" t="s">
        <v>1928</v>
      </c>
      <c r="F304" s="64" t="s">
        <v>1060</v>
      </c>
      <c r="G304" s="64" t="s">
        <v>928</v>
      </c>
      <c r="H304" s="64" t="s">
        <v>1931</v>
      </c>
      <c r="I304" s="134" t="n">
        <v>2012</v>
      </c>
      <c r="J304" s="65"/>
      <c r="K304" s="65"/>
      <c r="L304" s="65"/>
      <c r="M304" s="65" t="s">
        <v>1569</v>
      </c>
      <c r="N304" s="66" t="s">
        <v>1593</v>
      </c>
    </row>
    <row r="305" customFormat="false" ht="14.25" hidden="false" customHeight="false" outlineLevel="0" collapsed="false">
      <c r="A305" s="60" t="n">
        <v>284</v>
      </c>
      <c r="B305" s="114"/>
      <c r="C305" s="133" t="s">
        <v>1048</v>
      </c>
      <c r="D305" s="64" t="s">
        <v>738</v>
      </c>
      <c r="E305" s="64" t="s">
        <v>1928</v>
      </c>
      <c r="F305" s="64" t="s">
        <v>1044</v>
      </c>
      <c r="G305" s="64" t="s">
        <v>1049</v>
      </c>
      <c r="H305" s="64" t="s">
        <v>1929</v>
      </c>
      <c r="I305" s="134" t="n">
        <v>2012</v>
      </c>
      <c r="J305" s="65"/>
      <c r="K305" s="65"/>
      <c r="L305" s="65"/>
      <c r="M305" s="65" t="s">
        <v>1684</v>
      </c>
      <c r="N305" s="66" t="s">
        <v>1595</v>
      </c>
    </row>
    <row r="306" customFormat="false" ht="14.25" hidden="false" customHeight="false" outlineLevel="0" collapsed="false">
      <c r="A306" s="60" t="n">
        <v>285</v>
      </c>
      <c r="B306" s="114"/>
      <c r="C306" s="133" t="s">
        <v>1011</v>
      </c>
      <c r="D306" s="64" t="s">
        <v>394</v>
      </c>
      <c r="E306" s="64" t="s">
        <v>1928</v>
      </c>
      <c r="F306" s="64" t="s">
        <v>1012</v>
      </c>
      <c r="G306" s="64" t="s">
        <v>1013</v>
      </c>
      <c r="H306" s="64" t="s">
        <v>1929</v>
      </c>
      <c r="I306" s="134" t="n">
        <v>2016</v>
      </c>
      <c r="J306" s="65"/>
      <c r="K306" s="65"/>
      <c r="L306" s="65"/>
      <c r="M306" s="65" t="s">
        <v>1569</v>
      </c>
      <c r="N306" s="66" t="s">
        <v>1648</v>
      </c>
    </row>
    <row r="307" customFormat="false" ht="14.25" hidden="false" customHeight="false" outlineLevel="0" collapsed="false">
      <c r="A307" s="60" t="n">
        <v>286</v>
      </c>
      <c r="B307" s="114"/>
      <c r="C307" s="133" t="s">
        <v>1053</v>
      </c>
      <c r="D307" s="64" t="s">
        <v>738</v>
      </c>
      <c r="E307" s="64" t="s">
        <v>1928</v>
      </c>
      <c r="F307" s="64" t="s">
        <v>1044</v>
      </c>
      <c r="G307" s="64" t="s">
        <v>1054</v>
      </c>
      <c r="H307" s="64" t="s">
        <v>1929</v>
      </c>
      <c r="I307" s="134" t="n">
        <v>2012</v>
      </c>
      <c r="J307" s="65"/>
      <c r="K307" s="65"/>
      <c r="L307" s="65"/>
      <c r="M307" s="65" t="s">
        <v>1569</v>
      </c>
      <c r="N307" s="66" t="s">
        <v>1618</v>
      </c>
    </row>
    <row r="308" customFormat="false" ht="14.25" hidden="false" customHeight="false" outlineLevel="0" collapsed="false">
      <c r="A308" s="60" t="n">
        <v>287</v>
      </c>
      <c r="B308" s="114"/>
      <c r="C308" s="133" t="s">
        <v>1068</v>
      </c>
      <c r="D308" s="64" t="s">
        <v>404</v>
      </c>
      <c r="E308" s="64" t="s">
        <v>1928</v>
      </c>
      <c r="F308" s="64" t="s">
        <v>1069</v>
      </c>
      <c r="G308" s="64" t="s">
        <v>1070</v>
      </c>
      <c r="H308" s="64" t="s">
        <v>1929</v>
      </c>
      <c r="I308" s="134" t="n">
        <v>2011</v>
      </c>
      <c r="J308" s="65"/>
      <c r="K308" s="65"/>
      <c r="L308" s="65"/>
      <c r="M308" s="65" t="s">
        <v>1569</v>
      </c>
      <c r="N308" s="66" t="s">
        <v>1646</v>
      </c>
    </row>
    <row r="309" customFormat="false" ht="14.25" hidden="false" customHeight="false" outlineLevel="0" collapsed="false">
      <c r="A309" s="60" t="n">
        <v>288</v>
      </c>
      <c r="B309" s="114"/>
      <c r="C309" s="133" t="s">
        <v>929</v>
      </c>
      <c r="D309" s="64" t="s">
        <v>394</v>
      </c>
      <c r="E309" s="64" t="s">
        <v>1928</v>
      </c>
      <c r="F309" s="64" t="s">
        <v>1012</v>
      </c>
      <c r="G309" s="64" t="s">
        <v>930</v>
      </c>
      <c r="H309" s="64" t="s">
        <v>1929</v>
      </c>
      <c r="I309" s="134" t="n">
        <v>2016</v>
      </c>
      <c r="J309" s="65"/>
      <c r="K309" s="65"/>
      <c r="L309" s="65"/>
      <c r="M309" s="65" t="s">
        <v>1684</v>
      </c>
      <c r="N309" s="66" t="s">
        <v>1601</v>
      </c>
    </row>
    <row r="310" customFormat="false" ht="14.25" hidden="false" customHeight="false" outlineLevel="0" collapsed="false">
      <c r="A310" s="60" t="n">
        <v>289</v>
      </c>
      <c r="B310" s="114"/>
      <c r="C310" s="133" t="s">
        <v>1071</v>
      </c>
      <c r="D310" s="64" t="s">
        <v>404</v>
      </c>
      <c r="E310" s="64" t="s">
        <v>1928</v>
      </c>
      <c r="F310" s="64" t="s">
        <v>1069</v>
      </c>
      <c r="G310" s="64" t="s">
        <v>1072</v>
      </c>
      <c r="H310" s="64" t="s">
        <v>1929</v>
      </c>
      <c r="I310" s="134" t="n">
        <v>2011</v>
      </c>
      <c r="J310" s="65"/>
      <c r="K310" s="65"/>
      <c r="L310" s="65"/>
      <c r="M310" s="65" t="s">
        <v>1684</v>
      </c>
      <c r="N310" s="66" t="s">
        <v>1601</v>
      </c>
    </row>
    <row r="311" customFormat="false" ht="14.25" hidden="false" customHeight="false" outlineLevel="0" collapsed="false">
      <c r="A311" s="60" t="n">
        <v>290</v>
      </c>
      <c r="B311" s="114"/>
      <c r="C311" s="133" t="s">
        <v>1073</v>
      </c>
      <c r="D311" s="64" t="s">
        <v>404</v>
      </c>
      <c r="E311" s="64" t="s">
        <v>1928</v>
      </c>
      <c r="F311" s="64" t="s">
        <v>1069</v>
      </c>
      <c r="G311" s="64" t="s">
        <v>1074</v>
      </c>
      <c r="H311" s="64" t="s">
        <v>1929</v>
      </c>
      <c r="I311" s="134" t="n">
        <v>2011</v>
      </c>
      <c r="J311" s="65"/>
      <c r="K311" s="65"/>
      <c r="L311" s="65"/>
      <c r="M311" s="65" t="s">
        <v>1569</v>
      </c>
      <c r="N311" s="66" t="s">
        <v>1595</v>
      </c>
    </row>
    <row r="312" customFormat="false" ht="14.25" hidden="false" customHeight="false" outlineLevel="0" collapsed="false">
      <c r="A312" s="60" t="n">
        <v>291</v>
      </c>
      <c r="B312" s="114"/>
      <c r="C312" s="133" t="s">
        <v>1075</v>
      </c>
      <c r="D312" s="64" t="s">
        <v>404</v>
      </c>
      <c r="E312" s="64" t="s">
        <v>1928</v>
      </c>
      <c r="F312" s="64" t="s">
        <v>1069</v>
      </c>
      <c r="G312" s="64" t="s">
        <v>1076</v>
      </c>
      <c r="H312" s="64" t="s">
        <v>1929</v>
      </c>
      <c r="I312" s="134" t="n">
        <v>2011</v>
      </c>
      <c r="J312" s="65"/>
      <c r="K312" s="65"/>
      <c r="L312" s="65"/>
      <c r="M312" s="65" t="s">
        <v>1569</v>
      </c>
      <c r="N312" s="66" t="s">
        <v>1646</v>
      </c>
    </row>
    <row r="313" customFormat="false" ht="14.25" hidden="false" customHeight="false" outlineLevel="0" collapsed="false">
      <c r="A313" s="60" t="n">
        <v>292</v>
      </c>
      <c r="B313" s="114"/>
      <c r="C313" s="133" t="s">
        <v>1079</v>
      </c>
      <c r="D313" s="64" t="s">
        <v>738</v>
      </c>
      <c r="E313" s="64" t="s">
        <v>1928</v>
      </c>
      <c r="F313" s="64" t="s">
        <v>1080</v>
      </c>
      <c r="G313" s="64" t="s">
        <v>1081</v>
      </c>
      <c r="H313" s="64" t="s">
        <v>1932</v>
      </c>
      <c r="I313" s="134" t="n">
        <v>2010</v>
      </c>
      <c r="J313" s="65"/>
      <c r="K313" s="65"/>
      <c r="L313" s="65"/>
      <c r="M313" s="65" t="s">
        <v>1684</v>
      </c>
      <c r="N313" s="66" t="s">
        <v>1595</v>
      </c>
    </row>
    <row r="314" customFormat="false" ht="14.25" hidden="false" customHeight="false" outlineLevel="0" collapsed="false">
      <c r="A314" s="60" t="n">
        <v>293</v>
      </c>
      <c r="B314" s="114"/>
      <c r="C314" s="133" t="s">
        <v>1082</v>
      </c>
      <c r="D314" s="64" t="s">
        <v>738</v>
      </c>
      <c r="E314" s="64" t="s">
        <v>1928</v>
      </c>
      <c r="F314" s="64" t="s">
        <v>1051</v>
      </c>
      <c r="G314" s="64" t="s">
        <v>1083</v>
      </c>
      <c r="H314" s="64" t="s">
        <v>1932</v>
      </c>
      <c r="I314" s="134" t="n">
        <v>2010</v>
      </c>
      <c r="J314" s="65"/>
      <c r="K314" s="65"/>
      <c r="L314" s="65"/>
      <c r="M314" s="65" t="s">
        <v>1569</v>
      </c>
      <c r="N314" s="66" t="s">
        <v>1601</v>
      </c>
    </row>
    <row r="315" customFormat="false" ht="14.25" hidden="false" customHeight="false" outlineLevel="0" collapsed="false">
      <c r="A315" s="60" t="n">
        <v>294</v>
      </c>
      <c r="B315" s="114"/>
      <c r="C315" s="133" t="s">
        <v>1066</v>
      </c>
      <c r="D315" s="64" t="s">
        <v>738</v>
      </c>
      <c r="E315" s="64" t="s">
        <v>1928</v>
      </c>
      <c r="F315" s="64" t="s">
        <v>1051</v>
      </c>
      <c r="G315" s="64" t="s">
        <v>1067</v>
      </c>
      <c r="H315" s="64" t="s">
        <v>1932</v>
      </c>
      <c r="I315" s="134" t="n">
        <v>2011</v>
      </c>
      <c r="J315" s="65"/>
      <c r="K315" s="65"/>
      <c r="L315" s="65"/>
      <c r="M315" s="65" t="s">
        <v>1684</v>
      </c>
      <c r="N315" s="66" t="s">
        <v>1595</v>
      </c>
    </row>
    <row r="316" customFormat="false" ht="14.25" hidden="false" customHeight="false" outlineLevel="0" collapsed="false">
      <c r="A316" s="60" t="n">
        <v>295</v>
      </c>
      <c r="B316" s="114"/>
      <c r="C316" s="133" t="s">
        <v>1050</v>
      </c>
      <c r="D316" s="64" t="s">
        <v>738</v>
      </c>
      <c r="E316" s="64" t="s">
        <v>1928</v>
      </c>
      <c r="F316" s="64" t="s">
        <v>1051</v>
      </c>
      <c r="G316" s="64" t="s">
        <v>1052</v>
      </c>
      <c r="H316" s="64" t="s">
        <v>1932</v>
      </c>
      <c r="I316" s="134" t="n">
        <v>2012</v>
      </c>
      <c r="J316" s="65"/>
      <c r="K316" s="65"/>
      <c r="L316" s="65"/>
      <c r="M316" s="65" t="s">
        <v>1569</v>
      </c>
      <c r="N316" s="66" t="s">
        <v>1595</v>
      </c>
    </row>
    <row r="317" customFormat="false" ht="14.25" hidden="false" customHeight="false" outlineLevel="0" collapsed="false">
      <c r="A317" s="60" t="n">
        <v>296</v>
      </c>
      <c r="B317" s="114"/>
      <c r="C317" s="133" t="s">
        <v>1094</v>
      </c>
      <c r="D317" s="64" t="s">
        <v>738</v>
      </c>
      <c r="E317" s="64" t="s">
        <v>1928</v>
      </c>
      <c r="F317" s="64" t="s">
        <v>1051</v>
      </c>
      <c r="G317" s="64" t="s">
        <v>1095</v>
      </c>
      <c r="H317" s="64" t="s">
        <v>1932</v>
      </c>
      <c r="I317" s="134" t="n">
        <v>2012</v>
      </c>
      <c r="J317" s="65"/>
      <c r="K317" s="65"/>
      <c r="L317" s="65"/>
      <c r="M317" s="65" t="s">
        <v>1684</v>
      </c>
      <c r="N317" s="73" t="s">
        <v>1595</v>
      </c>
    </row>
    <row r="318" customFormat="false" ht="14.25" hidden="false" customHeight="false" outlineLevel="0" collapsed="false">
      <c r="A318" s="60" t="n">
        <v>297</v>
      </c>
      <c r="B318" s="114"/>
      <c r="C318" s="133" t="s">
        <v>1038</v>
      </c>
      <c r="D318" s="64" t="s">
        <v>738</v>
      </c>
      <c r="E318" s="64" t="s">
        <v>1928</v>
      </c>
      <c r="F318" s="64" t="s">
        <v>1039</v>
      </c>
      <c r="G318" s="64" t="s">
        <v>1040</v>
      </c>
      <c r="H318" s="64" t="s">
        <v>1930</v>
      </c>
      <c r="I318" s="134" t="n">
        <v>2013</v>
      </c>
      <c r="J318" s="65"/>
      <c r="K318" s="65"/>
      <c r="L318" s="65"/>
      <c r="M318" s="65" t="s">
        <v>1569</v>
      </c>
      <c r="N318" s="66" t="s">
        <v>1595</v>
      </c>
    </row>
    <row r="319" customFormat="false" ht="14.25" hidden="false" customHeight="false" outlineLevel="0" collapsed="false">
      <c r="A319" s="60" t="n">
        <v>298</v>
      </c>
      <c r="B319" s="114"/>
      <c r="C319" s="133" t="s">
        <v>1064</v>
      </c>
      <c r="D319" s="64" t="s">
        <v>394</v>
      </c>
      <c r="E319" s="64" t="s">
        <v>1928</v>
      </c>
      <c r="F319" s="64" t="s">
        <v>1012</v>
      </c>
      <c r="G319" s="64" t="s">
        <v>1065</v>
      </c>
      <c r="H319" s="64" t="s">
        <v>1929</v>
      </c>
      <c r="I319" s="134" t="n">
        <v>2012</v>
      </c>
      <c r="J319" s="65"/>
      <c r="K319" s="65"/>
      <c r="L319" s="65"/>
      <c r="M319" s="65" t="s">
        <v>1569</v>
      </c>
      <c r="N319" s="66" t="s">
        <v>1595</v>
      </c>
    </row>
    <row r="320" customFormat="false" ht="14.25" hidden="false" customHeight="false" outlineLevel="0" collapsed="false">
      <c r="A320" s="60" t="n">
        <v>299</v>
      </c>
      <c r="B320" s="114"/>
      <c r="C320" s="133" t="s">
        <v>931</v>
      </c>
      <c r="D320" s="64" t="s">
        <v>394</v>
      </c>
      <c r="E320" s="64" t="s">
        <v>1928</v>
      </c>
      <c r="F320" s="64" t="s">
        <v>1012</v>
      </c>
      <c r="G320" s="64" t="s">
        <v>932</v>
      </c>
      <c r="H320" s="64" t="s">
        <v>1929</v>
      </c>
      <c r="I320" s="134" t="n">
        <v>2012</v>
      </c>
      <c r="J320" s="65"/>
      <c r="K320" s="65"/>
      <c r="L320" s="65"/>
      <c r="M320" s="65" t="s">
        <v>1569</v>
      </c>
      <c r="N320" s="66" t="s">
        <v>1646</v>
      </c>
    </row>
    <row r="321" customFormat="false" ht="14.25" hidden="false" customHeight="false" outlineLevel="0" collapsed="false">
      <c r="A321" s="60" t="n">
        <v>300</v>
      </c>
      <c r="B321" s="114"/>
      <c r="C321" s="133" t="s">
        <v>933</v>
      </c>
      <c r="D321" s="64" t="s">
        <v>394</v>
      </c>
      <c r="E321" s="64" t="s">
        <v>1928</v>
      </c>
      <c r="F321" s="64" t="s">
        <v>1012</v>
      </c>
      <c r="G321" s="64" t="s">
        <v>934</v>
      </c>
      <c r="H321" s="64" t="s">
        <v>1929</v>
      </c>
      <c r="I321" s="134" t="n">
        <v>2011</v>
      </c>
      <c r="J321" s="65"/>
      <c r="K321" s="65"/>
      <c r="L321" s="65"/>
      <c r="M321" s="65" t="s">
        <v>1569</v>
      </c>
      <c r="N321" s="66" t="s">
        <v>1648</v>
      </c>
    </row>
    <row r="322" customFormat="false" ht="14.25" hidden="false" customHeight="false" outlineLevel="0" collapsed="false">
      <c r="A322" s="60" t="n">
        <v>301</v>
      </c>
      <c r="B322" s="114"/>
      <c r="C322" s="133" t="s">
        <v>1084</v>
      </c>
      <c r="D322" s="64" t="s">
        <v>404</v>
      </c>
      <c r="E322" s="64" t="s">
        <v>1928</v>
      </c>
      <c r="F322" s="64" t="n">
        <v>20.16</v>
      </c>
      <c r="G322" s="64" t="s">
        <v>1086</v>
      </c>
      <c r="H322" s="64" t="s">
        <v>1929</v>
      </c>
      <c r="I322" s="134" t="n">
        <v>2007</v>
      </c>
      <c r="J322" s="65"/>
      <c r="K322" s="65"/>
      <c r="L322" s="65"/>
      <c r="M322" s="65" t="s">
        <v>1569</v>
      </c>
      <c r="N322" s="66" t="s">
        <v>1648</v>
      </c>
    </row>
    <row r="323" customFormat="false" ht="14.25" hidden="false" customHeight="false" outlineLevel="0" collapsed="false">
      <c r="A323" s="60" t="n">
        <v>302</v>
      </c>
      <c r="B323" s="114"/>
      <c r="C323" s="133" t="s">
        <v>935</v>
      </c>
      <c r="D323" s="64" t="s">
        <v>394</v>
      </c>
      <c r="E323" s="64" t="s">
        <v>1928</v>
      </c>
      <c r="F323" s="64" t="s">
        <v>1012</v>
      </c>
      <c r="G323" s="64" t="s">
        <v>936</v>
      </c>
      <c r="H323" s="64" t="s">
        <v>1929</v>
      </c>
      <c r="I323" s="134" t="n">
        <v>2016</v>
      </c>
      <c r="J323" s="65" t="s">
        <v>1933</v>
      </c>
      <c r="K323" s="65"/>
      <c r="L323" s="65" t="s">
        <v>1934</v>
      </c>
      <c r="M323" s="65" t="s">
        <v>1569</v>
      </c>
      <c r="N323" s="66" t="s">
        <v>1601</v>
      </c>
    </row>
    <row r="324" customFormat="false" ht="14.25" hidden="false" customHeight="false" outlineLevel="0" collapsed="false">
      <c r="A324" s="60" t="n">
        <v>303</v>
      </c>
      <c r="B324" s="114"/>
      <c r="C324" s="133" t="s">
        <v>937</v>
      </c>
      <c r="D324" s="64" t="s">
        <v>394</v>
      </c>
      <c r="E324" s="64" t="s">
        <v>1928</v>
      </c>
      <c r="F324" s="64" t="s">
        <v>1012</v>
      </c>
      <c r="G324" s="64" t="s">
        <v>938</v>
      </c>
      <c r="H324" s="64" t="s">
        <v>1929</v>
      </c>
      <c r="I324" s="134" t="n">
        <v>2016</v>
      </c>
      <c r="J324" s="65"/>
      <c r="K324" s="65"/>
      <c r="L324" s="65"/>
      <c r="M324" s="65" t="s">
        <v>1684</v>
      </c>
      <c r="N324" s="66" t="s">
        <v>1595</v>
      </c>
    </row>
    <row r="325" customFormat="false" ht="14.25" hidden="false" customHeight="false" outlineLevel="0" collapsed="false">
      <c r="A325" s="60" t="n">
        <v>304</v>
      </c>
      <c r="B325" s="114"/>
      <c r="C325" s="133" t="s">
        <v>939</v>
      </c>
      <c r="D325" s="64" t="s">
        <v>394</v>
      </c>
      <c r="E325" s="64" t="s">
        <v>1928</v>
      </c>
      <c r="F325" s="64" t="s">
        <v>1012</v>
      </c>
      <c r="G325" s="64" t="s">
        <v>940</v>
      </c>
      <c r="H325" s="64" t="s">
        <v>1929</v>
      </c>
      <c r="I325" s="134" t="n">
        <v>2016</v>
      </c>
      <c r="J325" s="65" t="s">
        <v>1935</v>
      </c>
      <c r="K325" s="65"/>
      <c r="L325" s="65" t="s">
        <v>1936</v>
      </c>
      <c r="M325" s="65" t="s">
        <v>1569</v>
      </c>
      <c r="N325" s="66" t="s">
        <v>1595</v>
      </c>
    </row>
    <row r="326" customFormat="false" ht="14.25" hidden="false" customHeight="false" outlineLevel="0" collapsed="false">
      <c r="A326" s="60" t="n">
        <v>305</v>
      </c>
      <c r="B326" s="114"/>
      <c r="C326" s="133" t="s">
        <v>941</v>
      </c>
      <c r="D326" s="64" t="s">
        <v>394</v>
      </c>
      <c r="E326" s="64" t="s">
        <v>1928</v>
      </c>
      <c r="F326" s="64" t="s">
        <v>1012</v>
      </c>
      <c r="G326" s="64" t="s">
        <v>942</v>
      </c>
      <c r="H326" s="64" t="s">
        <v>1929</v>
      </c>
      <c r="I326" s="134" t="n">
        <v>2016</v>
      </c>
      <c r="J326" s="65" t="s">
        <v>1937</v>
      </c>
      <c r="K326" s="65"/>
      <c r="L326" s="65" t="s">
        <v>1938</v>
      </c>
      <c r="M326" s="65" t="s">
        <v>1569</v>
      </c>
      <c r="N326" s="66" t="s">
        <v>1722</v>
      </c>
    </row>
    <row r="327" customFormat="false" ht="14.25" hidden="false" customHeight="false" outlineLevel="0" collapsed="false">
      <c r="A327" s="60" t="n">
        <v>306</v>
      </c>
      <c r="B327" s="114"/>
      <c r="C327" s="133" t="s">
        <v>943</v>
      </c>
      <c r="D327" s="64" t="s">
        <v>394</v>
      </c>
      <c r="E327" s="64" t="s">
        <v>1928</v>
      </c>
      <c r="F327" s="64" t="s">
        <v>1012</v>
      </c>
      <c r="G327" s="64" t="s">
        <v>944</v>
      </c>
      <c r="H327" s="64" t="s">
        <v>1929</v>
      </c>
      <c r="I327" s="134" t="n">
        <v>2016</v>
      </c>
      <c r="J327" s="65" t="s">
        <v>1939</v>
      </c>
      <c r="K327" s="65" t="s">
        <v>1939</v>
      </c>
      <c r="L327" s="65" t="s">
        <v>1940</v>
      </c>
      <c r="M327" s="65" t="s">
        <v>1569</v>
      </c>
      <c r="N327" s="66" t="s">
        <v>1601</v>
      </c>
    </row>
    <row r="328" customFormat="false" ht="14.25" hidden="false" customHeight="false" outlineLevel="0" collapsed="false">
      <c r="A328" s="60" t="n">
        <v>307</v>
      </c>
      <c r="B328" s="114"/>
      <c r="C328" s="133" t="s">
        <v>945</v>
      </c>
      <c r="D328" s="64" t="s">
        <v>394</v>
      </c>
      <c r="E328" s="64" t="s">
        <v>1928</v>
      </c>
      <c r="F328" s="64" t="s">
        <v>1012</v>
      </c>
      <c r="G328" s="64" t="s">
        <v>946</v>
      </c>
      <c r="H328" s="64" t="s">
        <v>1929</v>
      </c>
      <c r="I328" s="134" t="n">
        <v>2016</v>
      </c>
      <c r="J328" s="65" t="s">
        <v>1941</v>
      </c>
      <c r="K328" s="65"/>
      <c r="L328" s="65" t="s">
        <v>1942</v>
      </c>
      <c r="M328" s="65" t="s">
        <v>1569</v>
      </c>
      <c r="N328" s="73" t="s">
        <v>1622</v>
      </c>
    </row>
    <row r="329" customFormat="false" ht="14.25" hidden="false" customHeight="false" outlineLevel="0" collapsed="false">
      <c r="A329" s="60" t="n">
        <v>308</v>
      </c>
      <c r="B329" s="114"/>
      <c r="C329" s="133" t="s">
        <v>947</v>
      </c>
      <c r="D329" s="64" t="s">
        <v>394</v>
      </c>
      <c r="E329" s="64" t="s">
        <v>1928</v>
      </c>
      <c r="F329" s="64" t="s">
        <v>1012</v>
      </c>
      <c r="G329" s="64" t="s">
        <v>948</v>
      </c>
      <c r="H329" s="64" t="s">
        <v>1929</v>
      </c>
      <c r="I329" s="134" t="n">
        <v>2016</v>
      </c>
      <c r="J329" s="65" t="s">
        <v>1943</v>
      </c>
      <c r="K329" s="65"/>
      <c r="L329" s="65" t="s">
        <v>1944</v>
      </c>
      <c r="M329" s="65" t="s">
        <v>1684</v>
      </c>
      <c r="N329" s="66" t="s">
        <v>1648</v>
      </c>
    </row>
    <row r="330" customFormat="false" ht="14.25" hidden="false" customHeight="false" outlineLevel="0" collapsed="false">
      <c r="A330" s="60" t="n">
        <v>309</v>
      </c>
      <c r="B330" s="114"/>
      <c r="C330" s="133" t="s">
        <v>949</v>
      </c>
      <c r="D330" s="64" t="s">
        <v>394</v>
      </c>
      <c r="E330" s="64" t="s">
        <v>1928</v>
      </c>
      <c r="F330" s="64" t="s">
        <v>1012</v>
      </c>
      <c r="G330" s="64" t="s">
        <v>950</v>
      </c>
      <c r="H330" s="64" t="s">
        <v>1929</v>
      </c>
      <c r="I330" s="134" t="n">
        <v>2016</v>
      </c>
      <c r="J330" s="131" t="s">
        <v>1945</v>
      </c>
      <c r="K330" s="131"/>
      <c r="L330" s="131" t="s">
        <v>1946</v>
      </c>
      <c r="M330" s="131" t="s">
        <v>1684</v>
      </c>
      <c r="N330" s="73" t="s">
        <v>1595</v>
      </c>
    </row>
    <row r="331" customFormat="false" ht="14.25" hidden="false" customHeight="false" outlineLevel="0" collapsed="false">
      <c r="A331" s="60" t="n">
        <v>310</v>
      </c>
      <c r="B331" s="114"/>
      <c r="C331" s="133" t="s">
        <v>1008</v>
      </c>
      <c r="D331" s="64" t="s">
        <v>394</v>
      </c>
      <c r="E331" s="64" t="s">
        <v>1928</v>
      </c>
      <c r="F331" s="64" t="s">
        <v>1009</v>
      </c>
      <c r="G331" s="64" t="s">
        <v>1010</v>
      </c>
      <c r="H331" s="64" t="s">
        <v>1931</v>
      </c>
      <c r="I331" s="134" t="n">
        <v>2017</v>
      </c>
      <c r="J331" s="100" t="s">
        <v>1947</v>
      </c>
      <c r="K331" s="65"/>
      <c r="L331" s="65" t="s">
        <v>1948</v>
      </c>
      <c r="M331" s="65" t="s">
        <v>1569</v>
      </c>
      <c r="N331" s="66" t="s">
        <v>1635</v>
      </c>
    </row>
    <row r="332" s="52" customFormat="true" ht="14.25" hidden="false" customHeight="false" outlineLevel="0" collapsed="false">
      <c r="A332" s="126" t="n">
        <v>311</v>
      </c>
      <c r="B332" s="114"/>
      <c r="C332" s="149" t="s">
        <v>1096</v>
      </c>
      <c r="D332" s="150" t="s">
        <v>738</v>
      </c>
      <c r="E332" s="150" t="s">
        <v>1928</v>
      </c>
      <c r="F332" s="150" t="s">
        <v>1044</v>
      </c>
      <c r="G332" s="150" t="s">
        <v>1097</v>
      </c>
      <c r="H332" s="150" t="s">
        <v>1929</v>
      </c>
      <c r="I332" s="151" t="n">
        <v>2003</v>
      </c>
      <c r="J332" s="130"/>
      <c r="K332" s="130"/>
      <c r="L332" s="130"/>
      <c r="M332" s="130" t="s">
        <v>1569</v>
      </c>
      <c r="N332" s="66" t="s">
        <v>1646</v>
      </c>
      <c r="O332" s="52" t="s">
        <v>1949</v>
      </c>
    </row>
    <row r="333" customFormat="false" ht="14.25" hidden="false" customHeight="false" outlineLevel="0" collapsed="false">
      <c r="A333" s="60" t="n">
        <v>312</v>
      </c>
      <c r="B333" s="114"/>
      <c r="C333" s="133" t="s">
        <v>975</v>
      </c>
      <c r="D333" s="64" t="s">
        <v>394</v>
      </c>
      <c r="E333" s="64" t="s">
        <v>1928</v>
      </c>
      <c r="F333" s="64" t="s">
        <v>396</v>
      </c>
      <c r="G333" s="64" t="s">
        <v>976</v>
      </c>
      <c r="H333" s="64" t="s">
        <v>1929</v>
      </c>
      <c r="I333" s="134" t="n">
        <v>2018</v>
      </c>
      <c r="J333" s="65" t="s">
        <v>1950</v>
      </c>
      <c r="K333" s="65"/>
      <c r="L333" s="101" t="s">
        <v>1951</v>
      </c>
      <c r="M333" s="101" t="s">
        <v>1684</v>
      </c>
      <c r="N333" s="66" t="s">
        <v>1648</v>
      </c>
    </row>
    <row r="334" customFormat="false" ht="14.25" hidden="false" customHeight="false" outlineLevel="0" collapsed="false">
      <c r="A334" s="60" t="n">
        <v>313</v>
      </c>
      <c r="B334" s="114"/>
      <c r="C334" s="133" t="s">
        <v>951</v>
      </c>
      <c r="D334" s="64" t="s">
        <v>394</v>
      </c>
      <c r="E334" s="64" t="s">
        <v>1928</v>
      </c>
      <c r="F334" s="64" t="s">
        <v>396</v>
      </c>
      <c r="G334" s="64" t="s">
        <v>952</v>
      </c>
      <c r="H334" s="64" t="s">
        <v>1929</v>
      </c>
      <c r="I334" s="134" t="n">
        <v>2018</v>
      </c>
      <c r="J334" s="65" t="s">
        <v>1952</v>
      </c>
      <c r="K334" s="65"/>
      <c r="L334" s="65" t="s">
        <v>1953</v>
      </c>
      <c r="M334" s="65" t="s">
        <v>1569</v>
      </c>
      <c r="N334" s="66" t="s">
        <v>1697</v>
      </c>
    </row>
    <row r="335" customFormat="false" ht="14.25" hidden="false" customHeight="false" outlineLevel="0" collapsed="false">
      <c r="A335" s="60" t="n">
        <v>314</v>
      </c>
      <c r="B335" s="114"/>
      <c r="C335" s="133" t="s">
        <v>953</v>
      </c>
      <c r="D335" s="64" t="s">
        <v>394</v>
      </c>
      <c r="E335" s="64" t="s">
        <v>1928</v>
      </c>
      <c r="F335" s="64" t="s">
        <v>396</v>
      </c>
      <c r="G335" s="64" t="s">
        <v>954</v>
      </c>
      <c r="H335" s="64" t="s">
        <v>1929</v>
      </c>
      <c r="I335" s="134" t="n">
        <v>2018</v>
      </c>
      <c r="J335" s="65" t="s">
        <v>1954</v>
      </c>
      <c r="K335" s="65"/>
      <c r="L335" s="101" t="s">
        <v>1955</v>
      </c>
      <c r="M335" s="101" t="s">
        <v>1684</v>
      </c>
      <c r="N335" s="66" t="s">
        <v>1783</v>
      </c>
    </row>
    <row r="336" customFormat="false" ht="14.25" hidden="false" customHeight="false" outlineLevel="0" collapsed="false">
      <c r="A336" s="60" t="n">
        <v>315</v>
      </c>
      <c r="B336" s="114"/>
      <c r="C336" s="133" t="s">
        <v>955</v>
      </c>
      <c r="D336" s="64" t="s">
        <v>394</v>
      </c>
      <c r="E336" s="64" t="s">
        <v>1928</v>
      </c>
      <c r="F336" s="64" t="s">
        <v>396</v>
      </c>
      <c r="G336" s="64" t="s">
        <v>956</v>
      </c>
      <c r="H336" s="64" t="s">
        <v>1929</v>
      </c>
      <c r="I336" s="134" t="n">
        <v>2018</v>
      </c>
      <c r="J336" s="65" t="s">
        <v>1956</v>
      </c>
      <c r="K336" s="65"/>
      <c r="L336" s="101" t="s">
        <v>1957</v>
      </c>
      <c r="M336" s="101" t="s">
        <v>1684</v>
      </c>
      <c r="N336" s="66" t="s">
        <v>1958</v>
      </c>
    </row>
    <row r="337" customFormat="false" ht="14.25" hidden="false" customHeight="false" outlineLevel="0" collapsed="false">
      <c r="A337" s="60" t="n">
        <v>316</v>
      </c>
      <c r="B337" s="114"/>
      <c r="C337" s="133" t="s">
        <v>983</v>
      </c>
      <c r="D337" s="64" t="s">
        <v>394</v>
      </c>
      <c r="E337" s="64" t="s">
        <v>1928</v>
      </c>
      <c r="F337" s="64" t="s">
        <v>919</v>
      </c>
      <c r="G337" s="64" t="s">
        <v>984</v>
      </c>
      <c r="H337" s="64" t="s">
        <v>1929</v>
      </c>
      <c r="I337" s="134" t="n">
        <v>2018</v>
      </c>
      <c r="J337" s="65" t="s">
        <v>1959</v>
      </c>
      <c r="K337" s="65"/>
      <c r="L337" s="101" t="s">
        <v>1960</v>
      </c>
      <c r="M337" s="101" t="s">
        <v>1569</v>
      </c>
      <c r="N337" s="66" t="s">
        <v>1607</v>
      </c>
    </row>
    <row r="338" customFormat="false" ht="14.25" hidden="false" customHeight="false" outlineLevel="0" collapsed="false">
      <c r="A338" s="60" t="n">
        <v>317</v>
      </c>
      <c r="B338" s="114"/>
      <c r="C338" s="133" t="s">
        <v>1032</v>
      </c>
      <c r="D338" s="64" t="s">
        <v>394</v>
      </c>
      <c r="E338" s="64" t="s">
        <v>1928</v>
      </c>
      <c r="F338" s="64" t="s">
        <v>986</v>
      </c>
      <c r="G338" s="64" t="s">
        <v>1033</v>
      </c>
      <c r="H338" s="64" t="s">
        <v>1929</v>
      </c>
      <c r="I338" s="134" t="n">
        <v>2016</v>
      </c>
      <c r="J338" s="65" t="s">
        <v>1961</v>
      </c>
      <c r="K338" s="65"/>
      <c r="L338" s="65" t="s">
        <v>1962</v>
      </c>
      <c r="M338" s="65" t="s">
        <v>1569</v>
      </c>
      <c r="N338" s="66" t="s">
        <v>1648</v>
      </c>
    </row>
    <row r="339" customFormat="false" ht="14.25" hidden="false" customHeight="false" outlineLevel="0" collapsed="false">
      <c r="A339" s="60" t="n">
        <v>318</v>
      </c>
      <c r="B339" s="114"/>
      <c r="C339" s="133" t="s">
        <v>985</v>
      </c>
      <c r="D339" s="64" t="s">
        <v>394</v>
      </c>
      <c r="E339" s="64" t="s">
        <v>1928</v>
      </c>
      <c r="F339" s="64" t="s">
        <v>986</v>
      </c>
      <c r="G339" s="64" t="s">
        <v>987</v>
      </c>
      <c r="H339" s="64" t="s">
        <v>1929</v>
      </c>
      <c r="I339" s="134" t="n">
        <v>2018</v>
      </c>
      <c r="J339" s="65" t="s">
        <v>1963</v>
      </c>
      <c r="K339" s="65"/>
      <c r="L339" s="101" t="s">
        <v>1964</v>
      </c>
      <c r="M339" s="101" t="s">
        <v>1684</v>
      </c>
      <c r="N339" s="66" t="s">
        <v>1598</v>
      </c>
    </row>
    <row r="340" customFormat="false" ht="14.25" hidden="false" customHeight="false" outlineLevel="0" collapsed="false">
      <c r="A340" s="60" t="n">
        <v>319</v>
      </c>
      <c r="B340" s="114"/>
      <c r="C340" s="133" t="s">
        <v>957</v>
      </c>
      <c r="D340" s="64" t="s">
        <v>394</v>
      </c>
      <c r="E340" s="64" t="s">
        <v>1928</v>
      </c>
      <c r="F340" s="64" t="s">
        <v>986</v>
      </c>
      <c r="G340" s="64" t="s">
        <v>1965</v>
      </c>
      <c r="H340" s="64" t="s">
        <v>1929</v>
      </c>
      <c r="I340" s="134" t="n">
        <v>2016</v>
      </c>
      <c r="J340" s="65" t="s">
        <v>1966</v>
      </c>
      <c r="K340" s="65"/>
      <c r="L340" s="101" t="s">
        <v>1967</v>
      </c>
      <c r="M340" s="101" t="s">
        <v>1569</v>
      </c>
      <c r="N340" s="66" t="s">
        <v>1618</v>
      </c>
    </row>
    <row r="341" customFormat="false" ht="14.25" hidden="false" customHeight="false" outlineLevel="0" collapsed="false">
      <c r="A341" s="60" t="n">
        <v>320</v>
      </c>
      <c r="B341" s="114"/>
      <c r="C341" s="133" t="s">
        <v>959</v>
      </c>
      <c r="D341" s="64" t="s">
        <v>394</v>
      </c>
      <c r="E341" s="64" t="s">
        <v>1928</v>
      </c>
      <c r="F341" s="64" t="s">
        <v>986</v>
      </c>
      <c r="G341" s="64" t="s">
        <v>960</v>
      </c>
      <c r="H341" s="64" t="s">
        <v>1929</v>
      </c>
      <c r="I341" s="134" t="n">
        <v>2016</v>
      </c>
      <c r="J341" s="65" t="s">
        <v>1968</v>
      </c>
      <c r="K341" s="65"/>
      <c r="L341" s="101" t="s">
        <v>1969</v>
      </c>
      <c r="M341" s="101" t="s">
        <v>1569</v>
      </c>
      <c r="N341" s="66" t="s">
        <v>1648</v>
      </c>
    </row>
    <row r="342" customFormat="false" ht="14.25" hidden="false" customHeight="false" outlineLevel="0" collapsed="false">
      <c r="A342" s="60" t="n">
        <v>321</v>
      </c>
      <c r="B342" s="114"/>
      <c r="C342" s="133" t="s">
        <v>961</v>
      </c>
      <c r="D342" s="64" t="s">
        <v>394</v>
      </c>
      <c r="E342" s="64" t="s">
        <v>1928</v>
      </c>
      <c r="F342" s="64" t="s">
        <v>986</v>
      </c>
      <c r="G342" s="64" t="s">
        <v>962</v>
      </c>
      <c r="H342" s="64" t="s">
        <v>1929</v>
      </c>
      <c r="I342" s="134" t="n">
        <v>2018</v>
      </c>
      <c r="J342" s="65" t="s">
        <v>1970</v>
      </c>
      <c r="K342" s="65"/>
      <c r="L342" s="65" t="s">
        <v>1971</v>
      </c>
      <c r="M342" s="65" t="s">
        <v>1569</v>
      </c>
      <c r="N342" s="73" t="s">
        <v>1595</v>
      </c>
    </row>
    <row r="343" customFormat="false" ht="14.25" hidden="false" customHeight="false" outlineLevel="0" collapsed="false">
      <c r="A343" s="60" t="n">
        <v>322</v>
      </c>
      <c r="B343" s="114"/>
      <c r="C343" s="133" t="s">
        <v>1090</v>
      </c>
      <c r="D343" s="64" t="s">
        <v>394</v>
      </c>
      <c r="E343" s="64" t="s">
        <v>1928</v>
      </c>
      <c r="F343" s="64" t="s">
        <v>1044</v>
      </c>
      <c r="G343" s="64" t="s">
        <v>1091</v>
      </c>
      <c r="H343" s="64" t="s">
        <v>1929</v>
      </c>
      <c r="I343" s="134" t="n">
        <v>2005</v>
      </c>
      <c r="J343" s="65"/>
      <c r="K343" s="65"/>
      <c r="L343" s="65"/>
      <c r="M343" s="65" t="s">
        <v>1569</v>
      </c>
      <c r="N343" s="66" t="s">
        <v>1595</v>
      </c>
    </row>
    <row r="344" customFormat="false" ht="14.25" hidden="false" customHeight="false" outlineLevel="0" collapsed="false">
      <c r="A344" s="60" t="n">
        <v>323</v>
      </c>
      <c r="B344" s="114"/>
      <c r="C344" s="133" t="s">
        <v>963</v>
      </c>
      <c r="D344" s="64" t="s">
        <v>394</v>
      </c>
      <c r="E344" s="64" t="s">
        <v>1928</v>
      </c>
      <c r="F344" s="64" t="s">
        <v>986</v>
      </c>
      <c r="G344" s="64" t="s">
        <v>1972</v>
      </c>
      <c r="H344" s="64" t="s">
        <v>1929</v>
      </c>
      <c r="I344" s="134" t="n">
        <v>2018</v>
      </c>
      <c r="J344" s="65" t="s">
        <v>1973</v>
      </c>
      <c r="K344" s="65"/>
      <c r="L344" s="65" t="s">
        <v>1974</v>
      </c>
      <c r="M344" s="65" t="s">
        <v>1569</v>
      </c>
      <c r="N344" s="66" t="s">
        <v>1595</v>
      </c>
    </row>
    <row r="345" customFormat="false" ht="14.25" hidden="false" customHeight="false" outlineLevel="0" collapsed="false">
      <c r="A345" s="60" t="n">
        <v>324</v>
      </c>
      <c r="B345" s="114"/>
      <c r="C345" s="133" t="s">
        <v>965</v>
      </c>
      <c r="D345" s="64" t="s">
        <v>394</v>
      </c>
      <c r="E345" s="64" t="s">
        <v>1928</v>
      </c>
      <c r="F345" s="64" t="s">
        <v>986</v>
      </c>
      <c r="G345" s="64" t="s">
        <v>966</v>
      </c>
      <c r="H345" s="64" t="s">
        <v>1929</v>
      </c>
      <c r="I345" s="134" t="n">
        <v>2018</v>
      </c>
      <c r="J345" s="65" t="s">
        <v>1975</v>
      </c>
      <c r="K345" s="65"/>
      <c r="L345" s="65" t="s">
        <v>1976</v>
      </c>
      <c r="M345" s="65" t="s">
        <v>1569</v>
      </c>
      <c r="N345" s="66" t="s">
        <v>1618</v>
      </c>
    </row>
    <row r="346" customFormat="false" ht="14.25" hidden="false" customHeight="false" outlineLevel="0" collapsed="false">
      <c r="A346" s="60" t="n">
        <v>325</v>
      </c>
      <c r="B346" s="114"/>
      <c r="C346" s="133" t="s">
        <v>967</v>
      </c>
      <c r="D346" s="64" t="s">
        <v>394</v>
      </c>
      <c r="E346" s="64" t="s">
        <v>1928</v>
      </c>
      <c r="F346" s="64" t="s">
        <v>986</v>
      </c>
      <c r="G346" s="64" t="s">
        <v>968</v>
      </c>
      <c r="H346" s="64" t="s">
        <v>1929</v>
      </c>
      <c r="I346" s="134" t="n">
        <v>2018</v>
      </c>
      <c r="J346" s="65" t="s">
        <v>1977</v>
      </c>
      <c r="K346" s="65"/>
      <c r="L346" s="101" t="s">
        <v>1978</v>
      </c>
      <c r="M346" s="101" t="s">
        <v>1569</v>
      </c>
      <c r="N346" s="66" t="s">
        <v>1595</v>
      </c>
    </row>
    <row r="347" customFormat="false" ht="14.25" hidden="false" customHeight="false" outlineLevel="0" collapsed="false">
      <c r="A347" s="60" t="n">
        <v>326</v>
      </c>
      <c r="B347" s="114"/>
      <c r="C347" s="133" t="s">
        <v>969</v>
      </c>
      <c r="D347" s="64" t="s">
        <v>394</v>
      </c>
      <c r="E347" s="64" t="s">
        <v>1928</v>
      </c>
      <c r="F347" s="64" t="s">
        <v>986</v>
      </c>
      <c r="G347" s="64" t="s">
        <v>970</v>
      </c>
      <c r="H347" s="64" t="s">
        <v>1929</v>
      </c>
      <c r="I347" s="134" t="n">
        <v>2018</v>
      </c>
      <c r="J347" s="65" t="s">
        <v>1979</v>
      </c>
      <c r="K347" s="65"/>
      <c r="L347" s="65" t="s">
        <v>1980</v>
      </c>
      <c r="M347" s="65" t="s">
        <v>1569</v>
      </c>
      <c r="N347" s="66" t="s">
        <v>1648</v>
      </c>
    </row>
    <row r="348" customFormat="false" ht="14.25" hidden="false" customHeight="false" outlineLevel="0" collapsed="false">
      <c r="A348" s="60" t="n">
        <v>327</v>
      </c>
      <c r="B348" s="114"/>
      <c r="C348" s="133" t="s">
        <v>971</v>
      </c>
      <c r="D348" s="64" t="s">
        <v>394</v>
      </c>
      <c r="E348" s="64" t="s">
        <v>1928</v>
      </c>
      <c r="F348" s="64" t="s">
        <v>986</v>
      </c>
      <c r="G348" s="64" t="s">
        <v>1981</v>
      </c>
      <c r="H348" s="64" t="s">
        <v>1929</v>
      </c>
      <c r="I348" s="134" t="n">
        <v>2018</v>
      </c>
      <c r="J348" s="65" t="s">
        <v>1982</v>
      </c>
      <c r="K348" s="65"/>
      <c r="L348" s="101" t="s">
        <v>1983</v>
      </c>
      <c r="M348" s="101" t="s">
        <v>1569</v>
      </c>
      <c r="N348" s="66" t="s">
        <v>1595</v>
      </c>
    </row>
    <row r="349" customFormat="false" ht="14.25" hidden="false" customHeight="false" outlineLevel="0" collapsed="false">
      <c r="A349" s="60" t="n">
        <v>328</v>
      </c>
      <c r="B349" s="114"/>
      <c r="C349" s="133" t="s">
        <v>973</v>
      </c>
      <c r="D349" s="64" t="s">
        <v>394</v>
      </c>
      <c r="E349" s="64" t="s">
        <v>1928</v>
      </c>
      <c r="F349" s="64" t="s">
        <v>986</v>
      </c>
      <c r="G349" s="64" t="s">
        <v>1984</v>
      </c>
      <c r="H349" s="64" t="s">
        <v>1929</v>
      </c>
      <c r="I349" s="134" t="n">
        <v>2018</v>
      </c>
      <c r="J349" s="65" t="s">
        <v>1985</v>
      </c>
      <c r="K349" s="65"/>
      <c r="L349" s="101" t="s">
        <v>1986</v>
      </c>
      <c r="M349" s="101" t="s">
        <v>1684</v>
      </c>
      <c r="N349" s="66" t="s">
        <v>1768</v>
      </c>
    </row>
    <row r="350" customFormat="false" ht="14.25" hidden="false" customHeight="false" outlineLevel="0" collapsed="false">
      <c r="A350" s="60" t="n">
        <v>329</v>
      </c>
      <c r="B350" s="114"/>
      <c r="C350" s="133" t="s">
        <v>977</v>
      </c>
      <c r="D350" s="64" t="s">
        <v>394</v>
      </c>
      <c r="E350" s="64" t="s">
        <v>1928</v>
      </c>
      <c r="F350" s="64" t="s">
        <v>986</v>
      </c>
      <c r="G350" s="64" t="s">
        <v>1987</v>
      </c>
      <c r="H350" s="64" t="s">
        <v>1929</v>
      </c>
      <c r="I350" s="134" t="n">
        <v>2018</v>
      </c>
      <c r="J350" s="65" t="s">
        <v>1988</v>
      </c>
      <c r="K350" s="65"/>
      <c r="L350" s="101" t="s">
        <v>1989</v>
      </c>
      <c r="M350" s="101" t="s">
        <v>1684</v>
      </c>
      <c r="N350" s="66" t="s">
        <v>1595</v>
      </c>
    </row>
    <row r="351" customFormat="false" ht="14.25" hidden="false" customHeight="false" outlineLevel="0" collapsed="false">
      <c r="A351" s="60" t="n">
        <v>330</v>
      </c>
      <c r="B351" s="114"/>
      <c r="C351" s="133" t="s">
        <v>979</v>
      </c>
      <c r="D351" s="64" t="s">
        <v>394</v>
      </c>
      <c r="E351" s="64" t="s">
        <v>1928</v>
      </c>
      <c r="F351" s="64" t="s">
        <v>986</v>
      </c>
      <c r="G351" s="64" t="s">
        <v>1990</v>
      </c>
      <c r="H351" s="64" t="s">
        <v>1929</v>
      </c>
      <c r="I351" s="134" t="n">
        <v>2018</v>
      </c>
      <c r="J351" s="65" t="s">
        <v>1991</v>
      </c>
      <c r="K351" s="65"/>
      <c r="L351" s="65" t="s">
        <v>1992</v>
      </c>
      <c r="M351" s="65" t="s">
        <v>1569</v>
      </c>
      <c r="N351" s="66" t="s">
        <v>1697</v>
      </c>
    </row>
    <row r="352" customFormat="false" ht="14.25" hidden="false" customHeight="false" outlineLevel="0" collapsed="false">
      <c r="A352" s="60" t="n">
        <v>331</v>
      </c>
      <c r="B352" s="114"/>
      <c r="C352" s="133" t="s">
        <v>918</v>
      </c>
      <c r="D352" s="64" t="s">
        <v>394</v>
      </c>
      <c r="E352" s="64" t="s">
        <v>1928</v>
      </c>
      <c r="F352" s="64" t="s">
        <v>919</v>
      </c>
      <c r="G352" s="118" t="s">
        <v>920</v>
      </c>
      <c r="H352" s="64" t="s">
        <v>1993</v>
      </c>
      <c r="I352" s="134" t="n">
        <v>2021</v>
      </c>
      <c r="J352" s="65" t="s">
        <v>1994</v>
      </c>
      <c r="K352" s="65"/>
      <c r="L352" s="65" t="n">
        <v>12963876312</v>
      </c>
      <c r="M352" s="65" t="s">
        <v>1569</v>
      </c>
      <c r="N352" s="66" t="s">
        <v>1648</v>
      </c>
    </row>
    <row r="353" customFormat="false" ht="14.25" hidden="false" customHeight="false" outlineLevel="0" collapsed="false">
      <c r="A353" s="60" t="n">
        <v>332</v>
      </c>
      <c r="B353" s="114"/>
      <c r="C353" s="133" t="s">
        <v>981</v>
      </c>
      <c r="D353" s="64" t="s">
        <v>394</v>
      </c>
      <c r="E353" s="64" t="s">
        <v>1928</v>
      </c>
      <c r="F353" s="64" t="s">
        <v>919</v>
      </c>
      <c r="G353" s="118" t="s">
        <v>982</v>
      </c>
      <c r="H353" s="64" t="s">
        <v>1993</v>
      </c>
      <c r="I353" s="134" t="n">
        <v>2021</v>
      </c>
      <c r="J353" s="65" t="s">
        <v>1995</v>
      </c>
      <c r="K353" s="65"/>
      <c r="L353" s="65" t="n">
        <v>12963876304</v>
      </c>
      <c r="M353" s="65" t="s">
        <v>1684</v>
      </c>
      <c r="N353" s="66" t="s">
        <v>1618</v>
      </c>
    </row>
    <row r="354" customFormat="false" ht="14.25" hidden="false" customHeight="false" outlineLevel="0" collapsed="false">
      <c r="A354" s="60" t="n">
        <v>333</v>
      </c>
      <c r="B354" s="114"/>
      <c r="C354" s="133" t="s">
        <v>988</v>
      </c>
      <c r="D354" s="64" t="s">
        <v>394</v>
      </c>
      <c r="E354" s="64" t="s">
        <v>1928</v>
      </c>
      <c r="F354" s="64" t="s">
        <v>919</v>
      </c>
      <c r="G354" s="118" t="s">
        <v>989</v>
      </c>
      <c r="H354" s="64" t="s">
        <v>1993</v>
      </c>
      <c r="I354" s="134" t="n">
        <v>2021</v>
      </c>
      <c r="J354" s="65" t="s">
        <v>1996</v>
      </c>
      <c r="K354" s="65"/>
      <c r="L354" s="65" t="n">
        <v>12963876315</v>
      </c>
      <c r="M354" s="65" t="s">
        <v>1569</v>
      </c>
      <c r="N354" s="66" t="s">
        <v>1601</v>
      </c>
    </row>
    <row r="355" customFormat="false" ht="14.25" hidden="false" customHeight="false" outlineLevel="0" collapsed="false">
      <c r="A355" s="60" t="n">
        <v>334</v>
      </c>
      <c r="B355" s="114"/>
      <c r="C355" s="133" t="s">
        <v>990</v>
      </c>
      <c r="D355" s="64" t="s">
        <v>394</v>
      </c>
      <c r="E355" s="64" t="s">
        <v>1928</v>
      </c>
      <c r="F355" s="64" t="s">
        <v>919</v>
      </c>
      <c r="G355" s="118" t="s">
        <v>991</v>
      </c>
      <c r="H355" s="64" t="s">
        <v>1993</v>
      </c>
      <c r="I355" s="134" t="n">
        <v>2021</v>
      </c>
      <c r="J355" s="65" t="s">
        <v>1997</v>
      </c>
      <c r="K355" s="65"/>
      <c r="L355" s="65" t="n">
        <v>12963876153</v>
      </c>
      <c r="M355" s="65" t="s">
        <v>1569</v>
      </c>
      <c r="N355" s="66" t="s">
        <v>1622</v>
      </c>
    </row>
    <row r="356" customFormat="false" ht="14.25" hidden="false" customHeight="false" outlineLevel="0" collapsed="false">
      <c r="A356" s="60" t="n">
        <v>335</v>
      </c>
      <c r="B356" s="114"/>
      <c r="C356" s="133" t="s">
        <v>992</v>
      </c>
      <c r="D356" s="64" t="s">
        <v>394</v>
      </c>
      <c r="E356" s="64" t="s">
        <v>1928</v>
      </c>
      <c r="F356" s="64" t="s">
        <v>919</v>
      </c>
      <c r="G356" s="118" t="s">
        <v>993</v>
      </c>
      <c r="H356" s="64" t="s">
        <v>1993</v>
      </c>
      <c r="I356" s="134" t="n">
        <v>2021</v>
      </c>
      <c r="J356" s="65" t="s">
        <v>1998</v>
      </c>
      <c r="K356" s="65"/>
      <c r="L356" s="65" t="n">
        <v>12963875864</v>
      </c>
      <c r="M356" s="65" t="s">
        <v>1684</v>
      </c>
      <c r="N356" s="66" t="s">
        <v>1601</v>
      </c>
    </row>
    <row r="357" customFormat="false" ht="14.25" hidden="false" customHeight="false" outlineLevel="0" collapsed="false">
      <c r="A357" s="60" t="n">
        <v>336</v>
      </c>
      <c r="B357" s="114"/>
      <c r="C357" s="133" t="s">
        <v>994</v>
      </c>
      <c r="D357" s="64" t="s">
        <v>394</v>
      </c>
      <c r="E357" s="64" t="s">
        <v>1928</v>
      </c>
      <c r="F357" s="64" t="s">
        <v>919</v>
      </c>
      <c r="G357" s="118" t="s">
        <v>995</v>
      </c>
      <c r="H357" s="64" t="s">
        <v>1993</v>
      </c>
      <c r="I357" s="134" t="n">
        <v>2021</v>
      </c>
      <c r="J357" s="65" t="s">
        <v>1999</v>
      </c>
      <c r="K357" s="65"/>
      <c r="L357" s="65" t="n">
        <v>12963875865</v>
      </c>
      <c r="M357" s="65" t="s">
        <v>1684</v>
      </c>
      <c r="N357" s="66" t="s">
        <v>1648</v>
      </c>
    </row>
    <row r="358" customFormat="false" ht="14.25" hidden="false" customHeight="false" outlineLevel="0" collapsed="false">
      <c r="A358" s="60" t="n">
        <v>337</v>
      </c>
      <c r="B358" s="114"/>
      <c r="C358" s="133" t="s">
        <v>996</v>
      </c>
      <c r="D358" s="64" t="s">
        <v>394</v>
      </c>
      <c r="E358" s="64" t="s">
        <v>1928</v>
      </c>
      <c r="F358" s="64" t="s">
        <v>919</v>
      </c>
      <c r="G358" s="118" t="s">
        <v>997</v>
      </c>
      <c r="H358" s="64" t="s">
        <v>1993</v>
      </c>
      <c r="I358" s="134" t="n">
        <v>2021</v>
      </c>
      <c r="J358" s="65" t="s">
        <v>2000</v>
      </c>
      <c r="K358" s="65"/>
      <c r="L358" s="65" t="n">
        <v>12963875867</v>
      </c>
      <c r="M358" s="65" t="s">
        <v>1684</v>
      </c>
      <c r="N358" s="66" t="s">
        <v>1648</v>
      </c>
    </row>
    <row r="359" customFormat="false" ht="14.25" hidden="false" customHeight="false" outlineLevel="0" collapsed="false">
      <c r="A359" s="60" t="n">
        <v>338</v>
      </c>
      <c r="B359" s="114"/>
      <c r="C359" s="133" t="s">
        <v>998</v>
      </c>
      <c r="D359" s="64" t="s">
        <v>394</v>
      </c>
      <c r="E359" s="64" t="s">
        <v>1928</v>
      </c>
      <c r="F359" s="64" t="s">
        <v>919</v>
      </c>
      <c r="G359" s="118" t="s">
        <v>999</v>
      </c>
      <c r="H359" s="64" t="s">
        <v>1993</v>
      </c>
      <c r="I359" s="134" t="n">
        <v>2021</v>
      </c>
      <c r="J359" s="65" t="s">
        <v>2001</v>
      </c>
      <c r="K359" s="65"/>
      <c r="L359" s="65" t="n">
        <v>12963875861</v>
      </c>
      <c r="M359" s="65" t="s">
        <v>1569</v>
      </c>
      <c r="N359" s="66" t="s">
        <v>1595</v>
      </c>
    </row>
    <row r="360" customFormat="false" ht="14.25" hidden="false" customHeight="false" outlineLevel="0" collapsed="false">
      <c r="A360" s="60" t="n">
        <v>339</v>
      </c>
      <c r="B360" s="114"/>
      <c r="C360" s="133" t="s">
        <v>1000</v>
      </c>
      <c r="D360" s="64" t="s">
        <v>394</v>
      </c>
      <c r="E360" s="64" t="s">
        <v>1928</v>
      </c>
      <c r="F360" s="64" t="s">
        <v>919</v>
      </c>
      <c r="G360" s="118" t="s">
        <v>1001</v>
      </c>
      <c r="H360" s="64" t="s">
        <v>1993</v>
      </c>
      <c r="I360" s="134" t="n">
        <v>2021</v>
      </c>
      <c r="J360" s="65" t="s">
        <v>2002</v>
      </c>
      <c r="K360" s="65"/>
      <c r="L360" s="65" t="n">
        <v>12963876189</v>
      </c>
      <c r="M360" s="65" t="s">
        <v>1684</v>
      </c>
      <c r="N360" s="66" t="s">
        <v>1710</v>
      </c>
    </row>
    <row r="361" customFormat="false" ht="14.25" hidden="false" customHeight="false" outlineLevel="0" collapsed="false">
      <c r="A361" s="60" t="n">
        <v>340</v>
      </c>
      <c r="B361" s="114"/>
      <c r="C361" s="133" t="s">
        <v>1002</v>
      </c>
      <c r="D361" s="64" t="s">
        <v>394</v>
      </c>
      <c r="E361" s="64" t="s">
        <v>1928</v>
      </c>
      <c r="F361" s="64" t="s">
        <v>919</v>
      </c>
      <c r="G361" s="118" t="s">
        <v>1003</v>
      </c>
      <c r="H361" s="64" t="s">
        <v>1993</v>
      </c>
      <c r="I361" s="134" t="n">
        <v>2021</v>
      </c>
      <c r="J361" s="65" t="s">
        <v>2003</v>
      </c>
      <c r="K361" s="65"/>
      <c r="L361" s="65" t="n">
        <v>12963875863</v>
      </c>
      <c r="M361" s="65" t="s">
        <v>1569</v>
      </c>
      <c r="N361" s="66" t="s">
        <v>1595</v>
      </c>
    </row>
    <row r="362" customFormat="false" ht="14.25" hidden="false" customHeight="false" outlineLevel="0" collapsed="false">
      <c r="A362" s="60" t="n">
        <v>341</v>
      </c>
      <c r="B362" s="114"/>
      <c r="C362" s="133" t="s">
        <v>1004</v>
      </c>
      <c r="D362" s="64" t="s">
        <v>394</v>
      </c>
      <c r="E362" s="64" t="s">
        <v>1928</v>
      </c>
      <c r="F362" s="64" t="s">
        <v>919</v>
      </c>
      <c r="G362" s="118" t="s">
        <v>1005</v>
      </c>
      <c r="H362" s="64" t="s">
        <v>1993</v>
      </c>
      <c r="I362" s="134" t="n">
        <v>2021</v>
      </c>
      <c r="J362" s="65" t="s">
        <v>2004</v>
      </c>
      <c r="K362" s="65"/>
      <c r="L362" s="65" t="n">
        <v>12963876320</v>
      </c>
      <c r="M362" s="65" t="s">
        <v>1684</v>
      </c>
      <c r="N362" s="66" t="s">
        <v>1648</v>
      </c>
    </row>
    <row r="363" customFormat="false" ht="14.25" hidden="false" customHeight="false" outlineLevel="0" collapsed="false">
      <c r="A363" s="60" t="n">
        <v>342</v>
      </c>
      <c r="B363" s="114"/>
      <c r="C363" s="133" t="s">
        <v>1006</v>
      </c>
      <c r="D363" s="64" t="s">
        <v>394</v>
      </c>
      <c r="E363" s="64" t="s">
        <v>1928</v>
      </c>
      <c r="F363" s="64" t="s">
        <v>919</v>
      </c>
      <c r="G363" s="118" t="s">
        <v>1007</v>
      </c>
      <c r="H363" s="64" t="s">
        <v>1993</v>
      </c>
      <c r="I363" s="134" t="n">
        <v>2021</v>
      </c>
      <c r="J363" s="65" t="s">
        <v>2005</v>
      </c>
      <c r="K363" s="65"/>
      <c r="L363" s="65" t="n">
        <v>12963876316</v>
      </c>
      <c r="M363" s="65" t="s">
        <v>1684</v>
      </c>
      <c r="N363" s="66" t="s">
        <v>1648</v>
      </c>
    </row>
    <row r="364" customFormat="false" ht="14.25" hidden="false" customHeight="false" outlineLevel="0" collapsed="false">
      <c r="A364" s="60" t="n">
        <v>343</v>
      </c>
      <c r="B364" s="114"/>
      <c r="C364" s="133" t="s">
        <v>1014</v>
      </c>
      <c r="D364" s="64" t="s">
        <v>394</v>
      </c>
      <c r="E364" s="64" t="s">
        <v>1928</v>
      </c>
      <c r="F364" s="64" t="s">
        <v>919</v>
      </c>
      <c r="G364" s="118" t="s">
        <v>1015</v>
      </c>
      <c r="H364" s="64" t="s">
        <v>1993</v>
      </c>
      <c r="I364" s="134" t="n">
        <v>2021</v>
      </c>
      <c r="J364" s="65" t="s">
        <v>2006</v>
      </c>
      <c r="K364" s="65"/>
      <c r="L364" s="65" t="n">
        <v>12963876154</v>
      </c>
      <c r="M364" s="65" t="s">
        <v>1569</v>
      </c>
      <c r="N364" s="73" t="s">
        <v>1595</v>
      </c>
    </row>
    <row r="365" customFormat="false" ht="14.25" hidden="false" customHeight="false" outlineLevel="0" collapsed="false">
      <c r="A365" s="60" t="n">
        <v>344</v>
      </c>
      <c r="B365" s="114"/>
      <c r="C365" s="133" t="s">
        <v>1016</v>
      </c>
      <c r="D365" s="64" t="s">
        <v>394</v>
      </c>
      <c r="E365" s="64" t="s">
        <v>1928</v>
      </c>
      <c r="F365" s="64" t="s">
        <v>919</v>
      </c>
      <c r="G365" s="64" t="s">
        <v>1017</v>
      </c>
      <c r="H365" s="64" t="s">
        <v>1993</v>
      </c>
      <c r="I365" s="134" t="n">
        <v>2021</v>
      </c>
      <c r="J365" s="65" t="s">
        <v>2007</v>
      </c>
      <c r="K365" s="65"/>
      <c r="L365" s="65" t="n">
        <v>12963876152</v>
      </c>
      <c r="M365" s="65" t="s">
        <v>1684</v>
      </c>
      <c r="N365" s="66" t="s">
        <v>1622</v>
      </c>
    </row>
    <row r="366" customFormat="false" ht="14.25" hidden="false" customHeight="false" outlineLevel="0" collapsed="false">
      <c r="A366" s="60" t="n">
        <v>345</v>
      </c>
      <c r="B366" s="114"/>
      <c r="C366" s="133" t="s">
        <v>1018</v>
      </c>
      <c r="D366" s="64" t="s">
        <v>394</v>
      </c>
      <c r="E366" s="64" t="s">
        <v>1928</v>
      </c>
      <c r="F366" s="64" t="s">
        <v>919</v>
      </c>
      <c r="G366" s="118" t="s">
        <v>1019</v>
      </c>
      <c r="H366" s="64" t="s">
        <v>1993</v>
      </c>
      <c r="I366" s="134" t="n">
        <v>2021</v>
      </c>
      <c r="J366" s="65" t="s">
        <v>2008</v>
      </c>
      <c r="K366" s="65"/>
      <c r="L366" s="65" t="n">
        <v>12963875862</v>
      </c>
      <c r="M366" s="65" t="s">
        <v>1569</v>
      </c>
      <c r="N366" s="66" t="s">
        <v>1648</v>
      </c>
    </row>
    <row r="367" customFormat="false" ht="14.25" hidden="false" customHeight="false" outlineLevel="0" collapsed="false">
      <c r="A367" s="60" t="n">
        <v>346</v>
      </c>
      <c r="B367" s="114"/>
      <c r="C367" s="133" t="s">
        <v>1020</v>
      </c>
      <c r="D367" s="64" t="s">
        <v>394</v>
      </c>
      <c r="E367" s="64" t="s">
        <v>1928</v>
      </c>
      <c r="F367" s="64" t="s">
        <v>919</v>
      </c>
      <c r="G367" s="133" t="s">
        <v>1021</v>
      </c>
      <c r="H367" s="64" t="s">
        <v>1993</v>
      </c>
      <c r="I367" s="134" t="n">
        <v>2021</v>
      </c>
      <c r="J367" s="65" t="s">
        <v>2009</v>
      </c>
      <c r="K367" s="65"/>
      <c r="L367" s="65" t="s">
        <v>2010</v>
      </c>
      <c r="M367" s="65" t="s">
        <v>1684</v>
      </c>
      <c r="N367" s="66" t="s">
        <v>1710</v>
      </c>
    </row>
    <row r="368" customFormat="false" ht="14.25" hidden="false" customHeight="false" outlineLevel="0" collapsed="false">
      <c r="A368" s="60" t="n">
        <v>347</v>
      </c>
      <c r="B368" s="114"/>
      <c r="C368" s="133" t="s">
        <v>1022</v>
      </c>
      <c r="D368" s="64" t="s">
        <v>394</v>
      </c>
      <c r="E368" s="64" t="s">
        <v>1928</v>
      </c>
      <c r="F368" s="64" t="s">
        <v>919</v>
      </c>
      <c r="G368" s="133" t="s">
        <v>1023</v>
      </c>
      <c r="H368" s="64" t="s">
        <v>1993</v>
      </c>
      <c r="I368" s="134" t="n">
        <v>2021</v>
      </c>
      <c r="J368" s="65" t="s">
        <v>2011</v>
      </c>
      <c r="K368" s="65"/>
      <c r="L368" s="65" t="s">
        <v>2012</v>
      </c>
      <c r="M368" s="65" t="s">
        <v>1569</v>
      </c>
      <c r="N368" s="66" t="s">
        <v>1601</v>
      </c>
    </row>
    <row r="369" customFormat="false" ht="14.25" hidden="false" customHeight="false" outlineLevel="0" collapsed="false">
      <c r="A369" s="60" t="n">
        <v>348</v>
      </c>
      <c r="B369" s="114"/>
      <c r="C369" s="133" t="s">
        <v>1024</v>
      </c>
      <c r="D369" s="64" t="s">
        <v>394</v>
      </c>
      <c r="E369" s="64" t="s">
        <v>1928</v>
      </c>
      <c r="F369" s="64" t="s">
        <v>919</v>
      </c>
      <c r="G369" s="133" t="s">
        <v>1025</v>
      </c>
      <c r="H369" s="64" t="s">
        <v>1993</v>
      </c>
      <c r="I369" s="134" t="n">
        <v>2021</v>
      </c>
      <c r="J369" s="65" t="s">
        <v>2013</v>
      </c>
      <c r="K369" s="65"/>
      <c r="L369" s="65" t="s">
        <v>2014</v>
      </c>
      <c r="M369" s="65" t="s">
        <v>1684</v>
      </c>
      <c r="N369" s="66" t="s">
        <v>1595</v>
      </c>
    </row>
    <row r="370" customFormat="false" ht="14.25" hidden="false" customHeight="false" outlineLevel="0" collapsed="false">
      <c r="A370" s="60" t="n">
        <v>349</v>
      </c>
      <c r="B370" s="114"/>
      <c r="C370" s="133" t="s">
        <v>1026</v>
      </c>
      <c r="D370" s="64" t="s">
        <v>394</v>
      </c>
      <c r="E370" s="64" t="s">
        <v>1928</v>
      </c>
      <c r="F370" s="64" t="s">
        <v>919</v>
      </c>
      <c r="G370" s="133" t="s">
        <v>1027</v>
      </c>
      <c r="H370" s="64" t="s">
        <v>1993</v>
      </c>
      <c r="I370" s="134" t="n">
        <v>2021</v>
      </c>
      <c r="J370" s="65" t="s">
        <v>2015</v>
      </c>
      <c r="K370" s="65"/>
      <c r="L370" s="65" t="s">
        <v>2016</v>
      </c>
      <c r="M370" s="65" t="s">
        <v>1569</v>
      </c>
      <c r="N370" s="66" t="s">
        <v>1648</v>
      </c>
    </row>
    <row r="371" customFormat="false" ht="14.25" hidden="false" customHeight="false" outlineLevel="0" collapsed="false">
      <c r="A371" s="60" t="n">
        <v>350</v>
      </c>
      <c r="B371" s="114"/>
      <c r="C371" s="133" t="s">
        <v>1028</v>
      </c>
      <c r="D371" s="64" t="s">
        <v>394</v>
      </c>
      <c r="E371" s="64" t="s">
        <v>1928</v>
      </c>
      <c r="F371" s="64" t="s">
        <v>919</v>
      </c>
      <c r="G371" s="133" t="s">
        <v>1029</v>
      </c>
      <c r="H371" s="64" t="s">
        <v>1993</v>
      </c>
      <c r="I371" s="134" t="n">
        <v>2021</v>
      </c>
      <c r="J371" s="65" t="s">
        <v>2017</v>
      </c>
      <c r="K371" s="65"/>
      <c r="L371" s="65" t="s">
        <v>2018</v>
      </c>
      <c r="M371" s="65" t="s">
        <v>1684</v>
      </c>
      <c r="N371" s="66" t="s">
        <v>1601</v>
      </c>
    </row>
    <row r="372" customFormat="false" ht="14.25" hidden="false" customHeight="false" outlineLevel="0" collapsed="false">
      <c r="A372" s="60" t="n">
        <v>351</v>
      </c>
      <c r="B372" s="114"/>
      <c r="C372" s="133" t="s">
        <v>1030</v>
      </c>
      <c r="D372" s="64" t="s">
        <v>394</v>
      </c>
      <c r="E372" s="64" t="s">
        <v>1928</v>
      </c>
      <c r="F372" s="64" t="s">
        <v>919</v>
      </c>
      <c r="G372" s="133" t="s">
        <v>1031</v>
      </c>
      <c r="H372" s="64" t="s">
        <v>1993</v>
      </c>
      <c r="I372" s="134" t="n">
        <v>2021</v>
      </c>
      <c r="J372" s="65" t="s">
        <v>2019</v>
      </c>
      <c r="K372" s="65"/>
      <c r="L372" s="65" t="s">
        <v>2020</v>
      </c>
      <c r="M372" s="65" t="s">
        <v>1569</v>
      </c>
      <c r="N372" s="66" t="s">
        <v>2021</v>
      </c>
    </row>
    <row r="373" customFormat="false" ht="14.25" hidden="false" customHeight="false" outlineLevel="0" collapsed="false">
      <c r="A373" s="60" t="n">
        <v>352</v>
      </c>
      <c r="B373" s="114"/>
      <c r="C373" s="133" t="s">
        <v>1034</v>
      </c>
      <c r="D373" s="64" t="s">
        <v>394</v>
      </c>
      <c r="E373" s="64" t="s">
        <v>1928</v>
      </c>
      <c r="F373" s="64" t="s">
        <v>919</v>
      </c>
      <c r="G373" s="133" t="s">
        <v>1035</v>
      </c>
      <c r="H373" s="64" t="s">
        <v>1993</v>
      </c>
      <c r="I373" s="134" t="n">
        <v>2021</v>
      </c>
      <c r="J373" s="65" t="s">
        <v>2022</v>
      </c>
      <c r="K373" s="65"/>
      <c r="L373" s="65" t="s">
        <v>2023</v>
      </c>
      <c r="M373" s="65" t="s">
        <v>1569</v>
      </c>
      <c r="N373" s="66" t="s">
        <v>1648</v>
      </c>
    </row>
    <row r="374" customFormat="false" ht="14.25" hidden="false" customHeight="false" outlineLevel="0" collapsed="false">
      <c r="A374" s="60" t="n">
        <v>353</v>
      </c>
      <c r="B374" s="114"/>
      <c r="C374" s="133" t="s">
        <v>1036</v>
      </c>
      <c r="D374" s="64" t="s">
        <v>394</v>
      </c>
      <c r="E374" s="64" t="s">
        <v>1928</v>
      </c>
      <c r="F374" s="64" t="s">
        <v>919</v>
      </c>
      <c r="G374" s="118" t="s">
        <v>1037</v>
      </c>
      <c r="H374" s="64" t="s">
        <v>1993</v>
      </c>
      <c r="I374" s="134" t="n">
        <v>2021</v>
      </c>
      <c r="J374" s="65" t="s">
        <v>2024</v>
      </c>
      <c r="K374" s="65"/>
      <c r="L374" s="65" t="s">
        <v>2025</v>
      </c>
      <c r="M374" s="65" t="s">
        <v>1684</v>
      </c>
      <c r="N374" s="66" t="s">
        <v>1598</v>
      </c>
    </row>
    <row r="375" customFormat="false" ht="14.25" hidden="false" customHeight="false" outlineLevel="0" collapsed="false">
      <c r="A375" s="60" t="n">
        <v>354</v>
      </c>
      <c r="B375" s="114"/>
      <c r="C375" s="133" t="s">
        <v>1057</v>
      </c>
      <c r="D375" s="64" t="s">
        <v>394</v>
      </c>
      <c r="E375" s="64" t="s">
        <v>1928</v>
      </c>
      <c r="F375" s="64" t="s">
        <v>919</v>
      </c>
      <c r="G375" s="133" t="s">
        <v>1058</v>
      </c>
      <c r="H375" s="64" t="s">
        <v>1993</v>
      </c>
      <c r="I375" s="134" t="n">
        <v>2021</v>
      </c>
      <c r="J375" s="65" t="s">
        <v>2026</v>
      </c>
      <c r="K375" s="65"/>
      <c r="L375" s="65" t="s">
        <v>2027</v>
      </c>
      <c r="M375" s="65" t="s">
        <v>1684</v>
      </c>
      <c r="N375" s="66" t="s">
        <v>1648</v>
      </c>
    </row>
    <row r="376" customFormat="false" ht="14.25" hidden="false" customHeight="false" outlineLevel="0" collapsed="false">
      <c r="A376" s="60" t="n">
        <v>355</v>
      </c>
      <c r="B376" s="114"/>
      <c r="C376" s="133" t="s">
        <v>1062</v>
      </c>
      <c r="D376" s="64" t="s">
        <v>394</v>
      </c>
      <c r="E376" s="64" t="s">
        <v>1928</v>
      </c>
      <c r="F376" s="64" t="s">
        <v>919</v>
      </c>
      <c r="G376" s="64" t="s">
        <v>1063</v>
      </c>
      <c r="H376" s="64" t="s">
        <v>1993</v>
      </c>
      <c r="I376" s="134" t="n">
        <v>2021</v>
      </c>
      <c r="J376" s="65" t="s">
        <v>2028</v>
      </c>
      <c r="K376" s="65"/>
      <c r="L376" s="65" t="s">
        <v>2029</v>
      </c>
      <c r="M376" s="65" t="s">
        <v>1569</v>
      </c>
      <c r="N376" s="66" t="s">
        <v>1648</v>
      </c>
    </row>
    <row r="377" customFormat="false" ht="14.25" hidden="false" customHeight="false" outlineLevel="0" collapsed="false">
      <c r="A377" s="74"/>
      <c r="B377" s="112"/>
      <c r="C377" s="139"/>
      <c r="D377" s="140"/>
      <c r="E377" s="141"/>
      <c r="F377" s="141"/>
      <c r="G377" s="141"/>
      <c r="H377" s="141"/>
      <c r="I377" s="142"/>
      <c r="J377" s="73"/>
      <c r="K377" s="73"/>
      <c r="L377" s="73"/>
      <c r="M377" s="73"/>
      <c r="N377" s="73"/>
    </row>
    <row r="378" customFormat="false" ht="14.25" hidden="false" customHeight="false" outlineLevel="0" collapsed="false">
      <c r="A378" s="107" t="n">
        <v>356</v>
      </c>
      <c r="B378" s="108" t="s">
        <v>2030</v>
      </c>
      <c r="C378" s="144" t="s">
        <v>762</v>
      </c>
      <c r="D378" s="115" t="s">
        <v>425</v>
      </c>
      <c r="E378" s="115" t="s">
        <v>1847</v>
      </c>
      <c r="F378" s="115" t="s">
        <v>763</v>
      </c>
      <c r="G378" s="115" t="s">
        <v>764</v>
      </c>
      <c r="H378" s="115" t="s">
        <v>2031</v>
      </c>
      <c r="I378" s="116" t="n">
        <v>1995</v>
      </c>
      <c r="J378" s="106" t="s">
        <v>2032</v>
      </c>
      <c r="K378" s="106" t="s">
        <v>2032</v>
      </c>
      <c r="L378" s="106"/>
      <c r="M378" s="106" t="s">
        <v>1569</v>
      </c>
      <c r="N378" s="66" t="s">
        <v>1783</v>
      </c>
    </row>
    <row r="379" customFormat="false" ht="14.25" hidden="false" customHeight="false" outlineLevel="0" collapsed="false">
      <c r="A379" s="107" t="n">
        <v>357</v>
      </c>
      <c r="B379" s="108"/>
      <c r="C379" s="144" t="s">
        <v>760</v>
      </c>
      <c r="D379" s="115" t="s">
        <v>742</v>
      </c>
      <c r="E379" s="115" t="s">
        <v>2033</v>
      </c>
      <c r="F379" s="115"/>
      <c r="G379" s="115" t="s">
        <v>761</v>
      </c>
      <c r="H379" s="115" t="s">
        <v>2034</v>
      </c>
      <c r="I379" s="116" t="n">
        <v>1996</v>
      </c>
      <c r="J379" s="106"/>
      <c r="K379" s="106"/>
      <c r="L379" s="106"/>
      <c r="M379" s="106" t="s">
        <v>1684</v>
      </c>
      <c r="N379" s="66" t="s">
        <v>1595</v>
      </c>
    </row>
    <row r="380" customFormat="false" ht="14.25" hidden="false" customHeight="false" outlineLevel="0" collapsed="false">
      <c r="A380" s="107" t="n">
        <v>358</v>
      </c>
      <c r="B380" s="108"/>
      <c r="C380" s="144" t="s">
        <v>746</v>
      </c>
      <c r="D380" s="115" t="s">
        <v>394</v>
      </c>
      <c r="E380" s="115" t="s">
        <v>1847</v>
      </c>
      <c r="F380" s="115" t="s">
        <v>747</v>
      </c>
      <c r="G380" s="115" t="s">
        <v>749</v>
      </c>
      <c r="H380" s="115" t="s">
        <v>2035</v>
      </c>
      <c r="I380" s="116" t="n">
        <v>2011</v>
      </c>
      <c r="J380" s="106"/>
      <c r="K380" s="106"/>
      <c r="L380" s="106"/>
      <c r="M380" s="106" t="s">
        <v>1684</v>
      </c>
      <c r="N380" s="66" t="s">
        <v>1783</v>
      </c>
    </row>
    <row r="381" customFormat="false" ht="14.25" hidden="false" customHeight="false" outlineLevel="0" collapsed="false">
      <c r="A381" s="107" t="n">
        <v>359</v>
      </c>
      <c r="B381" s="108"/>
      <c r="C381" s="144" t="s">
        <v>743</v>
      </c>
      <c r="D381" s="115" t="s">
        <v>742</v>
      </c>
      <c r="E381" s="115" t="s">
        <v>2033</v>
      </c>
      <c r="F381" s="115" t="s">
        <v>744</v>
      </c>
      <c r="G381" s="115" t="s">
        <v>745</v>
      </c>
      <c r="H381" s="115" t="s">
        <v>2036</v>
      </c>
      <c r="I381" s="116" t="n">
        <v>2012</v>
      </c>
      <c r="J381" s="106"/>
      <c r="K381" s="106"/>
      <c r="L381" s="106"/>
      <c r="M381" s="106" t="s">
        <v>1684</v>
      </c>
      <c r="N381" s="66" t="s">
        <v>1595</v>
      </c>
    </row>
    <row r="382" customFormat="false" ht="14.25" hidden="false" customHeight="false" outlineLevel="0" collapsed="false">
      <c r="A382" s="107" t="n">
        <v>360</v>
      </c>
      <c r="B382" s="108"/>
      <c r="C382" s="144" t="s">
        <v>739</v>
      </c>
      <c r="D382" s="115" t="s">
        <v>738</v>
      </c>
      <c r="E382" s="115" t="s">
        <v>1847</v>
      </c>
      <c r="F382" s="115" t="s">
        <v>740</v>
      </c>
      <c r="G382" s="115" t="s">
        <v>741</v>
      </c>
      <c r="H382" s="115" t="s">
        <v>2037</v>
      </c>
      <c r="I382" s="116" t="n">
        <v>2016</v>
      </c>
      <c r="J382" s="88" t="s">
        <v>2038</v>
      </c>
      <c r="K382" s="106"/>
      <c r="L382" s="89" t="s">
        <v>2039</v>
      </c>
      <c r="M382" s="89" t="s">
        <v>1684</v>
      </c>
      <c r="N382" s="66" t="s">
        <v>1595</v>
      </c>
    </row>
    <row r="383" customFormat="false" ht="14.25" hidden="false" customHeight="false" outlineLevel="0" collapsed="false">
      <c r="A383" s="107" t="n">
        <v>361</v>
      </c>
      <c r="B383" s="108"/>
      <c r="C383" s="144" t="s">
        <v>757</v>
      </c>
      <c r="D383" s="115" t="s">
        <v>738</v>
      </c>
      <c r="E383" s="115" t="s">
        <v>1847</v>
      </c>
      <c r="F383" s="115" t="s">
        <v>758</v>
      </c>
      <c r="G383" s="115" t="s">
        <v>759</v>
      </c>
      <c r="H383" s="115" t="s">
        <v>2040</v>
      </c>
      <c r="I383" s="116" t="n">
        <v>1998</v>
      </c>
      <c r="J383" s="106"/>
      <c r="K383" s="106"/>
      <c r="L383" s="106"/>
      <c r="M383" s="106" t="s">
        <v>1569</v>
      </c>
      <c r="N383" s="66" t="s">
        <v>1595</v>
      </c>
    </row>
    <row r="384" customFormat="false" ht="14.25" hidden="false" customHeight="false" outlineLevel="0" collapsed="false">
      <c r="A384" s="107" t="n">
        <v>362</v>
      </c>
      <c r="B384" s="108"/>
      <c r="C384" s="144" t="s">
        <v>754</v>
      </c>
      <c r="D384" s="115" t="s">
        <v>753</v>
      </c>
      <c r="E384" s="115" t="s">
        <v>1847</v>
      </c>
      <c r="F384" s="115" t="s">
        <v>755</v>
      </c>
      <c r="G384" s="115" t="s">
        <v>756</v>
      </c>
      <c r="H384" s="115" t="s">
        <v>2041</v>
      </c>
      <c r="I384" s="116" t="n">
        <v>2008</v>
      </c>
      <c r="J384" s="106"/>
      <c r="K384" s="106"/>
      <c r="L384" s="106"/>
      <c r="M384" s="106" t="s">
        <v>1569</v>
      </c>
      <c r="N384" s="66" t="s">
        <v>1595</v>
      </c>
    </row>
    <row r="385" customFormat="false" ht="14.25" hidden="false" customHeight="false" outlineLevel="0" collapsed="false">
      <c r="A385" s="74"/>
      <c r="B385" s="112"/>
      <c r="C385" s="139"/>
      <c r="D385" s="140"/>
      <c r="E385" s="141"/>
      <c r="F385" s="141"/>
      <c r="G385" s="141"/>
      <c r="H385" s="141"/>
      <c r="I385" s="142"/>
      <c r="J385" s="73"/>
      <c r="K385" s="73"/>
      <c r="L385" s="73"/>
      <c r="M385" s="73"/>
      <c r="N385" s="73"/>
    </row>
    <row r="386" customFormat="false" ht="14.25" hidden="false" customHeight="false" outlineLevel="0" collapsed="false">
      <c r="A386" s="60" t="n">
        <v>363</v>
      </c>
      <c r="B386" s="114" t="s">
        <v>2042</v>
      </c>
      <c r="C386" s="133"/>
      <c r="D386" s="64" t="s">
        <v>1107</v>
      </c>
      <c r="E386" s="64" t="s">
        <v>135</v>
      </c>
      <c r="F386" s="64" t="s">
        <v>1110</v>
      </c>
      <c r="G386" s="64" t="s">
        <v>1111</v>
      </c>
      <c r="H386" s="64"/>
      <c r="I386" s="134" t="n">
        <v>2003</v>
      </c>
      <c r="J386" s="65"/>
      <c r="K386" s="65"/>
      <c r="L386" s="65"/>
      <c r="M386" s="65" t="s">
        <v>1569</v>
      </c>
      <c r="N386" s="66" t="s">
        <v>1595</v>
      </c>
    </row>
    <row r="387" customFormat="false" ht="14.25" hidden="false" customHeight="false" outlineLevel="0" collapsed="false">
      <c r="A387" s="60" t="n">
        <v>364</v>
      </c>
      <c r="B387" s="114"/>
      <c r="C387" s="133"/>
      <c r="D387" s="64" t="s">
        <v>1107</v>
      </c>
      <c r="E387" s="64" t="s">
        <v>135</v>
      </c>
      <c r="F387" s="64" t="s">
        <v>1108</v>
      </c>
      <c r="G387" s="64" t="s">
        <v>1109</v>
      </c>
      <c r="H387" s="64"/>
      <c r="I387" s="134" t="n">
        <v>2011</v>
      </c>
      <c r="J387" s="65"/>
      <c r="K387" s="65"/>
      <c r="L387" s="65"/>
      <c r="M387" s="65" t="s">
        <v>1569</v>
      </c>
      <c r="N387" s="66" t="s">
        <v>1595</v>
      </c>
    </row>
    <row r="388" customFormat="false" ht="14.25" hidden="false" customHeight="false" outlineLevel="0" collapsed="false">
      <c r="A388" s="60" t="n">
        <v>365</v>
      </c>
      <c r="B388" s="114"/>
      <c r="C388" s="133"/>
      <c r="D388" s="64"/>
      <c r="E388" s="64" t="s">
        <v>135</v>
      </c>
      <c r="F388" s="64"/>
      <c r="G388" s="64" t="s">
        <v>1112</v>
      </c>
      <c r="H388" s="64"/>
      <c r="I388" s="134"/>
      <c r="J388" s="65"/>
      <c r="K388" s="65"/>
      <c r="L388" s="65"/>
      <c r="M388" s="65" t="s">
        <v>1569</v>
      </c>
      <c r="N388" s="66" t="s">
        <v>1595</v>
      </c>
    </row>
    <row r="389" customFormat="false" ht="14.25" hidden="false" customHeight="false" outlineLevel="0" collapsed="false">
      <c r="A389" s="74"/>
      <c r="B389" s="112"/>
      <c r="C389" s="75"/>
      <c r="D389" s="77"/>
      <c r="E389" s="141"/>
      <c r="F389" s="141"/>
      <c r="G389" s="141"/>
      <c r="H389" s="141"/>
      <c r="I389" s="142"/>
      <c r="J389" s="73"/>
      <c r="K389" s="73"/>
      <c r="L389" s="73"/>
      <c r="M389" s="73"/>
      <c r="N389" s="73"/>
    </row>
    <row r="390" customFormat="false" ht="14.25" hidden="false" customHeight="false" outlineLevel="0" collapsed="false">
      <c r="A390" s="107" t="n">
        <v>366</v>
      </c>
      <c r="B390" s="108" t="s">
        <v>1113</v>
      </c>
      <c r="C390" s="144" t="s">
        <v>1116</v>
      </c>
      <c r="D390" s="115" t="s">
        <v>394</v>
      </c>
      <c r="E390" s="115" t="s">
        <v>137</v>
      </c>
      <c r="F390" s="115" t="s">
        <v>913</v>
      </c>
      <c r="G390" s="115" t="s">
        <v>1117</v>
      </c>
      <c r="H390" s="115" t="s">
        <v>2043</v>
      </c>
      <c r="I390" s="116" t="n">
        <v>2005</v>
      </c>
      <c r="J390" s="106"/>
      <c r="K390" s="106"/>
      <c r="L390" s="106"/>
      <c r="M390" s="106" t="s">
        <v>1569</v>
      </c>
      <c r="N390" s="66" t="s">
        <v>1595</v>
      </c>
    </row>
    <row r="391" customFormat="false" ht="14.25" hidden="false" customHeight="false" outlineLevel="0" collapsed="false">
      <c r="A391" s="107" t="n">
        <v>367</v>
      </c>
      <c r="B391" s="108"/>
      <c r="C391" s="103" t="s">
        <v>1120</v>
      </c>
      <c r="D391" s="104" t="s">
        <v>425</v>
      </c>
      <c r="E391" s="104" t="s">
        <v>1828</v>
      </c>
      <c r="F391" s="115" t="s">
        <v>913</v>
      </c>
      <c r="G391" s="104" t="s">
        <v>1121</v>
      </c>
      <c r="H391" s="104" t="s">
        <v>1823</v>
      </c>
      <c r="I391" s="105" t="n">
        <v>1990</v>
      </c>
      <c r="J391" s="106"/>
      <c r="K391" s="106"/>
      <c r="L391" s="106"/>
      <c r="M391" s="106" t="s">
        <v>1569</v>
      </c>
      <c r="N391" s="66" t="s">
        <v>1618</v>
      </c>
    </row>
    <row r="392" customFormat="false" ht="14.25" hidden="false" customHeight="false" outlineLevel="0" collapsed="false">
      <c r="A392" s="107" t="n">
        <v>368</v>
      </c>
      <c r="B392" s="108"/>
      <c r="C392" s="144" t="s">
        <v>1123</v>
      </c>
      <c r="D392" s="115" t="s">
        <v>1122</v>
      </c>
      <c r="E392" s="115" t="s">
        <v>137</v>
      </c>
      <c r="F392" s="115" t="s">
        <v>531</v>
      </c>
      <c r="G392" s="115" t="s">
        <v>1124</v>
      </c>
      <c r="H392" s="115" t="s">
        <v>2044</v>
      </c>
      <c r="I392" s="116"/>
      <c r="J392" s="106"/>
      <c r="K392" s="106"/>
      <c r="L392" s="106"/>
      <c r="M392" s="106" t="s">
        <v>1569</v>
      </c>
      <c r="N392" s="66" t="s">
        <v>1595</v>
      </c>
    </row>
    <row r="393" customFormat="false" ht="14.25" hidden="false" customHeight="false" outlineLevel="0" collapsed="false">
      <c r="A393" s="107" t="n">
        <v>369</v>
      </c>
      <c r="B393" s="108"/>
      <c r="C393" s="144" t="s">
        <v>1114</v>
      </c>
      <c r="D393" s="115" t="s">
        <v>425</v>
      </c>
      <c r="E393" s="115" t="s">
        <v>137</v>
      </c>
      <c r="F393" s="115"/>
      <c r="G393" s="115" t="s">
        <v>1115</v>
      </c>
      <c r="H393" s="115" t="s">
        <v>2045</v>
      </c>
      <c r="I393" s="116" t="n">
        <v>2005</v>
      </c>
      <c r="J393" s="106"/>
      <c r="K393" s="106" t="s">
        <v>2046</v>
      </c>
      <c r="L393" s="106"/>
      <c r="M393" s="106" t="s">
        <v>1569</v>
      </c>
      <c r="N393" s="66" t="s">
        <v>1622</v>
      </c>
    </row>
    <row r="394" customFormat="false" ht="14.25" hidden="false" customHeight="false" outlineLevel="0" collapsed="false">
      <c r="A394" s="107" t="n">
        <v>370</v>
      </c>
      <c r="B394" s="108"/>
      <c r="C394" s="144" t="s">
        <v>1118</v>
      </c>
      <c r="D394" s="115" t="s">
        <v>394</v>
      </c>
      <c r="E394" s="115" t="s">
        <v>137</v>
      </c>
      <c r="F394" s="115"/>
      <c r="G394" s="115" t="s">
        <v>1119</v>
      </c>
      <c r="H394" s="115"/>
      <c r="I394" s="116"/>
      <c r="J394" s="106"/>
      <c r="K394" s="106"/>
      <c r="L394" s="106"/>
      <c r="M394" s="106" t="s">
        <v>1569</v>
      </c>
      <c r="N394" s="66" t="s">
        <v>1648</v>
      </c>
    </row>
    <row r="395" customFormat="false" ht="14.25" hidden="false" customHeight="false" outlineLevel="0" collapsed="false">
      <c r="A395" s="74"/>
      <c r="B395" s="112"/>
      <c r="C395" s="75"/>
      <c r="D395" s="76"/>
      <c r="E395" s="77"/>
      <c r="F395" s="78"/>
      <c r="G395" s="78"/>
      <c r="H395" s="79"/>
      <c r="I395" s="79"/>
      <c r="J395" s="73"/>
      <c r="K395" s="73"/>
      <c r="L395" s="73"/>
      <c r="M395" s="73"/>
      <c r="N395" s="73"/>
    </row>
    <row r="396" customFormat="false" ht="14.25" hidden="false" customHeight="false" outlineLevel="0" collapsed="false">
      <c r="A396" s="60" t="n">
        <v>371</v>
      </c>
      <c r="B396" s="114" t="s">
        <v>2047</v>
      </c>
      <c r="C396" s="62" t="s">
        <v>1171</v>
      </c>
      <c r="D396" s="63" t="s">
        <v>676</v>
      </c>
      <c r="E396" s="63" t="s">
        <v>139</v>
      </c>
      <c r="F396" s="63" t="s">
        <v>1172</v>
      </c>
      <c r="G396" s="63"/>
      <c r="H396" s="63" t="n">
        <v>220</v>
      </c>
      <c r="I396" s="63" t="n">
        <v>2013</v>
      </c>
      <c r="J396" s="65" t="n">
        <v>75768</v>
      </c>
      <c r="K396" s="65"/>
      <c r="L396" s="65"/>
      <c r="M396" s="65" t="s">
        <v>1569</v>
      </c>
      <c r="N396" s="66" t="s">
        <v>1648</v>
      </c>
    </row>
    <row r="397" s="53" customFormat="true" ht="14.25" hidden="false" customHeight="false" outlineLevel="0" collapsed="false">
      <c r="A397" s="90" t="n">
        <v>372</v>
      </c>
      <c r="B397" s="114"/>
      <c r="C397" s="91" t="s">
        <v>1185</v>
      </c>
      <c r="D397" s="93" t="s">
        <v>369</v>
      </c>
      <c r="E397" s="93" t="s">
        <v>139</v>
      </c>
      <c r="F397" s="93" t="s">
        <v>1181</v>
      </c>
      <c r="G397" s="93"/>
      <c r="H397" s="93" t="n">
        <v>100</v>
      </c>
      <c r="I397" s="93" t="n">
        <v>2010</v>
      </c>
      <c r="J397" s="96"/>
      <c r="K397" s="96"/>
      <c r="L397" s="96"/>
      <c r="M397" s="96" t="s">
        <v>1569</v>
      </c>
      <c r="N397" s="96" t="s">
        <v>1701</v>
      </c>
    </row>
    <row r="398" customFormat="false" ht="14.25" hidden="false" customHeight="false" outlineLevel="0" collapsed="false">
      <c r="A398" s="60" t="n">
        <v>373</v>
      </c>
      <c r="B398" s="114"/>
      <c r="C398" s="62" t="s">
        <v>1183</v>
      </c>
      <c r="D398" s="63" t="s">
        <v>1182</v>
      </c>
      <c r="E398" s="63" t="s">
        <v>139</v>
      </c>
      <c r="F398" s="63" t="s">
        <v>1184</v>
      </c>
      <c r="G398" s="63"/>
      <c r="H398" s="63" t="n">
        <v>120</v>
      </c>
      <c r="I398" s="63" t="n">
        <v>2010</v>
      </c>
      <c r="J398" s="65"/>
      <c r="K398" s="65"/>
      <c r="L398" s="65"/>
      <c r="M398" s="65" t="s">
        <v>1569</v>
      </c>
      <c r="N398" s="66" t="s">
        <v>1595</v>
      </c>
    </row>
    <row r="399" customFormat="false" ht="14.25" hidden="false" customHeight="false" outlineLevel="0" collapsed="false">
      <c r="A399" s="60" t="n">
        <v>374</v>
      </c>
      <c r="B399" s="114"/>
      <c r="C399" s="62" t="s">
        <v>1180</v>
      </c>
      <c r="D399" s="63" t="s">
        <v>369</v>
      </c>
      <c r="E399" s="63" t="s">
        <v>139</v>
      </c>
      <c r="F399" s="63" t="s">
        <v>1181</v>
      </c>
      <c r="G399" s="63"/>
      <c r="H399" s="63" t="n">
        <v>100</v>
      </c>
      <c r="I399" s="63" t="n">
        <v>2011</v>
      </c>
      <c r="J399" s="65"/>
      <c r="K399" s="65"/>
      <c r="L399" s="65"/>
      <c r="M399" s="65" t="s">
        <v>1569</v>
      </c>
      <c r="N399" s="66" t="s">
        <v>1595</v>
      </c>
    </row>
    <row r="400" customFormat="false" ht="14.25" hidden="false" customHeight="false" outlineLevel="0" collapsed="false">
      <c r="A400" s="60" t="n">
        <v>375</v>
      </c>
      <c r="B400" s="114"/>
      <c r="C400" s="62" t="s">
        <v>1188</v>
      </c>
      <c r="D400" s="63" t="s">
        <v>369</v>
      </c>
      <c r="E400" s="63" t="s">
        <v>139</v>
      </c>
      <c r="F400" s="63" t="s">
        <v>1189</v>
      </c>
      <c r="G400" s="63"/>
      <c r="H400" s="63" t="n">
        <v>60</v>
      </c>
      <c r="I400" s="63" t="n">
        <v>2009</v>
      </c>
      <c r="J400" s="65"/>
      <c r="K400" s="65"/>
      <c r="L400" s="65"/>
      <c r="M400" s="65" t="s">
        <v>1569</v>
      </c>
      <c r="N400" s="66" t="s">
        <v>1595</v>
      </c>
    </row>
    <row r="401" s="53" customFormat="true" ht="14.25" hidden="false" customHeight="false" outlineLevel="0" collapsed="false">
      <c r="A401" s="90" t="n">
        <v>376</v>
      </c>
      <c r="B401" s="114"/>
      <c r="C401" s="91" t="s">
        <v>1191</v>
      </c>
      <c r="D401" s="93" t="s">
        <v>369</v>
      </c>
      <c r="E401" s="93" t="s">
        <v>139</v>
      </c>
      <c r="F401" s="93" t="s">
        <v>1192</v>
      </c>
      <c r="G401" s="93"/>
      <c r="H401" s="93" t="n">
        <v>40</v>
      </c>
      <c r="I401" s="93" t="n">
        <v>2009</v>
      </c>
      <c r="J401" s="96"/>
      <c r="K401" s="96"/>
      <c r="L401" s="96"/>
      <c r="M401" s="96" t="s">
        <v>1569</v>
      </c>
      <c r="N401" s="96" t="s">
        <v>1701</v>
      </c>
    </row>
    <row r="402" customFormat="false" ht="14.25" hidden="false" customHeight="false" outlineLevel="0" collapsed="false">
      <c r="A402" s="60" t="n">
        <v>377</v>
      </c>
      <c r="B402" s="114"/>
      <c r="C402" s="62" t="s">
        <v>1161</v>
      </c>
      <c r="D402" s="63" t="s">
        <v>1147</v>
      </c>
      <c r="E402" s="63" t="s">
        <v>139</v>
      </c>
      <c r="F402" s="63" t="s">
        <v>1162</v>
      </c>
      <c r="G402" s="63"/>
      <c r="H402" s="63" t="s">
        <v>2048</v>
      </c>
      <c r="I402" s="63" t="n">
        <v>2014</v>
      </c>
      <c r="J402" s="65"/>
      <c r="K402" s="65"/>
      <c r="L402" s="65"/>
      <c r="M402" s="65" t="s">
        <v>1569</v>
      </c>
      <c r="N402" s="66" t="s">
        <v>1595</v>
      </c>
    </row>
    <row r="403" s="53" customFormat="true" ht="14.25" hidden="false" customHeight="false" outlineLevel="0" collapsed="false">
      <c r="A403" s="90" t="n">
        <v>378</v>
      </c>
      <c r="B403" s="114"/>
      <c r="C403" s="91" t="s">
        <v>1194</v>
      </c>
      <c r="D403" s="93" t="s">
        <v>369</v>
      </c>
      <c r="E403" s="93" t="s">
        <v>139</v>
      </c>
      <c r="F403" s="93" t="s">
        <v>1195</v>
      </c>
      <c r="G403" s="93"/>
      <c r="H403" s="93" t="n">
        <v>30</v>
      </c>
      <c r="I403" s="93" t="n">
        <v>2009</v>
      </c>
      <c r="J403" s="96"/>
      <c r="K403" s="96"/>
      <c r="L403" s="96"/>
      <c r="M403" s="96" t="s">
        <v>1569</v>
      </c>
      <c r="N403" s="96" t="s">
        <v>1701</v>
      </c>
    </row>
    <row r="404" s="53" customFormat="true" ht="14.25" hidden="false" customHeight="false" outlineLevel="0" collapsed="false">
      <c r="A404" s="90" t="n">
        <v>379</v>
      </c>
      <c r="B404" s="114"/>
      <c r="C404" s="91" t="s">
        <v>1200</v>
      </c>
      <c r="D404" s="93"/>
      <c r="E404" s="93" t="s">
        <v>139</v>
      </c>
      <c r="F404" s="93"/>
      <c r="G404" s="93"/>
      <c r="H404" s="93" t="n">
        <v>40</v>
      </c>
      <c r="I404" s="93"/>
      <c r="J404" s="96"/>
      <c r="K404" s="96"/>
      <c r="L404" s="96"/>
      <c r="M404" s="96" t="s">
        <v>1569</v>
      </c>
      <c r="N404" s="96" t="s">
        <v>1701</v>
      </c>
    </row>
    <row r="405" s="53" customFormat="true" ht="14.25" hidden="false" customHeight="false" outlineLevel="0" collapsed="false">
      <c r="A405" s="90" t="n">
        <v>380</v>
      </c>
      <c r="B405" s="114"/>
      <c r="C405" s="91" t="s">
        <v>1186</v>
      </c>
      <c r="D405" s="93" t="s">
        <v>1168</v>
      </c>
      <c r="E405" s="93" t="s">
        <v>139</v>
      </c>
      <c r="F405" s="93" t="s">
        <v>1187</v>
      </c>
      <c r="G405" s="93"/>
      <c r="H405" s="93" t="n">
        <v>30</v>
      </c>
      <c r="I405" s="93" t="n">
        <v>2010</v>
      </c>
      <c r="J405" s="96"/>
      <c r="K405" s="96"/>
      <c r="L405" s="96"/>
      <c r="M405" s="96" t="s">
        <v>1569</v>
      </c>
      <c r="N405" s="96" t="s">
        <v>1701</v>
      </c>
    </row>
    <row r="406" s="53" customFormat="true" ht="14.25" hidden="false" customHeight="false" outlineLevel="0" collapsed="false">
      <c r="A406" s="90" t="n">
        <v>381</v>
      </c>
      <c r="B406" s="114"/>
      <c r="C406" s="91" t="s">
        <v>1150</v>
      </c>
      <c r="D406" s="93" t="s">
        <v>386</v>
      </c>
      <c r="E406" s="93" t="s">
        <v>139</v>
      </c>
      <c r="F406" s="93" t="s">
        <v>2049</v>
      </c>
      <c r="G406" s="93"/>
      <c r="H406" s="93" t="n">
        <v>40</v>
      </c>
      <c r="I406" s="93" t="n">
        <v>2014</v>
      </c>
      <c r="J406" s="96"/>
      <c r="K406" s="96"/>
      <c r="L406" s="96"/>
      <c r="M406" s="96" t="s">
        <v>1569</v>
      </c>
      <c r="N406" s="96" t="s">
        <v>1701</v>
      </c>
    </row>
    <row r="407" customFormat="false" ht="14.25" hidden="false" customHeight="false" outlineLevel="0" collapsed="false">
      <c r="A407" s="60" t="n">
        <v>382</v>
      </c>
      <c r="B407" s="114"/>
      <c r="C407" s="62" t="s">
        <v>1169</v>
      </c>
      <c r="D407" s="63" t="s">
        <v>1168</v>
      </c>
      <c r="E407" s="63" t="s">
        <v>139</v>
      </c>
      <c r="F407" s="63" t="s">
        <v>1170</v>
      </c>
      <c r="G407" s="63"/>
      <c r="H407" s="63" t="n">
        <v>40</v>
      </c>
      <c r="I407" s="63" t="n">
        <v>2013</v>
      </c>
      <c r="J407" s="65"/>
      <c r="K407" s="65"/>
      <c r="L407" s="65"/>
      <c r="M407" s="65" t="s">
        <v>1569</v>
      </c>
      <c r="N407" s="66" t="s">
        <v>1595</v>
      </c>
    </row>
    <row r="408" customFormat="false" ht="14.25" hidden="false" customHeight="false" outlineLevel="0" collapsed="false">
      <c r="A408" s="60" t="n">
        <v>383</v>
      </c>
      <c r="B408" s="114"/>
      <c r="C408" s="62" t="s">
        <v>1206</v>
      </c>
      <c r="D408" s="63" t="s">
        <v>2050</v>
      </c>
      <c r="E408" s="63" t="s">
        <v>139</v>
      </c>
      <c r="F408" s="63" t="s">
        <v>1207</v>
      </c>
      <c r="G408" s="63"/>
      <c r="H408" s="63" t="n">
        <v>220</v>
      </c>
      <c r="I408" s="63"/>
      <c r="J408" s="65" t="s">
        <v>2051</v>
      </c>
      <c r="K408" s="65"/>
      <c r="L408" s="65" t="s">
        <v>2052</v>
      </c>
      <c r="M408" s="65" t="s">
        <v>1569</v>
      </c>
      <c r="N408" s="66" t="s">
        <v>1783</v>
      </c>
    </row>
    <row r="409" customFormat="false" ht="14.25" hidden="false" customHeight="false" outlineLevel="0" collapsed="false">
      <c r="A409" s="60" t="n">
        <v>384</v>
      </c>
      <c r="B409" s="114"/>
      <c r="C409" s="62" t="s">
        <v>1158</v>
      </c>
      <c r="D409" s="63" t="s">
        <v>1157</v>
      </c>
      <c r="E409" s="63" t="s">
        <v>139</v>
      </c>
      <c r="F409" s="63" t="s">
        <v>1159</v>
      </c>
      <c r="G409" s="63"/>
      <c r="H409" s="63" t="n">
        <v>30</v>
      </c>
      <c r="I409" s="63" t="n">
        <v>2014</v>
      </c>
      <c r="J409" s="65"/>
      <c r="K409" s="65"/>
      <c r="L409" s="65"/>
      <c r="M409" s="65" t="s">
        <v>1569</v>
      </c>
      <c r="N409" s="66" t="s">
        <v>1630</v>
      </c>
    </row>
    <row r="410" customFormat="false" ht="14.25" hidden="false" customHeight="false" outlineLevel="0" collapsed="false">
      <c r="A410" s="60" t="n">
        <v>385</v>
      </c>
      <c r="B410" s="114"/>
      <c r="C410" s="62" t="s">
        <v>1196</v>
      </c>
      <c r="D410" s="63" t="s">
        <v>369</v>
      </c>
      <c r="E410" s="63" t="s">
        <v>139</v>
      </c>
      <c r="F410" s="63" t="s">
        <v>1197</v>
      </c>
      <c r="G410" s="63"/>
      <c r="H410" s="63" t="n">
        <v>120</v>
      </c>
      <c r="I410" s="63" t="n">
        <v>2009</v>
      </c>
      <c r="J410" s="65"/>
      <c r="K410" s="65"/>
      <c r="L410" s="65"/>
      <c r="M410" s="65" t="s">
        <v>1569</v>
      </c>
      <c r="N410" s="66" t="s">
        <v>1911</v>
      </c>
    </row>
    <row r="411" customFormat="false" ht="14.25" hidden="false" customHeight="false" outlineLevel="0" collapsed="false">
      <c r="A411" s="60" t="n">
        <v>386</v>
      </c>
      <c r="B411" s="114"/>
      <c r="C411" s="62" t="s">
        <v>1198</v>
      </c>
      <c r="D411" s="63" t="s">
        <v>369</v>
      </c>
      <c r="E411" s="63" t="s">
        <v>139</v>
      </c>
      <c r="F411" s="63" t="s">
        <v>1199</v>
      </c>
      <c r="G411" s="63"/>
      <c r="H411" s="63" t="n">
        <v>40</v>
      </c>
      <c r="I411" s="63" t="n">
        <v>2009</v>
      </c>
      <c r="J411" s="65"/>
      <c r="K411" s="65"/>
      <c r="L411" s="65"/>
      <c r="M411" s="65" t="s">
        <v>1569</v>
      </c>
      <c r="N411" s="66" t="s">
        <v>1595</v>
      </c>
    </row>
    <row r="412" customFormat="false" ht="14.25" hidden="false" customHeight="false" outlineLevel="0" collapsed="false">
      <c r="A412" s="60" t="n">
        <v>387</v>
      </c>
      <c r="B412" s="114"/>
      <c r="C412" s="62" t="s">
        <v>1174</v>
      </c>
      <c r="D412" s="63" t="s">
        <v>1147</v>
      </c>
      <c r="E412" s="63" t="s">
        <v>139</v>
      </c>
      <c r="F412" s="63" t="s">
        <v>1175</v>
      </c>
      <c r="G412" s="63"/>
      <c r="H412" s="63" t="n">
        <v>120</v>
      </c>
      <c r="I412" s="63" t="n">
        <v>2012</v>
      </c>
      <c r="J412" s="65"/>
      <c r="K412" s="65"/>
      <c r="L412" s="65"/>
      <c r="M412" s="65" t="s">
        <v>1569</v>
      </c>
      <c r="N412" s="66" t="s">
        <v>1595</v>
      </c>
    </row>
    <row r="413" customFormat="false" ht="14.25" hidden="false" customHeight="false" outlineLevel="0" collapsed="false">
      <c r="A413" s="60" t="n">
        <v>388</v>
      </c>
      <c r="B413" s="114"/>
      <c r="C413" s="62" t="s">
        <v>1154</v>
      </c>
      <c r="D413" s="63" t="s">
        <v>1153</v>
      </c>
      <c r="E413" s="63" t="s">
        <v>139</v>
      </c>
      <c r="F413" s="63" t="s">
        <v>1155</v>
      </c>
      <c r="G413" s="63"/>
      <c r="H413" s="63" t="n">
        <v>120</v>
      </c>
      <c r="I413" s="63" t="n">
        <v>2014</v>
      </c>
      <c r="J413" s="65"/>
      <c r="K413" s="65"/>
      <c r="L413" s="65"/>
      <c r="M413" s="65" t="s">
        <v>1569</v>
      </c>
      <c r="N413" s="66" t="s">
        <v>1910</v>
      </c>
    </row>
    <row r="414" customFormat="false" ht="14.25" hidden="false" customHeight="false" outlineLevel="0" collapsed="false">
      <c r="A414" s="60" t="n">
        <v>389</v>
      </c>
      <c r="B414" s="114"/>
      <c r="C414" s="62" t="s">
        <v>1148</v>
      </c>
      <c r="D414" s="63" t="s">
        <v>1147</v>
      </c>
      <c r="E414" s="63" t="s">
        <v>139</v>
      </c>
      <c r="F414" s="63" t="n">
        <v>200</v>
      </c>
      <c r="G414" s="63"/>
      <c r="H414" s="63" t="n">
        <v>200</v>
      </c>
      <c r="I414" s="63" t="n">
        <v>2015</v>
      </c>
      <c r="J414" s="65"/>
      <c r="K414" s="65"/>
      <c r="L414" s="65"/>
      <c r="M414" s="65" t="s">
        <v>1569</v>
      </c>
      <c r="N414" s="66" t="s">
        <v>1722</v>
      </c>
    </row>
    <row r="415" customFormat="false" ht="14.25" hidden="false" customHeight="false" outlineLevel="0" collapsed="false">
      <c r="A415" s="60" t="n">
        <v>390</v>
      </c>
      <c r="B415" s="114"/>
      <c r="C415" s="62" t="s">
        <v>1176</v>
      </c>
      <c r="D415" s="63" t="s">
        <v>369</v>
      </c>
      <c r="E415" s="63" t="s">
        <v>139</v>
      </c>
      <c r="F415" s="63" t="s">
        <v>1177</v>
      </c>
      <c r="G415" s="63"/>
      <c r="H415" s="63" t="n">
        <v>40</v>
      </c>
      <c r="I415" s="63" t="n">
        <v>2012</v>
      </c>
      <c r="J415" s="65"/>
      <c r="K415" s="65"/>
      <c r="L415" s="65"/>
      <c r="M415" s="65" t="s">
        <v>1569</v>
      </c>
      <c r="N415" s="66" t="s">
        <v>1588</v>
      </c>
    </row>
    <row r="416" s="53" customFormat="true" ht="14.25" hidden="false" customHeight="false" outlineLevel="0" collapsed="false">
      <c r="A416" s="90" t="n">
        <v>391</v>
      </c>
      <c r="B416" s="114"/>
      <c r="C416" s="91" t="s">
        <v>1136</v>
      </c>
      <c r="D416" s="93" t="s">
        <v>2050</v>
      </c>
      <c r="E416" s="93" t="s">
        <v>139</v>
      </c>
      <c r="F416" s="93" t="s">
        <v>1137</v>
      </c>
      <c r="G416" s="93" t="n">
        <v>14160</v>
      </c>
      <c r="H416" s="93" t="n">
        <v>220</v>
      </c>
      <c r="I416" s="93" t="n">
        <v>2017</v>
      </c>
      <c r="J416" s="96"/>
      <c r="K416" s="96"/>
      <c r="L416" s="96"/>
      <c r="M416" s="96" t="s">
        <v>1569</v>
      </c>
      <c r="N416" s="96" t="s">
        <v>1701</v>
      </c>
    </row>
    <row r="417" customFormat="false" ht="14.25" hidden="false" customHeight="false" outlineLevel="0" collapsed="false">
      <c r="A417" s="60" t="n">
        <v>392</v>
      </c>
      <c r="B417" s="114"/>
      <c r="C417" s="62" t="s">
        <v>1201</v>
      </c>
      <c r="D417" s="63" t="s">
        <v>2050</v>
      </c>
      <c r="E417" s="63" t="s">
        <v>139</v>
      </c>
      <c r="F417" s="63" t="s">
        <v>1137</v>
      </c>
      <c r="G417" s="63"/>
      <c r="H417" s="63" t="n">
        <v>230</v>
      </c>
      <c r="I417" s="63" t="n">
        <v>2017</v>
      </c>
      <c r="J417" s="65" t="s">
        <v>2053</v>
      </c>
      <c r="K417" s="65"/>
      <c r="L417" s="65"/>
      <c r="M417" s="65" t="s">
        <v>1569</v>
      </c>
      <c r="N417" s="66" t="s">
        <v>1595</v>
      </c>
    </row>
    <row r="418" customFormat="false" ht="14.25" hidden="false" customHeight="false" outlineLevel="0" collapsed="false">
      <c r="A418" s="60" t="n">
        <v>393</v>
      </c>
      <c r="B418" s="114"/>
      <c r="C418" s="62" t="s">
        <v>1204</v>
      </c>
      <c r="D418" s="63" t="s">
        <v>2050</v>
      </c>
      <c r="E418" s="63" t="s">
        <v>139</v>
      </c>
      <c r="F418" s="63" t="s">
        <v>1137</v>
      </c>
      <c r="G418" s="63"/>
      <c r="H418" s="63" t="n">
        <v>230</v>
      </c>
      <c r="I418" s="63" t="n">
        <v>2017</v>
      </c>
      <c r="J418" s="65" t="s">
        <v>2054</v>
      </c>
      <c r="K418" s="65"/>
      <c r="L418" s="65"/>
      <c r="M418" s="65" t="s">
        <v>1569</v>
      </c>
      <c r="N418" s="73"/>
    </row>
    <row r="419" customFormat="false" ht="14.25" hidden="false" customHeight="false" outlineLevel="0" collapsed="false">
      <c r="A419" s="60" t="n">
        <v>394</v>
      </c>
      <c r="B419" s="114"/>
      <c r="C419" s="62" t="s">
        <v>1178</v>
      </c>
      <c r="D419" s="63" t="s">
        <v>369</v>
      </c>
      <c r="E419" s="63" t="s">
        <v>139</v>
      </c>
      <c r="F419" s="63" t="s">
        <v>1179</v>
      </c>
      <c r="G419" s="63"/>
      <c r="H419" s="63" t="n">
        <v>60</v>
      </c>
      <c r="I419" s="63" t="n">
        <v>2012</v>
      </c>
      <c r="J419" s="65"/>
      <c r="K419" s="65"/>
      <c r="L419" s="65"/>
      <c r="M419" s="65" t="s">
        <v>1569</v>
      </c>
      <c r="N419" s="66" t="s">
        <v>1595</v>
      </c>
    </row>
    <row r="420" customFormat="false" ht="14.25" hidden="false" customHeight="false" outlineLevel="0" collapsed="false">
      <c r="A420" s="60" t="n">
        <v>395</v>
      </c>
      <c r="B420" s="114"/>
      <c r="C420" s="62" t="s">
        <v>1165</v>
      </c>
      <c r="D420" s="63" t="s">
        <v>386</v>
      </c>
      <c r="E420" s="63" t="s">
        <v>139</v>
      </c>
      <c r="F420" s="63" t="s">
        <v>1166</v>
      </c>
      <c r="G420" s="63"/>
      <c r="H420" s="63" t="n">
        <v>40</v>
      </c>
      <c r="I420" s="63" t="n">
        <v>2013</v>
      </c>
      <c r="J420" s="65"/>
      <c r="K420" s="65"/>
      <c r="L420" s="65"/>
      <c r="M420" s="65" t="s">
        <v>1569</v>
      </c>
      <c r="N420" s="66" t="s">
        <v>1595</v>
      </c>
    </row>
    <row r="421" s="53" customFormat="true" ht="14.25" hidden="false" customHeight="false" outlineLevel="0" collapsed="false">
      <c r="A421" s="90" t="n">
        <v>396</v>
      </c>
      <c r="B421" s="114"/>
      <c r="C421" s="91" t="s">
        <v>1163</v>
      </c>
      <c r="D421" s="93" t="s">
        <v>369</v>
      </c>
      <c r="E421" s="93" t="s">
        <v>139</v>
      </c>
      <c r="F421" s="93" t="s">
        <v>1164</v>
      </c>
      <c r="G421" s="93"/>
      <c r="H421" s="93" t="n">
        <v>30</v>
      </c>
      <c r="I421" s="93" t="n">
        <v>2014</v>
      </c>
      <c r="J421" s="96"/>
      <c r="K421" s="96"/>
      <c r="L421" s="96"/>
      <c r="M421" s="96" t="s">
        <v>1569</v>
      </c>
      <c r="N421" s="96" t="s">
        <v>1701</v>
      </c>
    </row>
    <row r="422" s="53" customFormat="true" ht="14.25" hidden="false" customHeight="false" outlineLevel="0" collapsed="false">
      <c r="A422" s="90" t="n">
        <v>397</v>
      </c>
      <c r="B422" s="114"/>
      <c r="C422" s="91" t="s">
        <v>1140</v>
      </c>
      <c r="D422" s="93" t="s">
        <v>2050</v>
      </c>
      <c r="E422" s="93" t="s">
        <v>139</v>
      </c>
      <c r="F422" s="93" t="s">
        <v>1137</v>
      </c>
      <c r="G422" s="93"/>
      <c r="H422" s="93" t="n">
        <v>230</v>
      </c>
      <c r="I422" s="93" t="n">
        <v>2017</v>
      </c>
      <c r="J422" s="96"/>
      <c r="K422" s="96"/>
      <c r="L422" s="96"/>
      <c r="M422" s="96" t="s">
        <v>1569</v>
      </c>
      <c r="N422" s="96" t="s">
        <v>1701</v>
      </c>
    </row>
    <row r="423" customFormat="false" ht="14.25" hidden="false" customHeight="false" outlineLevel="0" collapsed="false">
      <c r="A423" s="60" t="n">
        <v>398</v>
      </c>
      <c r="B423" s="114"/>
      <c r="C423" s="62" t="s">
        <v>1141</v>
      </c>
      <c r="D423" s="63" t="s">
        <v>2050</v>
      </c>
      <c r="E423" s="63" t="s">
        <v>139</v>
      </c>
      <c r="F423" s="63" t="s">
        <v>1137</v>
      </c>
      <c r="G423" s="63"/>
      <c r="H423" s="63" t="n">
        <v>230</v>
      </c>
      <c r="I423" s="63" t="n">
        <v>2017</v>
      </c>
      <c r="J423" s="65" t="s">
        <v>2055</v>
      </c>
      <c r="K423" s="65"/>
      <c r="L423" s="65"/>
      <c r="M423" s="65" t="s">
        <v>1569</v>
      </c>
      <c r="N423" s="66" t="s">
        <v>2056</v>
      </c>
      <c r="O423" s="152" t="s">
        <v>2057</v>
      </c>
    </row>
    <row r="424" s="53" customFormat="true" ht="14.25" hidden="false" customHeight="false" outlineLevel="0" collapsed="false">
      <c r="A424" s="90" t="n">
        <v>399</v>
      </c>
      <c r="B424" s="114"/>
      <c r="C424" s="91" t="s">
        <v>1144</v>
      </c>
      <c r="D424" s="93" t="s">
        <v>2050</v>
      </c>
      <c r="E424" s="93" t="s">
        <v>139</v>
      </c>
      <c r="F424" s="93" t="s">
        <v>1145</v>
      </c>
      <c r="G424" s="93"/>
      <c r="H424" s="93" t="n">
        <v>230</v>
      </c>
      <c r="I424" s="93" t="n">
        <v>2017</v>
      </c>
      <c r="J424" s="96" t="s">
        <v>2058</v>
      </c>
      <c r="K424" s="96"/>
      <c r="L424" s="96"/>
      <c r="M424" s="96" t="s">
        <v>1569</v>
      </c>
      <c r="N424" s="96" t="s">
        <v>1701</v>
      </c>
    </row>
    <row r="425" s="53" customFormat="true" ht="14.25" hidden="false" customHeight="false" outlineLevel="0" collapsed="false">
      <c r="A425" s="90" t="n">
        <v>400</v>
      </c>
      <c r="B425" s="114"/>
      <c r="C425" s="91" t="s">
        <v>1142</v>
      </c>
      <c r="D425" s="93" t="s">
        <v>2050</v>
      </c>
      <c r="E425" s="93" t="s">
        <v>139</v>
      </c>
      <c r="F425" s="93" t="s">
        <v>1145</v>
      </c>
      <c r="G425" s="93"/>
      <c r="H425" s="93" t="n">
        <v>230</v>
      </c>
      <c r="I425" s="93" t="n">
        <v>2017</v>
      </c>
      <c r="J425" s="96" t="s">
        <v>2059</v>
      </c>
      <c r="K425" s="96"/>
      <c r="L425" s="96"/>
      <c r="M425" s="96" t="s">
        <v>1569</v>
      </c>
      <c r="N425" s="96" t="s">
        <v>1701</v>
      </c>
    </row>
    <row r="426" customFormat="false" ht="14.25" hidden="false" customHeight="false" outlineLevel="0" collapsed="false">
      <c r="A426" s="60" t="n">
        <v>401</v>
      </c>
      <c r="B426" s="114"/>
      <c r="C426" s="62" t="s">
        <v>1133</v>
      </c>
      <c r="D426" s="63" t="s">
        <v>2050</v>
      </c>
      <c r="E426" s="63" t="s">
        <v>139</v>
      </c>
      <c r="F426" s="63" t="s">
        <v>1134</v>
      </c>
      <c r="G426" s="63"/>
      <c r="H426" s="63" t="n">
        <v>55</v>
      </c>
      <c r="I426" s="63" t="n">
        <v>2018</v>
      </c>
      <c r="J426" s="118" t="s">
        <v>2060</v>
      </c>
      <c r="K426" s="65"/>
      <c r="L426" s="65"/>
      <c r="M426" s="65" t="s">
        <v>1569</v>
      </c>
      <c r="N426" s="66" t="s">
        <v>1590</v>
      </c>
    </row>
    <row r="427" customFormat="false" ht="14.25" hidden="false" customHeight="false" outlineLevel="0" collapsed="false">
      <c r="A427" s="60" t="n">
        <v>402</v>
      </c>
      <c r="B427" s="114"/>
      <c r="C427" s="62" t="s">
        <v>1209</v>
      </c>
      <c r="D427" s="63" t="s">
        <v>2050</v>
      </c>
      <c r="E427" s="63" t="s">
        <v>139</v>
      </c>
      <c r="F427" s="63" t="s">
        <v>1210</v>
      </c>
      <c r="G427" s="63"/>
      <c r="H427" s="63" t="n">
        <v>330</v>
      </c>
      <c r="I427" s="63"/>
      <c r="J427" s="65" t="s">
        <v>2061</v>
      </c>
      <c r="K427" s="65"/>
      <c r="L427" s="65"/>
      <c r="M427" s="65" t="s">
        <v>1569</v>
      </c>
      <c r="N427" s="66" t="s">
        <v>1722</v>
      </c>
    </row>
    <row r="428" s="53" customFormat="true" ht="14.25" hidden="false" customHeight="false" outlineLevel="0" collapsed="false">
      <c r="A428" s="90" t="n">
        <v>403</v>
      </c>
      <c r="B428" s="114"/>
      <c r="C428" s="91" t="s">
        <v>1143</v>
      </c>
      <c r="D428" s="93"/>
      <c r="E428" s="93" t="s">
        <v>139</v>
      </c>
      <c r="F428" s="93" t="s">
        <v>1202</v>
      </c>
      <c r="G428" s="93"/>
      <c r="H428" s="93" t="n">
        <v>330</v>
      </c>
      <c r="I428" s="93"/>
      <c r="J428" s="96" t="s">
        <v>2062</v>
      </c>
      <c r="K428" s="96"/>
      <c r="L428" s="96"/>
      <c r="M428" s="96" t="s">
        <v>1569</v>
      </c>
      <c r="N428" s="96" t="s">
        <v>1701</v>
      </c>
    </row>
    <row r="429" customFormat="false" ht="14.25" hidden="false" customHeight="false" outlineLevel="0" collapsed="false">
      <c r="A429" s="60" t="n">
        <v>404</v>
      </c>
      <c r="B429" s="114"/>
      <c r="C429" s="62" t="s">
        <v>1146</v>
      </c>
      <c r="D429" s="63"/>
      <c r="E429" s="63" t="s">
        <v>139</v>
      </c>
      <c r="F429" s="63" t="s">
        <v>1134</v>
      </c>
      <c r="G429" s="63"/>
      <c r="H429" s="63"/>
      <c r="I429" s="63"/>
      <c r="J429" s="118" t="s">
        <v>2063</v>
      </c>
      <c r="K429" s="65"/>
      <c r="L429" s="65"/>
      <c r="M429" s="65" t="s">
        <v>1569</v>
      </c>
      <c r="N429" s="66" t="s">
        <v>1910</v>
      </c>
    </row>
    <row r="430" customFormat="false" ht="14.25" hidden="false" customHeight="false" outlineLevel="0" collapsed="false">
      <c r="A430" s="60" t="n">
        <v>405</v>
      </c>
      <c r="B430" s="114"/>
      <c r="C430" s="62" t="s">
        <v>1216</v>
      </c>
      <c r="D430" s="63" t="s">
        <v>375</v>
      </c>
      <c r="E430" s="63" t="s">
        <v>139</v>
      </c>
      <c r="F430" s="63" t="s">
        <v>1217</v>
      </c>
      <c r="G430" s="63"/>
      <c r="H430" s="63" t="n">
        <v>210</v>
      </c>
      <c r="I430" s="63"/>
      <c r="J430" s="65" t="s">
        <v>2064</v>
      </c>
      <c r="K430" s="65"/>
      <c r="L430" s="65"/>
      <c r="M430" s="65" t="s">
        <v>1569</v>
      </c>
      <c r="N430" s="66" t="s">
        <v>1646</v>
      </c>
    </row>
    <row r="431" customFormat="false" ht="14.25" hidden="false" customHeight="false" outlineLevel="0" collapsed="false">
      <c r="A431" s="60" t="n">
        <v>406</v>
      </c>
      <c r="B431" s="114"/>
      <c r="C431" s="62" t="s">
        <v>1211</v>
      </c>
      <c r="D431" s="118" t="s">
        <v>2050</v>
      </c>
      <c r="E431" s="118" t="s">
        <v>139</v>
      </c>
      <c r="F431" s="118" t="s">
        <v>1212</v>
      </c>
      <c r="G431" s="65"/>
      <c r="H431" s="65"/>
      <c r="I431" s="65"/>
      <c r="J431" s="65"/>
      <c r="K431" s="65"/>
      <c r="L431" s="65"/>
      <c r="M431" s="65" t="s">
        <v>1569</v>
      </c>
      <c r="N431" s="73"/>
    </row>
    <row r="432" customFormat="false" ht="14.25" hidden="false" customHeight="false" outlineLevel="0" collapsed="false">
      <c r="A432" s="60" t="n">
        <v>407</v>
      </c>
      <c r="B432" s="114"/>
      <c r="C432" s="62" t="s">
        <v>1126</v>
      </c>
      <c r="D432" s="153" t="s">
        <v>463</v>
      </c>
      <c r="E432" s="63" t="s">
        <v>139</v>
      </c>
      <c r="F432" s="153" t="s">
        <v>1127</v>
      </c>
      <c r="G432" s="65"/>
      <c r="H432" s="153" t="n">
        <v>220</v>
      </c>
      <c r="I432" s="153" t="n">
        <v>2021</v>
      </c>
      <c r="J432" s="65" t="s">
        <v>2065</v>
      </c>
      <c r="K432" s="65"/>
      <c r="L432" s="65"/>
      <c r="M432" s="65" t="s">
        <v>1569</v>
      </c>
      <c r="N432" s="66" t="s">
        <v>1601</v>
      </c>
    </row>
    <row r="433" customFormat="false" ht="14.25" hidden="false" customHeight="false" outlineLevel="0" collapsed="false">
      <c r="A433" s="60" t="n">
        <v>408</v>
      </c>
      <c r="B433" s="114"/>
      <c r="C433" s="62" t="s">
        <v>1129</v>
      </c>
      <c r="D433" s="153" t="s">
        <v>463</v>
      </c>
      <c r="E433" s="63" t="s">
        <v>139</v>
      </c>
      <c r="F433" s="153" t="s">
        <v>1127</v>
      </c>
      <c r="G433" s="65"/>
      <c r="H433" s="153" t="n">
        <v>220</v>
      </c>
      <c r="I433" s="153" t="n">
        <v>2021</v>
      </c>
      <c r="J433" s="65" t="s">
        <v>2066</v>
      </c>
      <c r="K433" s="65"/>
      <c r="L433" s="65"/>
      <c r="M433" s="65" t="s">
        <v>1569</v>
      </c>
      <c r="N433" s="66" t="s">
        <v>2067</v>
      </c>
    </row>
    <row r="434" customFormat="false" ht="14.25" hidden="false" customHeight="false" outlineLevel="0" collapsed="false">
      <c r="A434" s="60" t="n">
        <v>409</v>
      </c>
      <c r="B434" s="114"/>
      <c r="C434" s="118" t="s">
        <v>1213</v>
      </c>
      <c r="D434" s="153" t="s">
        <v>718</v>
      </c>
      <c r="E434" s="63" t="s">
        <v>139</v>
      </c>
      <c r="F434" s="153" t="s">
        <v>1214</v>
      </c>
      <c r="G434" s="65"/>
      <c r="H434" s="153" t="n">
        <v>120</v>
      </c>
      <c r="I434" s="65"/>
      <c r="J434" s="65" t="s">
        <v>2068</v>
      </c>
      <c r="K434" s="65"/>
      <c r="L434" s="65"/>
      <c r="M434" s="65" t="s">
        <v>1569</v>
      </c>
      <c r="N434" s="73"/>
    </row>
    <row r="435" customFormat="false" ht="14.25" hidden="false" customHeight="false" outlineLevel="0" collapsed="false">
      <c r="A435" s="60" t="n">
        <v>410</v>
      </c>
      <c r="B435" s="114"/>
      <c r="C435" s="118" t="s">
        <v>1130</v>
      </c>
      <c r="D435" s="153" t="s">
        <v>463</v>
      </c>
      <c r="E435" s="63" t="s">
        <v>139</v>
      </c>
      <c r="F435" s="153" t="s">
        <v>1127</v>
      </c>
      <c r="G435" s="65"/>
      <c r="H435" s="153" t="n">
        <v>220</v>
      </c>
      <c r="I435" s="153" t="n">
        <v>2021</v>
      </c>
      <c r="J435" s="65" t="s">
        <v>2069</v>
      </c>
      <c r="K435" s="65"/>
      <c r="L435" s="65"/>
      <c r="M435" s="65" t="s">
        <v>1569</v>
      </c>
      <c r="N435" s="66" t="s">
        <v>1646</v>
      </c>
    </row>
    <row r="436" customFormat="false" ht="14.25" hidden="false" customHeight="false" outlineLevel="0" collapsed="false">
      <c r="A436" s="60" t="n">
        <v>411</v>
      </c>
      <c r="B436" s="114"/>
      <c r="C436" s="118" t="s">
        <v>1131</v>
      </c>
      <c r="D436" s="153" t="s">
        <v>463</v>
      </c>
      <c r="E436" s="63" t="s">
        <v>139</v>
      </c>
      <c r="F436" s="153" t="s">
        <v>1127</v>
      </c>
      <c r="G436" s="65"/>
      <c r="H436" s="153" t="n">
        <v>220</v>
      </c>
      <c r="I436" s="153" t="n">
        <v>2021</v>
      </c>
      <c r="J436" s="65" t="s">
        <v>2070</v>
      </c>
      <c r="K436" s="65"/>
      <c r="L436" s="65"/>
      <c r="M436" s="65" t="s">
        <v>1569</v>
      </c>
      <c r="N436" s="66" t="s">
        <v>1714</v>
      </c>
    </row>
    <row r="437" customFormat="false" ht="14.25" hidden="false" customHeight="false" outlineLevel="0" collapsed="false">
      <c r="A437" s="74"/>
      <c r="B437" s="143"/>
      <c r="C437" s="154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</row>
    <row r="438" customFormat="false" ht="14.25" hidden="false" customHeight="false" outlineLevel="0" collapsed="false">
      <c r="A438" s="60" t="n">
        <v>412</v>
      </c>
      <c r="B438" s="114" t="s">
        <v>2071</v>
      </c>
      <c r="C438" s="63" t="s">
        <v>1230</v>
      </c>
      <c r="D438" s="63" t="s">
        <v>394</v>
      </c>
      <c r="E438" s="63" t="s">
        <v>141</v>
      </c>
      <c r="F438" s="63" t="s">
        <v>1231</v>
      </c>
      <c r="G438" s="63" t="s">
        <v>1232</v>
      </c>
      <c r="H438" s="64" t="s">
        <v>2072</v>
      </c>
      <c r="I438" s="155" t="n">
        <v>1997</v>
      </c>
      <c r="J438" s="73"/>
      <c r="K438" s="73"/>
      <c r="L438" s="73"/>
      <c r="M438" s="73" t="s">
        <v>1569</v>
      </c>
      <c r="N438" s="66" t="s">
        <v>1595</v>
      </c>
    </row>
    <row r="439" customFormat="false" ht="14.25" hidden="false" customHeight="false" outlineLevel="0" collapsed="false">
      <c r="A439" s="60" t="n">
        <v>413</v>
      </c>
      <c r="B439" s="114"/>
      <c r="C439" s="64" t="s">
        <v>1233</v>
      </c>
      <c r="D439" s="64" t="s">
        <v>394</v>
      </c>
      <c r="E439" s="64" t="s">
        <v>141</v>
      </c>
      <c r="F439" s="64" t="s">
        <v>1234</v>
      </c>
      <c r="G439" s="64" t="s">
        <v>1235</v>
      </c>
      <c r="H439" s="64" t="s">
        <v>2072</v>
      </c>
      <c r="I439" s="156" t="n">
        <v>1991</v>
      </c>
      <c r="J439" s="73"/>
      <c r="K439" s="73"/>
      <c r="L439" s="73"/>
      <c r="M439" s="73" t="s">
        <v>1569</v>
      </c>
      <c r="N439" s="66" t="s">
        <v>1595</v>
      </c>
    </row>
    <row r="440" customFormat="false" ht="14.25" hidden="false" customHeight="false" outlineLevel="0" collapsed="false">
      <c r="A440" s="60" t="n">
        <v>414</v>
      </c>
      <c r="B440" s="114"/>
      <c r="C440" s="64" t="s">
        <v>1226</v>
      </c>
      <c r="D440" s="64" t="s">
        <v>416</v>
      </c>
      <c r="E440" s="64" t="s">
        <v>141</v>
      </c>
      <c r="F440" s="64" t="s">
        <v>1088</v>
      </c>
      <c r="G440" s="64" t="s">
        <v>1097</v>
      </c>
      <c r="H440" s="64" t="s">
        <v>2072</v>
      </c>
      <c r="I440" s="156" t="n">
        <v>2003</v>
      </c>
      <c r="J440" s="73"/>
      <c r="K440" s="73"/>
      <c r="L440" s="73"/>
      <c r="M440" s="73" t="s">
        <v>1569</v>
      </c>
      <c r="N440" s="66" t="s">
        <v>1892</v>
      </c>
    </row>
    <row r="441" s="52" customFormat="true" ht="14.25" hidden="false" customHeight="false" outlineLevel="0" collapsed="false">
      <c r="A441" s="126" t="n">
        <v>415</v>
      </c>
      <c r="B441" s="114"/>
      <c r="C441" s="150" t="s">
        <v>1223</v>
      </c>
      <c r="D441" s="150" t="s">
        <v>404</v>
      </c>
      <c r="E441" s="150" t="s">
        <v>141</v>
      </c>
      <c r="F441" s="150" t="s">
        <v>1069</v>
      </c>
      <c r="G441" s="150" t="s">
        <v>1224</v>
      </c>
      <c r="H441" s="150" t="s">
        <v>2072</v>
      </c>
      <c r="I441" s="157" t="n">
        <v>2011</v>
      </c>
      <c r="J441" s="130"/>
      <c r="K441" s="130"/>
      <c r="L441" s="130"/>
      <c r="M441" s="130" t="s">
        <v>1684</v>
      </c>
      <c r="N441" s="130" t="s">
        <v>1595</v>
      </c>
      <c r="O441" s="52" t="s">
        <v>2073</v>
      </c>
    </row>
    <row r="442" s="52" customFormat="true" ht="14.25" hidden="false" customHeight="false" outlineLevel="0" collapsed="false">
      <c r="A442" s="126" t="n">
        <v>416</v>
      </c>
      <c r="B442" s="114"/>
      <c r="C442" s="150" t="s">
        <v>1225</v>
      </c>
      <c r="D442" s="150" t="s">
        <v>416</v>
      </c>
      <c r="E442" s="150" t="s">
        <v>141</v>
      </c>
      <c r="F442" s="150" t="s">
        <v>1088</v>
      </c>
      <c r="G442" s="150" t="s">
        <v>1091</v>
      </c>
      <c r="H442" s="150" t="s">
        <v>2072</v>
      </c>
      <c r="I442" s="157" t="n">
        <v>2005</v>
      </c>
      <c r="J442" s="130"/>
      <c r="K442" s="130"/>
      <c r="L442" s="130"/>
      <c r="M442" s="130" t="s">
        <v>1569</v>
      </c>
      <c r="N442" s="130" t="s">
        <v>1595</v>
      </c>
      <c r="O442" s="52" t="s">
        <v>2073</v>
      </c>
    </row>
    <row r="443" customFormat="false" ht="14.25" hidden="false" customHeight="false" outlineLevel="0" collapsed="false">
      <c r="A443" s="60" t="n">
        <v>417</v>
      </c>
      <c r="B443" s="114"/>
      <c r="C443" s="64" t="s">
        <v>1227</v>
      </c>
      <c r="D443" s="64" t="s">
        <v>416</v>
      </c>
      <c r="E443" s="64" t="s">
        <v>141</v>
      </c>
      <c r="F443" s="64" t="s">
        <v>1228</v>
      </c>
      <c r="G443" s="64" t="s">
        <v>1229</v>
      </c>
      <c r="H443" s="64" t="s">
        <v>2072</v>
      </c>
      <c r="I443" s="156" t="n">
        <v>2000</v>
      </c>
      <c r="J443" s="73"/>
      <c r="K443" s="73"/>
      <c r="L443" s="73"/>
      <c r="M443" s="73" t="s">
        <v>1569</v>
      </c>
      <c r="N443" s="73"/>
    </row>
    <row r="444" customFormat="false" ht="14.25" hidden="false" customHeight="false" outlineLevel="0" collapsed="false">
      <c r="A444" s="60" t="n">
        <v>418</v>
      </c>
      <c r="B444" s="114"/>
      <c r="C444" s="64" t="s">
        <v>1236</v>
      </c>
      <c r="D444" s="64"/>
      <c r="E444" s="64" t="s">
        <v>141</v>
      </c>
      <c r="F444" s="64"/>
      <c r="G444" s="64"/>
      <c r="H444" s="64"/>
      <c r="I444" s="158"/>
      <c r="J444" s="73"/>
      <c r="K444" s="73"/>
      <c r="L444" s="73"/>
      <c r="M444" s="73" t="s">
        <v>1569</v>
      </c>
      <c r="N444" s="66" t="s">
        <v>1595</v>
      </c>
    </row>
    <row r="445" customFormat="false" ht="14.25" hidden="false" customHeight="false" outlineLevel="0" collapsed="false">
      <c r="A445" s="60" t="n">
        <v>419</v>
      </c>
      <c r="B445" s="114"/>
      <c r="C445" s="118" t="s">
        <v>1237</v>
      </c>
      <c r="D445" s="65"/>
      <c r="E445" s="64" t="s">
        <v>141</v>
      </c>
      <c r="F445" s="65"/>
      <c r="G445" s="153" t="s">
        <v>2074</v>
      </c>
      <c r="H445" s="65"/>
      <c r="I445" s="65"/>
      <c r="J445" s="65" t="s">
        <v>2075</v>
      </c>
      <c r="K445" s="65"/>
      <c r="L445" s="65"/>
      <c r="M445" s="65" t="s">
        <v>1569</v>
      </c>
      <c r="N445" s="73"/>
    </row>
    <row r="446" customFormat="false" ht="14.25" hidden="false" customHeight="false" outlineLevel="0" collapsed="false">
      <c r="A446" s="60" t="n">
        <v>420</v>
      </c>
      <c r="B446" s="114"/>
      <c r="C446" s="118" t="s">
        <v>1241</v>
      </c>
      <c r="D446" s="65"/>
      <c r="E446" s="64" t="s">
        <v>141</v>
      </c>
      <c r="F446" s="65"/>
      <c r="G446" s="153" t="s">
        <v>2076</v>
      </c>
      <c r="H446" s="65"/>
      <c r="I446" s="65"/>
      <c r="J446" s="65" t="s">
        <v>2077</v>
      </c>
      <c r="K446" s="65"/>
      <c r="L446" s="65"/>
      <c r="M446" s="65" t="s">
        <v>1569</v>
      </c>
      <c r="N446" s="66" t="s">
        <v>1595</v>
      </c>
    </row>
    <row r="447" customFormat="false" ht="14.25" hidden="false" customHeight="false" outlineLevel="0" collapsed="false">
      <c r="A447" s="60" t="n">
        <v>421</v>
      </c>
      <c r="B447" s="114"/>
      <c r="C447" s="118" t="s">
        <v>1243</v>
      </c>
      <c r="D447" s="65"/>
      <c r="E447" s="64" t="s">
        <v>141</v>
      </c>
      <c r="F447" s="65"/>
      <c r="G447" s="153" t="s">
        <v>2078</v>
      </c>
      <c r="H447" s="65"/>
      <c r="I447" s="65"/>
      <c r="J447" s="65" t="s">
        <v>2079</v>
      </c>
      <c r="K447" s="65"/>
      <c r="L447" s="65"/>
      <c r="M447" s="65" t="s">
        <v>1569</v>
      </c>
      <c r="N447" s="66" t="s">
        <v>1595</v>
      </c>
    </row>
    <row r="448" customFormat="false" ht="14.25" hidden="false" customHeight="false" outlineLevel="0" collapsed="false">
      <c r="A448" s="60" t="n">
        <v>422</v>
      </c>
      <c r="B448" s="114"/>
      <c r="C448" s="118" t="s">
        <v>1245</v>
      </c>
      <c r="D448" s="65"/>
      <c r="E448" s="64" t="s">
        <v>141</v>
      </c>
      <c r="F448" s="65"/>
      <c r="G448" s="153" t="s">
        <v>1246</v>
      </c>
      <c r="H448" s="65"/>
      <c r="I448" s="65"/>
      <c r="J448" s="65"/>
      <c r="K448" s="65"/>
      <c r="L448" s="65"/>
      <c r="M448" s="65" t="s">
        <v>1569</v>
      </c>
      <c r="N448" s="73"/>
    </row>
    <row r="449" customFormat="false" ht="14.25" hidden="false" customHeight="false" outlineLevel="0" collapsed="false">
      <c r="A449" s="60" t="n">
        <v>423</v>
      </c>
      <c r="B449" s="114"/>
      <c r="C449" s="118" t="s">
        <v>1247</v>
      </c>
      <c r="D449" s="65"/>
      <c r="E449" s="64" t="s">
        <v>141</v>
      </c>
      <c r="F449" s="65"/>
      <c r="G449" s="153"/>
      <c r="H449" s="65"/>
      <c r="I449" s="65"/>
      <c r="J449" s="65"/>
      <c r="K449" s="65"/>
      <c r="L449" s="65"/>
      <c r="M449" s="65" t="s">
        <v>1569</v>
      </c>
      <c r="N449" s="66" t="s">
        <v>1595</v>
      </c>
    </row>
    <row r="450" customFormat="false" ht="14.25" hidden="false" customHeight="false" outlineLevel="0" collapsed="false">
      <c r="A450" s="60" t="n">
        <v>424</v>
      </c>
      <c r="B450" s="114"/>
      <c r="C450" s="118" t="s">
        <v>1248</v>
      </c>
      <c r="D450" s="65"/>
      <c r="E450" s="64" t="s">
        <v>141</v>
      </c>
      <c r="F450" s="65"/>
      <c r="G450" s="153"/>
      <c r="H450" s="65"/>
      <c r="I450" s="65"/>
      <c r="J450" s="65"/>
      <c r="K450" s="65"/>
      <c r="L450" s="65"/>
      <c r="M450" s="65" t="s">
        <v>1569</v>
      </c>
      <c r="N450" s="66" t="s">
        <v>1595</v>
      </c>
    </row>
    <row r="451" customFormat="false" ht="14.25" hidden="false" customHeight="false" outlineLevel="0" collapsed="false">
      <c r="A451" s="60" t="n">
        <v>425</v>
      </c>
      <c r="B451" s="114"/>
      <c r="C451" s="118" t="s">
        <v>1249</v>
      </c>
      <c r="D451" s="65"/>
      <c r="E451" s="64" t="s">
        <v>141</v>
      </c>
      <c r="F451" s="65"/>
      <c r="G451" s="153" t="s">
        <v>1101</v>
      </c>
      <c r="H451" s="65"/>
      <c r="I451" s="65"/>
      <c r="J451" s="65" t="s">
        <v>2080</v>
      </c>
      <c r="K451" s="65"/>
      <c r="L451" s="65"/>
      <c r="M451" s="65" t="s">
        <v>1569</v>
      </c>
      <c r="N451" s="66" t="s">
        <v>1586</v>
      </c>
    </row>
    <row r="452" customFormat="false" ht="14.25" hidden="false" customHeight="false" outlineLevel="0" collapsed="false">
      <c r="A452" s="60" t="n">
        <v>426</v>
      </c>
      <c r="B452" s="114"/>
      <c r="C452" s="118" t="s">
        <v>1250</v>
      </c>
      <c r="D452" s="65"/>
      <c r="E452" s="64" t="s">
        <v>141</v>
      </c>
      <c r="F452" s="65"/>
      <c r="G452" s="153"/>
      <c r="H452" s="65"/>
      <c r="I452" s="65"/>
      <c r="J452" s="65"/>
      <c r="K452" s="65"/>
      <c r="L452" s="65"/>
      <c r="M452" s="65" t="s">
        <v>1569</v>
      </c>
      <c r="N452" s="66" t="s">
        <v>1595</v>
      </c>
    </row>
    <row r="453" customFormat="false" ht="14.25" hidden="false" customHeight="false" outlineLevel="0" collapsed="false">
      <c r="A453" s="60" t="n">
        <v>427</v>
      </c>
      <c r="B453" s="114"/>
      <c r="C453" s="118" t="s">
        <v>1251</v>
      </c>
      <c r="D453" s="65"/>
      <c r="E453" s="64" t="s">
        <v>141</v>
      </c>
      <c r="F453" s="65"/>
      <c r="G453" s="153"/>
      <c r="H453" s="65"/>
      <c r="I453" s="65"/>
      <c r="J453" s="65"/>
      <c r="K453" s="65"/>
      <c r="L453" s="65"/>
      <c r="M453" s="65" t="s">
        <v>1569</v>
      </c>
      <c r="N453" s="73"/>
    </row>
    <row r="454" customFormat="false" ht="14.25" hidden="false" customHeight="false" outlineLevel="0" collapsed="false">
      <c r="A454" s="60" t="n">
        <v>428</v>
      </c>
      <c r="B454" s="114"/>
      <c r="C454" s="118" t="s">
        <v>1220</v>
      </c>
      <c r="D454" s="159" t="s">
        <v>394</v>
      </c>
      <c r="E454" s="64" t="s">
        <v>141</v>
      </c>
      <c r="F454" s="159" t="s">
        <v>1221</v>
      </c>
      <c r="G454" s="159" t="s">
        <v>1222</v>
      </c>
      <c r="H454" s="159" t="s">
        <v>2081</v>
      </c>
      <c r="I454" s="160" t="n">
        <v>2018</v>
      </c>
      <c r="J454" s="65"/>
      <c r="K454" s="65"/>
      <c r="L454" s="65"/>
      <c r="M454" s="65" t="s">
        <v>1569</v>
      </c>
      <c r="N454" s="66" t="s">
        <v>1707</v>
      </c>
    </row>
    <row r="455" customFormat="false" ht="14.25" hidden="false" customHeight="false" outlineLevel="0" collapsed="false">
      <c r="A455" s="60" t="n">
        <v>429</v>
      </c>
      <c r="B455" s="114"/>
      <c r="C455" s="118" t="s">
        <v>1252</v>
      </c>
      <c r="D455" s="159"/>
      <c r="E455" s="64" t="s">
        <v>141</v>
      </c>
      <c r="F455" s="159"/>
      <c r="G455" s="159"/>
      <c r="H455" s="159"/>
      <c r="I455" s="161"/>
      <c r="J455" s="65"/>
      <c r="K455" s="65"/>
      <c r="L455" s="65"/>
      <c r="M455" s="65" t="s">
        <v>1569</v>
      </c>
      <c r="N455" s="66" t="s">
        <v>1595</v>
      </c>
    </row>
    <row r="456" customFormat="false" ht="14.25" hidden="false" customHeight="false" outlineLevel="0" collapsed="false">
      <c r="A456" s="60" t="n">
        <v>430</v>
      </c>
      <c r="B456" s="114"/>
      <c r="C456" s="118" t="s">
        <v>1239</v>
      </c>
      <c r="D456" s="159"/>
      <c r="E456" s="64" t="s">
        <v>141</v>
      </c>
      <c r="F456" s="159"/>
      <c r="G456" s="159" t="s">
        <v>1240</v>
      </c>
      <c r="H456" s="159"/>
      <c r="I456" s="161"/>
      <c r="J456" s="65"/>
      <c r="K456" s="65"/>
      <c r="L456" s="65"/>
      <c r="M456" s="65" t="s">
        <v>1569</v>
      </c>
      <c r="N456" s="66" t="s">
        <v>1595</v>
      </c>
    </row>
    <row r="457" customFormat="false" ht="14.25" hidden="false" customHeight="false" outlineLevel="0" collapsed="false">
      <c r="A457" s="74"/>
      <c r="B457" s="162"/>
      <c r="C457" s="154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</row>
    <row r="458" customFormat="false" ht="14.25" hidden="false" customHeight="false" outlineLevel="0" collapsed="false">
      <c r="A458" s="81" t="n">
        <v>431</v>
      </c>
      <c r="B458" s="163" t="s">
        <v>2082</v>
      </c>
      <c r="C458" s="154"/>
      <c r="D458" s="79" t="s">
        <v>1102</v>
      </c>
      <c r="E458" s="79" t="s">
        <v>133</v>
      </c>
      <c r="F458" s="79" t="s">
        <v>1100</v>
      </c>
      <c r="G458" s="79" t="s">
        <v>1101</v>
      </c>
      <c r="H458" s="79" t="s">
        <v>2083</v>
      </c>
      <c r="I458" s="109" t="n">
        <v>2017</v>
      </c>
      <c r="J458" s="73" t="s">
        <v>2084</v>
      </c>
      <c r="K458" s="73"/>
      <c r="L458" s="73"/>
      <c r="M458" s="73" t="s">
        <v>1569</v>
      </c>
      <c r="N458" s="73"/>
    </row>
    <row r="459" customFormat="false" ht="14.25" hidden="false" customHeight="false" outlineLevel="0" collapsed="false">
      <c r="A459" s="81" t="n">
        <v>432</v>
      </c>
      <c r="B459" s="163"/>
      <c r="C459" s="154"/>
      <c r="D459" s="79" t="s">
        <v>1102</v>
      </c>
      <c r="E459" s="79" t="s">
        <v>133</v>
      </c>
      <c r="F459" s="79" t="s">
        <v>1100</v>
      </c>
      <c r="G459" s="79" t="s">
        <v>1246</v>
      </c>
      <c r="H459" s="79" t="s">
        <v>2083</v>
      </c>
      <c r="I459" s="109" t="n">
        <v>2017</v>
      </c>
      <c r="J459" s="73"/>
      <c r="K459" s="73"/>
      <c r="L459" s="73"/>
      <c r="M459" s="73" t="s">
        <v>1569</v>
      </c>
      <c r="N459" s="73"/>
    </row>
    <row r="460" customFormat="false" ht="14.25" hidden="false" customHeight="false" outlineLevel="0" collapsed="false">
      <c r="A460" s="81" t="n">
        <v>433</v>
      </c>
      <c r="B460" s="163"/>
      <c r="C460" s="154"/>
      <c r="D460" s="79" t="s">
        <v>1103</v>
      </c>
      <c r="E460" s="79" t="s">
        <v>133</v>
      </c>
      <c r="F460" s="79" t="s">
        <v>1100</v>
      </c>
      <c r="G460" s="79" t="s">
        <v>1104</v>
      </c>
      <c r="H460" s="79" t="s">
        <v>2083</v>
      </c>
      <c r="I460" s="109" t="n">
        <v>2017</v>
      </c>
      <c r="J460" s="73"/>
      <c r="K460" s="73"/>
      <c r="L460" s="73"/>
      <c r="M460" s="73" t="s">
        <v>1569</v>
      </c>
      <c r="N460" s="73"/>
    </row>
    <row r="461" customFormat="false" ht="14.25" hidden="false" customHeight="false" outlineLevel="0" collapsed="false">
      <c r="A461" s="81" t="n">
        <v>434</v>
      </c>
      <c r="B461" s="163"/>
      <c r="C461" s="154"/>
      <c r="D461" s="79" t="s">
        <v>1099</v>
      </c>
      <c r="E461" s="79" t="s">
        <v>133</v>
      </c>
      <c r="F461" s="79" t="s">
        <v>1100</v>
      </c>
      <c r="G461" s="79" t="s">
        <v>1105</v>
      </c>
      <c r="H461" s="79" t="s">
        <v>2083</v>
      </c>
      <c r="I461" s="109" t="n">
        <v>2006</v>
      </c>
      <c r="J461" s="73"/>
      <c r="K461" s="73"/>
      <c r="L461" s="73"/>
      <c r="M461" s="73" t="s">
        <v>1569</v>
      </c>
      <c r="N461" s="73"/>
    </row>
    <row r="462" customFormat="false" ht="14.25" hidden="false" customHeight="false" outlineLevel="0" collapsed="false">
      <c r="A462" s="81" t="n">
        <v>435</v>
      </c>
      <c r="B462" s="163"/>
      <c r="C462" s="154"/>
      <c r="D462" s="79" t="s">
        <v>1099</v>
      </c>
      <c r="E462" s="79" t="s">
        <v>133</v>
      </c>
      <c r="F462" s="79" t="s">
        <v>1100</v>
      </c>
      <c r="G462" s="79" t="s">
        <v>2085</v>
      </c>
      <c r="H462" s="79" t="s">
        <v>2083</v>
      </c>
      <c r="I462" s="109" t="n">
        <v>2006</v>
      </c>
      <c r="J462" s="73"/>
      <c r="K462" s="73"/>
      <c r="L462" s="73"/>
      <c r="M462" s="73" t="s">
        <v>1569</v>
      </c>
      <c r="N462" s="73"/>
    </row>
    <row r="463" customFormat="false" ht="14.25" hidden="false" customHeight="false" outlineLevel="0" collapsed="false">
      <c r="A463" s="81" t="n">
        <v>436</v>
      </c>
      <c r="B463" s="163"/>
      <c r="C463" s="154"/>
      <c r="D463" s="79" t="s">
        <v>1099</v>
      </c>
      <c r="E463" s="79" t="s">
        <v>133</v>
      </c>
      <c r="F463" s="79" t="s">
        <v>1100</v>
      </c>
      <c r="G463" s="141" t="s">
        <v>1101</v>
      </c>
      <c r="H463" s="79" t="s">
        <v>2083</v>
      </c>
      <c r="I463" s="164" t="n">
        <v>2017</v>
      </c>
      <c r="J463" s="73"/>
      <c r="K463" s="73"/>
      <c r="L463" s="73"/>
      <c r="M463" s="73" t="s">
        <v>1569</v>
      </c>
      <c r="N463" s="73"/>
    </row>
    <row r="464" customFormat="false" ht="14.25" hidden="false" customHeight="false" outlineLevel="0" collapsed="false">
      <c r="A464" s="74"/>
      <c r="B464" s="143"/>
      <c r="C464" s="154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</row>
    <row r="465" s="166" customFormat="true" ht="14.25" hidden="false" customHeight="false" outlineLevel="0" collapsed="false">
      <c r="A465" s="165" t="n">
        <v>437</v>
      </c>
      <c r="B465" s="114" t="s">
        <v>1253</v>
      </c>
      <c r="C465" s="118"/>
      <c r="D465" s="65"/>
      <c r="E465" s="153" t="s">
        <v>143</v>
      </c>
      <c r="F465" s="65"/>
      <c r="G465" s="153" t="s">
        <v>1282</v>
      </c>
      <c r="H465" s="65"/>
      <c r="I465" s="165"/>
      <c r="J465" s="65"/>
      <c r="K465" s="65"/>
      <c r="L465" s="65"/>
      <c r="M465" s="65" t="s">
        <v>1569</v>
      </c>
      <c r="N465" s="66" t="s">
        <v>2086</v>
      </c>
    </row>
    <row r="466" customFormat="false" ht="14.25" hidden="false" customHeight="false" outlineLevel="0" collapsed="false">
      <c r="A466" s="165" t="n">
        <v>438</v>
      </c>
      <c r="B466" s="114"/>
      <c r="C466" s="64" t="s">
        <v>1278</v>
      </c>
      <c r="D466" s="64" t="s">
        <v>1274</v>
      </c>
      <c r="E466" s="64" t="s">
        <v>143</v>
      </c>
      <c r="F466" s="64" t="n">
        <v>135</v>
      </c>
      <c r="G466" s="64" t="s">
        <v>1281</v>
      </c>
      <c r="H466" s="64" t="s">
        <v>2087</v>
      </c>
      <c r="I466" s="156" t="n">
        <v>1974</v>
      </c>
      <c r="J466" s="65"/>
      <c r="K466" s="65"/>
      <c r="L466" s="65"/>
      <c r="M466" s="65" t="s">
        <v>1569</v>
      </c>
      <c r="N466" s="66" t="s">
        <v>1595</v>
      </c>
    </row>
    <row r="467" customFormat="false" ht="14.25" hidden="false" customHeight="false" outlineLevel="0" collapsed="false">
      <c r="A467" s="165" t="n">
        <v>439</v>
      </c>
      <c r="B467" s="114"/>
      <c r="C467" s="64" t="s">
        <v>1270</v>
      </c>
      <c r="D467" s="64" t="s">
        <v>1262</v>
      </c>
      <c r="E467" s="64" t="s">
        <v>143</v>
      </c>
      <c r="F467" s="64" t="s">
        <v>1264</v>
      </c>
      <c r="G467" s="64" t="s">
        <v>1271</v>
      </c>
      <c r="H467" s="64" t="s">
        <v>2088</v>
      </c>
      <c r="I467" s="156" t="n">
        <v>2005</v>
      </c>
      <c r="J467" s="65"/>
      <c r="K467" s="65"/>
      <c r="L467" s="65"/>
      <c r="M467" s="65" t="s">
        <v>1569</v>
      </c>
      <c r="N467" s="66" t="s">
        <v>1595</v>
      </c>
    </row>
    <row r="468" customFormat="false" ht="14.25" hidden="false" customHeight="false" outlineLevel="0" collapsed="false">
      <c r="A468" s="165" t="n">
        <v>440</v>
      </c>
      <c r="B468" s="114"/>
      <c r="C468" s="64" t="s">
        <v>1272</v>
      </c>
      <c r="D468" s="64" t="s">
        <v>1262</v>
      </c>
      <c r="E468" s="64" t="s">
        <v>143</v>
      </c>
      <c r="F468" s="64" t="s">
        <v>1264</v>
      </c>
      <c r="G468" s="64" t="s">
        <v>1273</v>
      </c>
      <c r="H468" s="64" t="s">
        <v>2088</v>
      </c>
      <c r="I468" s="156" t="n">
        <v>2005</v>
      </c>
      <c r="J468" s="65"/>
      <c r="K468" s="65"/>
      <c r="L468" s="65"/>
      <c r="M468" s="65" t="s">
        <v>1569</v>
      </c>
      <c r="N468" s="66" t="s">
        <v>1595</v>
      </c>
    </row>
    <row r="469" customFormat="false" ht="14.25" hidden="false" customHeight="false" outlineLevel="0" collapsed="false">
      <c r="A469" s="165" t="n">
        <v>441</v>
      </c>
      <c r="B469" s="114"/>
      <c r="C469" s="64" t="s">
        <v>1283</v>
      </c>
      <c r="D469" s="64"/>
      <c r="E469" s="64" t="s">
        <v>143</v>
      </c>
      <c r="F469" s="64"/>
      <c r="G469" s="64"/>
      <c r="H469" s="64"/>
      <c r="I469" s="156"/>
      <c r="J469" s="65"/>
      <c r="K469" s="65"/>
      <c r="L469" s="65"/>
      <c r="M469" s="65" t="s">
        <v>1569</v>
      </c>
      <c r="N469" s="66" t="s">
        <v>1595</v>
      </c>
    </row>
    <row r="470" customFormat="false" ht="14.25" hidden="false" customHeight="false" outlineLevel="0" collapsed="false">
      <c r="A470" s="165" t="n">
        <v>442</v>
      </c>
      <c r="B470" s="114"/>
      <c r="C470" s="64" t="s">
        <v>1254</v>
      </c>
      <c r="D470" s="64" t="s">
        <v>792</v>
      </c>
      <c r="E470" s="64" t="s">
        <v>143</v>
      </c>
      <c r="F470" s="64" t="s">
        <v>1255</v>
      </c>
      <c r="G470" s="64" t="s">
        <v>1256</v>
      </c>
      <c r="H470" s="64" t="s">
        <v>1871</v>
      </c>
      <c r="I470" s="156" t="n">
        <v>2012</v>
      </c>
      <c r="J470" s="65"/>
      <c r="K470" s="65"/>
      <c r="L470" s="65"/>
      <c r="M470" s="65" t="s">
        <v>1569</v>
      </c>
      <c r="N470" s="66" t="s">
        <v>1595</v>
      </c>
    </row>
    <row r="471" customFormat="false" ht="14.25" hidden="false" customHeight="false" outlineLevel="0" collapsed="false">
      <c r="A471" s="165" t="n">
        <v>443</v>
      </c>
      <c r="B471" s="114"/>
      <c r="C471" s="64" t="s">
        <v>1263</v>
      </c>
      <c r="D471" s="64" t="s">
        <v>1262</v>
      </c>
      <c r="E471" s="64" t="s">
        <v>143</v>
      </c>
      <c r="F471" s="64" t="s">
        <v>1264</v>
      </c>
      <c r="G471" s="64" t="s">
        <v>1265</v>
      </c>
      <c r="H471" s="64" t="s">
        <v>1861</v>
      </c>
      <c r="I471" s="156" t="n">
        <v>2012</v>
      </c>
      <c r="J471" s="65" t="s">
        <v>2089</v>
      </c>
      <c r="K471" s="65" t="s">
        <v>2089</v>
      </c>
      <c r="L471" s="65" t="s">
        <v>2090</v>
      </c>
      <c r="M471" s="65" t="s">
        <v>1569</v>
      </c>
      <c r="N471" s="66" t="s">
        <v>1622</v>
      </c>
    </row>
    <row r="472" customFormat="false" ht="14.25" hidden="false" customHeight="false" outlineLevel="0" collapsed="false">
      <c r="A472" s="165" t="n">
        <v>444</v>
      </c>
      <c r="B472" s="114"/>
      <c r="C472" s="64" t="s">
        <v>1257</v>
      </c>
      <c r="D472" s="64" t="s">
        <v>792</v>
      </c>
      <c r="E472" s="64" t="s">
        <v>143</v>
      </c>
      <c r="F472" s="64" t="s">
        <v>1255</v>
      </c>
      <c r="G472" s="64" t="s">
        <v>1258</v>
      </c>
      <c r="H472" s="64" t="s">
        <v>1871</v>
      </c>
      <c r="I472" s="156" t="n">
        <v>2012</v>
      </c>
      <c r="J472" s="65"/>
      <c r="K472" s="65"/>
      <c r="L472" s="65"/>
      <c r="M472" s="65" t="s">
        <v>1569</v>
      </c>
      <c r="N472" s="66" t="s">
        <v>1595</v>
      </c>
    </row>
    <row r="473" customFormat="false" ht="14.25" hidden="false" customHeight="false" outlineLevel="0" collapsed="false">
      <c r="A473" s="165" t="n">
        <v>445</v>
      </c>
      <c r="B473" s="114"/>
      <c r="C473" s="64" t="s">
        <v>1275</v>
      </c>
      <c r="D473" s="64" t="s">
        <v>1274</v>
      </c>
      <c r="E473" s="64" t="s">
        <v>143</v>
      </c>
      <c r="F473" s="64" t="s">
        <v>1264</v>
      </c>
      <c r="G473" s="64" t="s">
        <v>1277</v>
      </c>
      <c r="H473" s="64" t="s">
        <v>1861</v>
      </c>
      <c r="I473" s="156" t="n">
        <v>1980</v>
      </c>
      <c r="J473" s="65"/>
      <c r="K473" s="65"/>
      <c r="L473" s="65"/>
      <c r="M473" s="65" t="s">
        <v>1569</v>
      </c>
      <c r="N473" s="73"/>
    </row>
    <row r="474" customFormat="false" ht="14.25" hidden="false" customHeight="false" outlineLevel="0" collapsed="false">
      <c r="A474" s="165" t="n">
        <v>446</v>
      </c>
      <c r="B474" s="114"/>
      <c r="C474" s="64" t="s">
        <v>1259</v>
      </c>
      <c r="D474" s="64" t="s">
        <v>792</v>
      </c>
      <c r="E474" s="64" t="s">
        <v>143</v>
      </c>
      <c r="F474" s="64" t="s">
        <v>1260</v>
      </c>
      <c r="G474" s="64" t="s">
        <v>1261</v>
      </c>
      <c r="H474" s="64" t="s">
        <v>2091</v>
      </c>
      <c r="I474" s="156" t="n">
        <v>2012</v>
      </c>
      <c r="J474" s="65"/>
      <c r="K474" s="65"/>
      <c r="L474" s="65"/>
      <c r="M474" s="65" t="s">
        <v>1569</v>
      </c>
      <c r="N474" s="66" t="s">
        <v>1588</v>
      </c>
    </row>
    <row r="475" customFormat="false" ht="14.25" hidden="false" customHeight="false" outlineLevel="0" collapsed="false">
      <c r="A475" s="165" t="n">
        <v>447</v>
      </c>
      <c r="B475" s="114"/>
      <c r="C475" s="118" t="s">
        <v>1267</v>
      </c>
      <c r="D475" s="64" t="s">
        <v>1266</v>
      </c>
      <c r="E475" s="63" t="s">
        <v>2092</v>
      </c>
      <c r="F475" s="63" t="s">
        <v>1268</v>
      </c>
      <c r="G475" s="63" t="s">
        <v>1269</v>
      </c>
      <c r="H475" s="63" t="s">
        <v>2093</v>
      </c>
      <c r="I475" s="155" t="n">
        <v>2008</v>
      </c>
      <c r="J475" s="65"/>
      <c r="K475" s="65"/>
      <c r="L475" s="65"/>
      <c r="M475" s="65" t="s">
        <v>1569</v>
      </c>
      <c r="N475" s="66" t="s">
        <v>2094</v>
      </c>
    </row>
    <row r="476" customFormat="false" ht="14.25" hidden="false" customHeight="false" outlineLevel="0" collapsed="false">
      <c r="A476" s="165" t="n">
        <v>448</v>
      </c>
      <c r="B476" s="114"/>
      <c r="C476" s="118"/>
      <c r="D476" s="64" t="s">
        <v>1266</v>
      </c>
      <c r="E476" s="63" t="s">
        <v>2092</v>
      </c>
      <c r="F476" s="63" t="s">
        <v>1268</v>
      </c>
      <c r="G476" s="63" t="s">
        <v>2095</v>
      </c>
      <c r="H476" s="63" t="s">
        <v>2093</v>
      </c>
      <c r="I476" s="155"/>
      <c r="J476" s="65"/>
      <c r="K476" s="65"/>
      <c r="L476" s="65"/>
      <c r="M476" s="65" t="s">
        <v>1569</v>
      </c>
      <c r="N476" s="66" t="s">
        <v>1622</v>
      </c>
    </row>
    <row r="477" customFormat="false" ht="14.25" hidden="false" customHeight="false" outlineLevel="0" collapsed="false">
      <c r="A477" s="165" t="n">
        <v>449</v>
      </c>
      <c r="B477" s="114"/>
      <c r="C477" s="118"/>
      <c r="D477" s="64"/>
      <c r="E477" s="63"/>
      <c r="F477" s="63"/>
      <c r="G477" s="63" t="s">
        <v>2096</v>
      </c>
      <c r="H477" s="63" t="s">
        <v>2093</v>
      </c>
      <c r="I477" s="167"/>
      <c r="J477" s="65"/>
      <c r="K477" s="65"/>
      <c r="L477" s="65"/>
      <c r="M477" s="65" t="s">
        <v>1569</v>
      </c>
      <c r="N477" s="66" t="s">
        <v>1646</v>
      </c>
    </row>
    <row r="478" customFormat="false" ht="14.25" hidden="false" customHeight="false" outlineLevel="0" collapsed="false">
      <c r="A478" s="74"/>
      <c r="B478" s="168"/>
      <c r="C478" s="154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</row>
    <row r="479" customFormat="false" ht="14.25" hidden="false" customHeight="false" outlineLevel="0" collapsed="false">
      <c r="A479" s="169" t="n">
        <v>450</v>
      </c>
      <c r="B479" s="163" t="s">
        <v>1284</v>
      </c>
      <c r="C479" s="141" t="s">
        <v>1331</v>
      </c>
      <c r="D479" s="141" t="s">
        <v>1285</v>
      </c>
      <c r="E479" s="141" t="s">
        <v>145</v>
      </c>
      <c r="F479" s="141" t="s">
        <v>1332</v>
      </c>
      <c r="G479" s="141" t="s">
        <v>1333</v>
      </c>
      <c r="H479" s="141" t="s">
        <v>2097</v>
      </c>
      <c r="I479" s="164" t="n">
        <v>2003</v>
      </c>
      <c r="J479" s="73"/>
      <c r="K479" s="73"/>
      <c r="L479" s="73"/>
      <c r="M479" s="73" t="s">
        <v>1569</v>
      </c>
      <c r="N479" s="66" t="s">
        <v>2098</v>
      </c>
    </row>
    <row r="480" customFormat="false" ht="14.25" hidden="false" customHeight="false" outlineLevel="0" collapsed="false">
      <c r="A480" s="169" t="n">
        <v>451</v>
      </c>
      <c r="B480" s="163"/>
      <c r="C480" s="141" t="s">
        <v>1324</v>
      </c>
      <c r="D480" s="141" t="s">
        <v>1323</v>
      </c>
      <c r="E480" s="141" t="s">
        <v>145</v>
      </c>
      <c r="F480" s="141" t="s">
        <v>1325</v>
      </c>
      <c r="G480" s="141" t="s">
        <v>1326</v>
      </c>
      <c r="H480" s="141" t="s">
        <v>2099</v>
      </c>
      <c r="I480" s="164" t="n">
        <v>2006</v>
      </c>
      <c r="J480" s="73"/>
      <c r="K480" s="73"/>
      <c r="L480" s="73"/>
      <c r="M480" s="73" t="s">
        <v>1569</v>
      </c>
      <c r="N480" s="66" t="s">
        <v>2100</v>
      </c>
    </row>
    <row r="481" customFormat="false" ht="14.25" hidden="false" customHeight="false" outlineLevel="0" collapsed="false">
      <c r="A481" s="169" t="n">
        <v>452</v>
      </c>
      <c r="B481" s="163"/>
      <c r="C481" s="141" t="s">
        <v>1320</v>
      </c>
      <c r="D481" s="141" t="s">
        <v>1285</v>
      </c>
      <c r="E481" s="141" t="s">
        <v>145</v>
      </c>
      <c r="F481" s="141" t="s">
        <v>1321</v>
      </c>
      <c r="G481" s="141" t="s">
        <v>1322</v>
      </c>
      <c r="H481" s="141" t="s">
        <v>2101</v>
      </c>
      <c r="I481" s="164" t="n">
        <v>2006</v>
      </c>
      <c r="J481" s="73"/>
      <c r="K481" s="73"/>
      <c r="L481" s="73"/>
      <c r="M481" s="73" t="s">
        <v>1569</v>
      </c>
      <c r="N481" s="73"/>
    </row>
    <row r="482" s="53" customFormat="true" ht="14.25" hidden="false" customHeight="false" outlineLevel="0" collapsed="false">
      <c r="A482" s="170" t="n">
        <v>453</v>
      </c>
      <c r="B482" s="163"/>
      <c r="C482" s="117" t="s">
        <v>1289</v>
      </c>
      <c r="D482" s="117" t="s">
        <v>1285</v>
      </c>
      <c r="E482" s="117" t="s">
        <v>145</v>
      </c>
      <c r="F482" s="117" t="s">
        <v>1321</v>
      </c>
      <c r="G482" s="117" t="s">
        <v>1291</v>
      </c>
      <c r="H482" s="117" t="s">
        <v>2101</v>
      </c>
      <c r="I482" s="171" t="n">
        <v>2006</v>
      </c>
      <c r="J482" s="96"/>
      <c r="K482" s="96"/>
      <c r="L482" s="96"/>
      <c r="M482" s="96" t="s">
        <v>1569</v>
      </c>
      <c r="N482" s="96" t="s">
        <v>2102</v>
      </c>
      <c r="O482" s="53" t="s">
        <v>1701</v>
      </c>
    </row>
    <row r="483" customFormat="false" ht="14.25" hidden="false" customHeight="false" outlineLevel="0" collapsed="false">
      <c r="A483" s="169" t="n">
        <v>454</v>
      </c>
      <c r="B483" s="163"/>
      <c r="C483" s="141" t="s">
        <v>1296</v>
      </c>
      <c r="D483" s="141" t="s">
        <v>1285</v>
      </c>
      <c r="E483" s="141" t="s">
        <v>145</v>
      </c>
      <c r="F483" s="141" t="s">
        <v>2103</v>
      </c>
      <c r="G483" s="141" t="s">
        <v>1298</v>
      </c>
      <c r="H483" s="141" t="s">
        <v>2104</v>
      </c>
      <c r="I483" s="164" t="n">
        <v>2016</v>
      </c>
      <c r="J483" s="73"/>
      <c r="K483" s="73"/>
      <c r="L483" s="73"/>
      <c r="M483" s="73" t="s">
        <v>1569</v>
      </c>
      <c r="N483" s="73"/>
    </row>
    <row r="484" customFormat="false" ht="14.25" hidden="false" customHeight="false" outlineLevel="0" collapsed="false">
      <c r="A484" s="169" t="n">
        <v>455</v>
      </c>
      <c r="B484" s="163"/>
      <c r="C484" s="141" t="s">
        <v>1286</v>
      </c>
      <c r="D484" s="141" t="s">
        <v>1285</v>
      </c>
      <c r="E484" s="141" t="s">
        <v>145</v>
      </c>
      <c r="F484" s="141" t="s">
        <v>1287</v>
      </c>
      <c r="G484" s="141" t="s">
        <v>1288</v>
      </c>
      <c r="H484" s="141" t="s">
        <v>2105</v>
      </c>
      <c r="I484" s="164" t="n">
        <v>2017</v>
      </c>
      <c r="J484" s="73"/>
      <c r="K484" s="73"/>
      <c r="L484" s="73"/>
      <c r="M484" s="73" t="s">
        <v>1569</v>
      </c>
      <c r="N484" s="66" t="s">
        <v>1595</v>
      </c>
    </row>
    <row r="485" customFormat="false" ht="14.25" hidden="false" customHeight="false" outlineLevel="0" collapsed="false">
      <c r="A485" s="169" t="n">
        <v>456</v>
      </c>
      <c r="B485" s="163"/>
      <c r="C485" s="141" t="s">
        <v>1317</v>
      </c>
      <c r="D485" s="141" t="s">
        <v>1285</v>
      </c>
      <c r="E485" s="141" t="s">
        <v>145</v>
      </c>
      <c r="F485" s="141" t="s">
        <v>1318</v>
      </c>
      <c r="G485" s="141" t="s">
        <v>1319</v>
      </c>
      <c r="H485" s="141" t="s">
        <v>2106</v>
      </c>
      <c r="I485" s="164" t="n">
        <v>2007</v>
      </c>
      <c r="J485" s="115" t="s">
        <v>2107</v>
      </c>
      <c r="K485" s="73"/>
      <c r="L485" s="73"/>
      <c r="M485" s="73" t="s">
        <v>1569</v>
      </c>
      <c r="N485" s="66" t="s">
        <v>1595</v>
      </c>
    </row>
    <row r="486" customFormat="false" ht="14.25" hidden="false" customHeight="false" outlineLevel="0" collapsed="false">
      <c r="A486" s="169" t="n">
        <v>457</v>
      </c>
      <c r="B486" s="163"/>
      <c r="C486" s="141" t="s">
        <v>1315</v>
      </c>
      <c r="D486" s="141" t="s">
        <v>1285</v>
      </c>
      <c r="E486" s="141" t="s">
        <v>145</v>
      </c>
      <c r="F486" s="141" t="s">
        <v>1309</v>
      </c>
      <c r="G486" s="141" t="s">
        <v>1316</v>
      </c>
      <c r="H486" s="141" t="s">
        <v>2106</v>
      </c>
      <c r="I486" s="164" t="n">
        <v>2011</v>
      </c>
      <c r="J486" s="115" t="s">
        <v>2108</v>
      </c>
      <c r="K486" s="73"/>
      <c r="L486" s="73"/>
      <c r="M486" s="73" t="s">
        <v>1569</v>
      </c>
      <c r="N486" s="66" t="s">
        <v>1595</v>
      </c>
    </row>
    <row r="487" customFormat="false" ht="14.25" hidden="false" customHeight="false" outlineLevel="0" collapsed="false">
      <c r="A487" s="169" t="n">
        <v>458</v>
      </c>
      <c r="B487" s="163"/>
      <c r="C487" s="141" t="s">
        <v>1299</v>
      </c>
      <c r="D487" s="141" t="s">
        <v>1285</v>
      </c>
      <c r="E487" s="141" t="s">
        <v>145</v>
      </c>
      <c r="F487" s="141" t="s">
        <v>1287</v>
      </c>
      <c r="G487" s="141" t="s">
        <v>1300</v>
      </c>
      <c r="H487" s="141" t="s">
        <v>2105</v>
      </c>
      <c r="I487" s="164" t="n">
        <v>2016</v>
      </c>
      <c r="J487" s="73"/>
      <c r="K487" s="73"/>
      <c r="L487" s="73"/>
      <c r="M487" s="73" t="s">
        <v>1569</v>
      </c>
      <c r="N487" s="73" t="s">
        <v>1622</v>
      </c>
    </row>
    <row r="488" customFormat="false" ht="14.25" hidden="false" customHeight="false" outlineLevel="0" collapsed="false">
      <c r="A488" s="169" t="n">
        <v>459</v>
      </c>
      <c r="B488" s="163"/>
      <c r="C488" s="141" t="s">
        <v>1328</v>
      </c>
      <c r="D488" s="141" t="s">
        <v>1327</v>
      </c>
      <c r="E488" s="141" t="s">
        <v>145</v>
      </c>
      <c r="F488" s="141" t="s">
        <v>1329</v>
      </c>
      <c r="G488" s="141" t="s">
        <v>1330</v>
      </c>
      <c r="H488" s="141" t="s">
        <v>2106</v>
      </c>
      <c r="I488" s="164" t="n">
        <v>2004</v>
      </c>
      <c r="J488" s="73"/>
      <c r="K488" s="73"/>
      <c r="L488" s="73"/>
      <c r="M488" s="73" t="s">
        <v>1569</v>
      </c>
      <c r="N488" s="73"/>
    </row>
    <row r="489" customFormat="false" ht="14.25" hidden="false" customHeight="false" outlineLevel="0" collapsed="false">
      <c r="A489" s="169" t="n">
        <v>460</v>
      </c>
      <c r="B489" s="163"/>
      <c r="C489" s="141" t="s">
        <v>1311</v>
      </c>
      <c r="D489" s="141" t="s">
        <v>1285</v>
      </c>
      <c r="E489" s="141" t="s">
        <v>145</v>
      </c>
      <c r="F489" s="141" t="s">
        <v>1287</v>
      </c>
      <c r="G489" s="141" t="s">
        <v>1312</v>
      </c>
      <c r="H489" s="141" t="s">
        <v>2101</v>
      </c>
      <c r="I489" s="164" t="n">
        <v>2012</v>
      </c>
      <c r="J489" s="73"/>
      <c r="K489" s="73"/>
      <c r="L489" s="73"/>
      <c r="M489" s="73" t="s">
        <v>1569</v>
      </c>
      <c r="N489" s="66" t="s">
        <v>1627</v>
      </c>
    </row>
    <row r="490" customFormat="false" ht="14.25" hidden="false" customHeight="false" outlineLevel="0" collapsed="false">
      <c r="A490" s="169" t="n">
        <v>461</v>
      </c>
      <c r="B490" s="163"/>
      <c r="C490" s="141" t="s">
        <v>1292</v>
      </c>
      <c r="D490" s="141" t="s">
        <v>1285</v>
      </c>
      <c r="E490" s="141" t="s">
        <v>145</v>
      </c>
      <c r="F490" s="141" t="s">
        <v>1309</v>
      </c>
      <c r="G490" s="141" t="s">
        <v>1293</v>
      </c>
      <c r="H490" s="141" t="s">
        <v>2106</v>
      </c>
      <c r="I490" s="164" t="n">
        <v>2011</v>
      </c>
      <c r="J490" s="73"/>
      <c r="K490" s="73"/>
      <c r="L490" s="73"/>
      <c r="M490" s="73" t="s">
        <v>1569</v>
      </c>
      <c r="N490" s="66" t="s">
        <v>1627</v>
      </c>
    </row>
    <row r="491" customFormat="false" ht="14.25" hidden="false" customHeight="false" outlineLevel="0" collapsed="false">
      <c r="A491" s="169" t="n">
        <v>462</v>
      </c>
      <c r="B491" s="163"/>
      <c r="C491" s="141" t="s">
        <v>1294</v>
      </c>
      <c r="D491" s="141" t="s">
        <v>1285</v>
      </c>
      <c r="E491" s="141" t="s">
        <v>145</v>
      </c>
      <c r="F491" s="141" t="s">
        <v>1287</v>
      </c>
      <c r="G491" s="141" t="s">
        <v>1295</v>
      </c>
      <c r="H491" s="141" t="s">
        <v>2105</v>
      </c>
      <c r="I491" s="164" t="n">
        <v>2017</v>
      </c>
      <c r="J491" s="73" t="s">
        <v>2109</v>
      </c>
      <c r="K491" s="73"/>
      <c r="L491" s="73"/>
      <c r="M491" s="73" t="s">
        <v>1569</v>
      </c>
      <c r="N491" s="73" t="s">
        <v>1595</v>
      </c>
    </row>
    <row r="492" customFormat="false" ht="14.25" hidden="false" customHeight="false" outlineLevel="0" collapsed="false">
      <c r="A492" s="169" t="n">
        <v>463</v>
      </c>
      <c r="B492" s="163"/>
      <c r="C492" s="141" t="s">
        <v>1334</v>
      </c>
      <c r="D492" s="141" t="s">
        <v>1285</v>
      </c>
      <c r="E492" s="141" t="s">
        <v>145</v>
      </c>
      <c r="F492" s="141" t="s">
        <v>2110</v>
      </c>
      <c r="G492" s="141" t="s">
        <v>1335</v>
      </c>
      <c r="H492" s="141" t="s">
        <v>2101</v>
      </c>
      <c r="I492" s="164" t="n">
        <v>2012</v>
      </c>
      <c r="J492" s="73"/>
      <c r="K492" s="73"/>
      <c r="L492" s="73"/>
      <c r="M492" s="73" t="s">
        <v>1569</v>
      </c>
      <c r="N492" s="73"/>
    </row>
    <row r="493" customFormat="false" ht="14.25" hidden="false" customHeight="false" outlineLevel="0" collapsed="false">
      <c r="A493" s="169" t="n">
        <v>464</v>
      </c>
      <c r="B493" s="163"/>
      <c r="C493" s="141" t="s">
        <v>1336</v>
      </c>
      <c r="D493" s="141" t="s">
        <v>1285</v>
      </c>
      <c r="E493" s="141" t="s">
        <v>145</v>
      </c>
      <c r="F493" s="141" t="s">
        <v>1287</v>
      </c>
      <c r="G493" s="141" t="s">
        <v>1337</v>
      </c>
      <c r="H493" s="141" t="s">
        <v>2101</v>
      </c>
      <c r="I493" s="164" t="n">
        <v>2012</v>
      </c>
      <c r="J493" s="73"/>
      <c r="K493" s="73"/>
      <c r="L493" s="73"/>
      <c r="M493" s="73" t="s">
        <v>1569</v>
      </c>
      <c r="N493" s="66" t="s">
        <v>1595</v>
      </c>
    </row>
    <row r="494" customFormat="false" ht="14.25" hidden="false" customHeight="false" outlineLevel="0" collapsed="false">
      <c r="A494" s="169" t="n">
        <v>465</v>
      </c>
      <c r="B494" s="163"/>
      <c r="C494" s="141" t="s">
        <v>1313</v>
      </c>
      <c r="D494" s="141" t="s">
        <v>1285</v>
      </c>
      <c r="E494" s="141" t="s">
        <v>145</v>
      </c>
      <c r="F494" s="141" t="s">
        <v>1309</v>
      </c>
      <c r="G494" s="141" t="s">
        <v>1314</v>
      </c>
      <c r="H494" s="141" t="s">
        <v>2104</v>
      </c>
      <c r="I494" s="164" t="n">
        <v>2012</v>
      </c>
      <c r="J494" s="115" t="s">
        <v>2111</v>
      </c>
      <c r="K494" s="73"/>
      <c r="L494" s="73"/>
      <c r="M494" s="73" t="s">
        <v>1569</v>
      </c>
      <c r="N494" s="66" t="s">
        <v>1601</v>
      </c>
    </row>
    <row r="495" customFormat="false" ht="14.25" hidden="false" customHeight="false" outlineLevel="0" collapsed="false">
      <c r="A495" s="169" t="n">
        <v>466</v>
      </c>
      <c r="B495" s="163"/>
      <c r="C495" s="141" t="s">
        <v>1338</v>
      </c>
      <c r="D495" s="141" t="s">
        <v>1285</v>
      </c>
      <c r="E495" s="141" t="s">
        <v>145</v>
      </c>
      <c r="F495" s="141" t="s">
        <v>1309</v>
      </c>
      <c r="G495" s="141" t="s">
        <v>1339</v>
      </c>
      <c r="H495" s="141" t="s">
        <v>2104</v>
      </c>
      <c r="I495" s="164" t="n">
        <v>2012</v>
      </c>
      <c r="J495" s="73"/>
      <c r="K495" s="73"/>
      <c r="L495" s="73"/>
      <c r="M495" s="73" t="s">
        <v>1569</v>
      </c>
      <c r="N495" s="73"/>
    </row>
    <row r="496" customFormat="false" ht="14.25" hidden="false" customHeight="false" outlineLevel="0" collapsed="false">
      <c r="A496" s="169" t="n">
        <v>467</v>
      </c>
      <c r="B496" s="163"/>
      <c r="C496" s="141" t="s">
        <v>1303</v>
      </c>
      <c r="D496" s="141" t="s">
        <v>1285</v>
      </c>
      <c r="E496" s="141" t="s">
        <v>145</v>
      </c>
      <c r="F496" s="141" t="s">
        <v>1287</v>
      </c>
      <c r="G496" s="141" t="s">
        <v>1304</v>
      </c>
      <c r="H496" s="141" t="s">
        <v>2105</v>
      </c>
      <c r="I496" s="164" t="n">
        <v>2015</v>
      </c>
      <c r="J496" s="115" t="s">
        <v>2112</v>
      </c>
      <c r="K496" s="73"/>
      <c r="L496" s="73"/>
      <c r="M496" s="73" t="s">
        <v>1569</v>
      </c>
      <c r="N496" s="66" t="s">
        <v>2113</v>
      </c>
    </row>
    <row r="497" customFormat="false" ht="14.25" hidden="false" customHeight="false" outlineLevel="0" collapsed="false">
      <c r="A497" s="169" t="n">
        <v>468</v>
      </c>
      <c r="B497" s="163"/>
      <c r="C497" s="141" t="s">
        <v>1340</v>
      </c>
      <c r="D497" s="141" t="s">
        <v>1285</v>
      </c>
      <c r="E497" s="141" t="s">
        <v>145</v>
      </c>
      <c r="F497" s="141" t="s">
        <v>1287</v>
      </c>
      <c r="G497" s="141" t="s">
        <v>1341</v>
      </c>
      <c r="H497" s="141" t="s">
        <v>2105</v>
      </c>
      <c r="I497" s="164" t="n">
        <v>2016</v>
      </c>
      <c r="J497" s="73"/>
      <c r="K497" s="73"/>
      <c r="L497" s="73"/>
      <c r="M497" s="73" t="s">
        <v>1569</v>
      </c>
      <c r="N497" s="66" t="s">
        <v>1618</v>
      </c>
    </row>
    <row r="498" customFormat="false" ht="14.25" hidden="false" customHeight="false" outlineLevel="0" collapsed="false">
      <c r="A498" s="169" t="n">
        <v>469</v>
      </c>
      <c r="B498" s="163"/>
      <c r="C498" s="141" t="s">
        <v>1342</v>
      </c>
      <c r="D498" s="141" t="s">
        <v>1285</v>
      </c>
      <c r="E498" s="141" t="s">
        <v>145</v>
      </c>
      <c r="F498" s="141" t="s">
        <v>1287</v>
      </c>
      <c r="G498" s="141" t="s">
        <v>1343</v>
      </c>
      <c r="H498" s="141" t="s">
        <v>2105</v>
      </c>
      <c r="I498" s="164" t="n">
        <v>2015</v>
      </c>
      <c r="J498" s="115" t="s">
        <v>2114</v>
      </c>
      <c r="K498" s="73"/>
      <c r="L498" s="73"/>
      <c r="M498" s="73" t="s">
        <v>1569</v>
      </c>
      <c r="N498" s="66" t="s">
        <v>1601</v>
      </c>
    </row>
    <row r="499" customFormat="false" ht="14.25" hidden="false" customHeight="false" outlineLevel="0" collapsed="false">
      <c r="A499" s="169" t="n">
        <v>470</v>
      </c>
      <c r="B499" s="163"/>
      <c r="C499" s="141" t="s">
        <v>1344</v>
      </c>
      <c r="D499" s="141" t="s">
        <v>1285</v>
      </c>
      <c r="E499" s="141" t="s">
        <v>145</v>
      </c>
      <c r="F499" s="141" t="s">
        <v>1287</v>
      </c>
      <c r="G499" s="141" t="s">
        <v>1345</v>
      </c>
      <c r="H499" s="141" t="s">
        <v>2105</v>
      </c>
      <c r="I499" s="164" t="n">
        <v>2016</v>
      </c>
      <c r="J499" s="73"/>
      <c r="K499" s="73"/>
      <c r="L499" s="73"/>
      <c r="M499" s="73" t="s">
        <v>1569</v>
      </c>
      <c r="N499" s="66" t="s">
        <v>1588</v>
      </c>
    </row>
    <row r="500" customFormat="false" ht="14.25" hidden="false" customHeight="false" outlineLevel="0" collapsed="false">
      <c r="A500" s="169" t="n">
        <v>471</v>
      </c>
      <c r="B500" s="163"/>
      <c r="C500" s="141" t="s">
        <v>1305</v>
      </c>
      <c r="D500" s="141" t="s">
        <v>1285</v>
      </c>
      <c r="E500" s="141" t="s">
        <v>145</v>
      </c>
      <c r="F500" s="141" t="s">
        <v>1306</v>
      </c>
      <c r="G500" s="141" t="s">
        <v>1307</v>
      </c>
      <c r="H500" s="141" t="s">
        <v>2104</v>
      </c>
      <c r="I500" s="164" t="n">
        <v>2015</v>
      </c>
      <c r="J500" s="73"/>
      <c r="K500" s="73"/>
      <c r="L500" s="73"/>
      <c r="M500" s="73" t="s">
        <v>1569</v>
      </c>
      <c r="N500" s="73"/>
    </row>
    <row r="501" customFormat="false" ht="14.25" hidden="false" customHeight="false" outlineLevel="0" collapsed="false">
      <c r="A501" s="169" t="n">
        <v>472</v>
      </c>
      <c r="B501" s="163"/>
      <c r="C501" s="141" t="s">
        <v>1346</v>
      </c>
      <c r="D501" s="141" t="s">
        <v>1285</v>
      </c>
      <c r="E501" s="141" t="s">
        <v>145</v>
      </c>
      <c r="F501" s="141" t="s">
        <v>1306</v>
      </c>
      <c r="G501" s="141" t="s">
        <v>1347</v>
      </c>
      <c r="H501" s="141" t="s">
        <v>2104</v>
      </c>
      <c r="I501" s="164" t="n">
        <v>2015</v>
      </c>
      <c r="J501" s="73"/>
      <c r="K501" s="73"/>
      <c r="L501" s="73"/>
      <c r="M501" s="73" t="s">
        <v>1569</v>
      </c>
      <c r="N501" s="73"/>
    </row>
    <row r="502" customFormat="false" ht="14.25" hidden="false" customHeight="false" outlineLevel="0" collapsed="false">
      <c r="A502" s="169" t="n">
        <v>473</v>
      </c>
      <c r="B502" s="163"/>
      <c r="C502" s="141" t="s">
        <v>1348</v>
      </c>
      <c r="D502" s="141" t="s">
        <v>1285</v>
      </c>
      <c r="E502" s="141" t="s">
        <v>145</v>
      </c>
      <c r="F502" s="141" t="s">
        <v>1309</v>
      </c>
      <c r="G502" s="141" t="s">
        <v>1349</v>
      </c>
      <c r="H502" s="141" t="s">
        <v>2104</v>
      </c>
      <c r="I502" s="164" t="n">
        <v>2012</v>
      </c>
      <c r="J502" s="115" t="s">
        <v>2115</v>
      </c>
      <c r="K502" s="73"/>
      <c r="L502" s="73"/>
      <c r="M502" s="73" t="s">
        <v>1569</v>
      </c>
      <c r="N502" s="66" t="s">
        <v>1601</v>
      </c>
    </row>
    <row r="503" customFormat="false" ht="14.25" hidden="false" customHeight="false" outlineLevel="0" collapsed="false">
      <c r="A503" s="169" t="n">
        <v>474</v>
      </c>
      <c r="B503" s="163"/>
      <c r="C503" s="141" t="s">
        <v>1308</v>
      </c>
      <c r="D503" s="141" t="s">
        <v>1285</v>
      </c>
      <c r="E503" s="141" t="s">
        <v>145</v>
      </c>
      <c r="F503" s="141" t="s">
        <v>1309</v>
      </c>
      <c r="G503" s="141" t="s">
        <v>1310</v>
      </c>
      <c r="H503" s="141" t="s">
        <v>2104</v>
      </c>
      <c r="I503" s="164" t="n">
        <v>2013</v>
      </c>
      <c r="J503" s="73"/>
      <c r="K503" s="73"/>
      <c r="L503" s="73"/>
      <c r="M503" s="73" t="s">
        <v>1569</v>
      </c>
      <c r="N503" s="73" t="s">
        <v>1595</v>
      </c>
    </row>
    <row r="504" customFormat="false" ht="14.25" hidden="false" customHeight="false" outlineLevel="0" collapsed="false">
      <c r="A504" s="169" t="n">
        <v>475</v>
      </c>
      <c r="B504" s="163"/>
      <c r="C504" s="141" t="s">
        <v>1350</v>
      </c>
      <c r="D504" s="141" t="s">
        <v>1285</v>
      </c>
      <c r="E504" s="141" t="s">
        <v>145</v>
      </c>
      <c r="F504" s="141" t="s">
        <v>1309</v>
      </c>
      <c r="G504" s="141" t="s">
        <v>1351</v>
      </c>
      <c r="H504" s="141" t="s">
        <v>2104</v>
      </c>
      <c r="I504" s="164" t="n">
        <v>2013</v>
      </c>
      <c r="J504" s="73" t="s">
        <v>2116</v>
      </c>
      <c r="K504" s="73"/>
      <c r="L504" s="73"/>
      <c r="M504" s="73" t="s">
        <v>1569</v>
      </c>
      <c r="N504" s="73" t="s">
        <v>1595</v>
      </c>
    </row>
    <row r="505" customFormat="false" ht="14.25" hidden="false" customHeight="false" outlineLevel="0" collapsed="false">
      <c r="A505" s="169" t="n">
        <v>476</v>
      </c>
      <c r="B505" s="163"/>
      <c r="C505" s="141" t="s">
        <v>1352</v>
      </c>
      <c r="D505" s="141" t="s">
        <v>1285</v>
      </c>
      <c r="E505" s="141" t="s">
        <v>145</v>
      </c>
      <c r="F505" s="141" t="s">
        <v>1309</v>
      </c>
      <c r="G505" s="141" t="s">
        <v>1353</v>
      </c>
      <c r="H505" s="141" t="s">
        <v>2106</v>
      </c>
      <c r="I505" s="164" t="n">
        <v>2011</v>
      </c>
      <c r="J505" s="73"/>
      <c r="K505" s="73"/>
      <c r="L505" s="73"/>
      <c r="M505" s="73" t="s">
        <v>1569</v>
      </c>
      <c r="N505" s="73"/>
    </row>
    <row r="506" customFormat="false" ht="14.25" hidden="false" customHeight="false" outlineLevel="0" collapsed="false">
      <c r="A506" s="169" t="n">
        <v>477</v>
      </c>
      <c r="B506" s="163"/>
      <c r="C506" s="141" t="s">
        <v>1301</v>
      </c>
      <c r="D506" s="141" t="s">
        <v>1287</v>
      </c>
      <c r="E506" s="141" t="s">
        <v>145</v>
      </c>
      <c r="F506" s="141" t="s">
        <v>1287</v>
      </c>
      <c r="G506" s="141" t="s">
        <v>1302</v>
      </c>
      <c r="H506" s="141" t="s">
        <v>2105</v>
      </c>
      <c r="I506" s="164" t="n">
        <v>2016</v>
      </c>
      <c r="J506" s="73"/>
      <c r="K506" s="73"/>
      <c r="L506" s="73"/>
      <c r="M506" s="73" t="s">
        <v>1569</v>
      </c>
      <c r="N506" s="73"/>
    </row>
    <row r="507" customFormat="false" ht="14.25" hidden="false" customHeight="false" outlineLevel="0" collapsed="false">
      <c r="A507" s="169" t="n">
        <v>478</v>
      </c>
      <c r="B507" s="163"/>
      <c r="C507" s="141"/>
      <c r="D507" s="141" t="s">
        <v>1287</v>
      </c>
      <c r="E507" s="141" t="s">
        <v>145</v>
      </c>
      <c r="F507" s="141" t="s">
        <v>1287</v>
      </c>
      <c r="G507" s="141" t="s">
        <v>1355</v>
      </c>
      <c r="H507" s="141" t="s">
        <v>2105</v>
      </c>
      <c r="I507" s="164" t="n">
        <v>2017</v>
      </c>
      <c r="J507" s="115" t="s">
        <v>2117</v>
      </c>
      <c r="K507" s="73"/>
      <c r="L507" s="73"/>
      <c r="M507" s="73" t="s">
        <v>1569</v>
      </c>
      <c r="N507" s="66" t="s">
        <v>1595</v>
      </c>
    </row>
    <row r="508" customFormat="false" ht="14.25" hidden="false" customHeight="false" outlineLevel="0" collapsed="false">
      <c r="A508" s="169" t="n">
        <v>479</v>
      </c>
      <c r="B508" s="163"/>
      <c r="C508" s="141" t="s">
        <v>1356</v>
      </c>
      <c r="D508" s="141" t="s">
        <v>1287</v>
      </c>
      <c r="E508" s="141" t="s">
        <v>145</v>
      </c>
      <c r="F508" s="141" t="s">
        <v>1287</v>
      </c>
      <c r="G508" s="141" t="s">
        <v>1357</v>
      </c>
      <c r="H508" s="141" t="s">
        <v>2105</v>
      </c>
      <c r="I508" s="164" t="n">
        <v>2017</v>
      </c>
      <c r="J508" s="73"/>
      <c r="K508" s="73"/>
      <c r="L508" s="73"/>
      <c r="M508" s="73" t="s">
        <v>1569</v>
      </c>
      <c r="N508" s="73"/>
    </row>
    <row r="509" customFormat="false" ht="14.25" hidden="false" customHeight="false" outlineLevel="0" collapsed="false">
      <c r="A509" s="169" t="n">
        <v>480</v>
      </c>
      <c r="B509" s="163"/>
      <c r="C509" s="141"/>
      <c r="D509" s="141" t="s">
        <v>1327</v>
      </c>
      <c r="E509" s="141" t="s">
        <v>145</v>
      </c>
      <c r="F509" s="141" t="s">
        <v>1290</v>
      </c>
      <c r="G509" s="141" t="s">
        <v>1359</v>
      </c>
      <c r="H509" s="141" t="n">
        <v>110</v>
      </c>
      <c r="I509" s="172" t="n">
        <v>2017</v>
      </c>
      <c r="J509" s="73" t="s">
        <v>2118</v>
      </c>
      <c r="K509" s="73"/>
      <c r="L509" s="73"/>
      <c r="M509" s="73" t="s">
        <v>1569</v>
      </c>
      <c r="N509" s="66" t="s">
        <v>1588</v>
      </c>
    </row>
    <row r="510" customFormat="false" ht="14.25" hidden="false" customHeight="false" outlineLevel="0" collapsed="false">
      <c r="A510" s="169" t="n">
        <v>481</v>
      </c>
      <c r="B510" s="163"/>
      <c r="C510" s="141"/>
      <c r="D510" s="141"/>
      <c r="E510" s="141" t="s">
        <v>145</v>
      </c>
      <c r="F510" s="141"/>
      <c r="G510" s="141" t="s">
        <v>1361</v>
      </c>
      <c r="H510" s="141"/>
      <c r="I510" s="172"/>
      <c r="J510" s="73"/>
      <c r="K510" s="73"/>
      <c r="L510" s="73"/>
      <c r="M510" s="73" t="s">
        <v>1569</v>
      </c>
      <c r="N510" s="66" t="s">
        <v>1595</v>
      </c>
    </row>
    <row r="511" customFormat="false" ht="14.25" hidden="false" customHeight="false" outlineLevel="0" collapsed="false">
      <c r="A511" s="169" t="n">
        <v>482</v>
      </c>
      <c r="B511" s="163"/>
      <c r="C511" s="141"/>
      <c r="D511" s="141"/>
      <c r="E511" s="141" t="s">
        <v>145</v>
      </c>
      <c r="F511" s="141"/>
      <c r="G511" s="141" t="s">
        <v>1362</v>
      </c>
      <c r="H511" s="141"/>
      <c r="I511" s="172"/>
      <c r="J511" s="73"/>
      <c r="K511" s="73"/>
      <c r="L511" s="73"/>
      <c r="M511" s="73" t="s">
        <v>1569</v>
      </c>
      <c r="N511" s="73" t="s">
        <v>1622</v>
      </c>
    </row>
    <row r="512" customFormat="false" ht="14.25" hidden="false" customHeight="false" outlineLevel="0" collapsed="false">
      <c r="A512" s="169" t="n">
        <v>483</v>
      </c>
      <c r="B512" s="163"/>
      <c r="C512" s="141"/>
      <c r="D512" s="141"/>
      <c r="E512" s="141" t="s">
        <v>145</v>
      </c>
      <c r="F512" s="141"/>
      <c r="G512" s="141" t="s">
        <v>1363</v>
      </c>
      <c r="H512" s="141"/>
      <c r="I512" s="172"/>
      <c r="J512" s="73"/>
      <c r="K512" s="73"/>
      <c r="L512" s="73"/>
      <c r="M512" s="73" t="s">
        <v>1569</v>
      </c>
      <c r="N512" s="73" t="s">
        <v>1622</v>
      </c>
    </row>
    <row r="513" customFormat="false" ht="14.25" hidden="false" customHeight="false" outlineLevel="0" collapsed="false">
      <c r="A513" s="169" t="n">
        <v>484</v>
      </c>
      <c r="B513" s="163"/>
      <c r="C513" s="141"/>
      <c r="D513" s="141"/>
      <c r="E513" s="141" t="s">
        <v>145</v>
      </c>
      <c r="F513" s="141"/>
      <c r="G513" s="141" t="s">
        <v>1364</v>
      </c>
      <c r="H513" s="141"/>
      <c r="I513" s="172"/>
      <c r="J513" s="73"/>
      <c r="K513" s="73"/>
      <c r="L513" s="73"/>
      <c r="M513" s="73" t="s">
        <v>1569</v>
      </c>
      <c r="N513" s="73" t="s">
        <v>1622</v>
      </c>
    </row>
    <row r="514" customFormat="false" ht="14.25" hidden="false" customHeight="false" outlineLevel="0" collapsed="false">
      <c r="A514" s="169" t="n">
        <v>485</v>
      </c>
      <c r="B514" s="163"/>
      <c r="C514" s="141"/>
      <c r="D514" s="141"/>
      <c r="E514" s="141" t="s">
        <v>145</v>
      </c>
      <c r="F514" s="141"/>
      <c r="G514" s="141" t="s">
        <v>1365</v>
      </c>
      <c r="H514" s="141"/>
      <c r="I514" s="115" t="s">
        <v>2119</v>
      </c>
      <c r="J514" s="73"/>
      <c r="K514" s="73"/>
      <c r="L514" s="73"/>
      <c r="M514" s="73" t="s">
        <v>1569</v>
      </c>
      <c r="N514" s="66" t="s">
        <v>1595</v>
      </c>
    </row>
    <row r="515" customFormat="false" ht="14.25" hidden="false" customHeight="false" outlineLevel="0" collapsed="false">
      <c r="A515" s="169" t="n">
        <v>486</v>
      </c>
      <c r="B515" s="163"/>
      <c r="C515" s="141"/>
      <c r="D515" s="141"/>
      <c r="E515" s="141" t="s">
        <v>145</v>
      </c>
      <c r="F515" s="141"/>
      <c r="G515" s="141" t="s">
        <v>1367</v>
      </c>
      <c r="H515" s="141"/>
      <c r="I515" s="115" t="s">
        <v>2120</v>
      </c>
      <c r="J515" s="73"/>
      <c r="K515" s="73"/>
      <c r="L515" s="73"/>
      <c r="M515" s="73" t="s">
        <v>1569</v>
      </c>
      <c r="N515" s="73" t="s">
        <v>1595</v>
      </c>
    </row>
    <row r="516" customFormat="false" ht="14.25" hidden="false" customHeight="false" outlineLevel="0" collapsed="false">
      <c r="A516" s="169" t="n">
        <v>487</v>
      </c>
      <c r="B516" s="163"/>
      <c r="C516" s="141"/>
      <c r="D516" s="141"/>
      <c r="E516" s="141" t="s">
        <v>145</v>
      </c>
      <c r="F516" s="141"/>
      <c r="G516" s="141" t="s">
        <v>1369</v>
      </c>
      <c r="H516" s="141"/>
      <c r="I516" s="115" t="s">
        <v>2121</v>
      </c>
      <c r="J516" s="73"/>
      <c r="K516" s="73"/>
      <c r="L516" s="73"/>
      <c r="M516" s="73" t="s">
        <v>1569</v>
      </c>
      <c r="N516" s="73"/>
    </row>
    <row r="517" s="53" customFormat="true" ht="14.25" hidden="false" customHeight="false" outlineLevel="0" collapsed="false">
      <c r="A517" s="170" t="n">
        <v>488</v>
      </c>
      <c r="B517" s="163"/>
      <c r="C517" s="117" t="s">
        <v>1371</v>
      </c>
      <c r="D517" s="117"/>
      <c r="E517" s="117" t="s">
        <v>145</v>
      </c>
      <c r="F517" s="117"/>
      <c r="G517" s="117" t="s">
        <v>1372</v>
      </c>
      <c r="H517" s="117"/>
      <c r="I517" s="173" t="s">
        <v>2122</v>
      </c>
      <c r="J517" s="96"/>
      <c r="K517" s="96"/>
      <c r="L517" s="96"/>
      <c r="M517" s="96" t="s">
        <v>1569</v>
      </c>
      <c r="N517" s="96" t="s">
        <v>1701</v>
      </c>
    </row>
    <row r="518" customFormat="false" ht="14.25" hidden="false" customHeight="false" outlineLevel="0" collapsed="false">
      <c r="A518" s="169" t="n">
        <v>489</v>
      </c>
      <c r="B518" s="163"/>
      <c r="C518" s="141"/>
      <c r="D518" s="141"/>
      <c r="E518" s="141" t="s">
        <v>145</v>
      </c>
      <c r="F518" s="141"/>
      <c r="G518" s="141" t="s">
        <v>1374</v>
      </c>
      <c r="H518" s="141"/>
      <c r="I518" s="172"/>
      <c r="J518" s="73"/>
      <c r="K518" s="73"/>
      <c r="L518" s="73"/>
      <c r="M518" s="73" t="s">
        <v>1569</v>
      </c>
      <c r="N518" s="73" t="s">
        <v>1595</v>
      </c>
    </row>
    <row r="519" customFormat="false" ht="14.25" hidden="false" customHeight="false" outlineLevel="0" collapsed="false">
      <c r="A519" s="169" t="n">
        <v>490</v>
      </c>
      <c r="B519" s="163"/>
      <c r="C519" s="141"/>
      <c r="D519" s="141"/>
      <c r="E519" s="141" t="s">
        <v>145</v>
      </c>
      <c r="F519" s="141"/>
      <c r="G519" s="141" t="s">
        <v>2123</v>
      </c>
      <c r="H519" s="141"/>
      <c r="I519" s="115" t="s">
        <v>2124</v>
      </c>
      <c r="J519" s="73"/>
      <c r="K519" s="73"/>
      <c r="L519" s="73"/>
      <c r="M519" s="73" t="s">
        <v>1569</v>
      </c>
      <c r="N519" s="66" t="s">
        <v>1595</v>
      </c>
    </row>
    <row r="520" customFormat="false" ht="14.25" hidden="false" customHeight="false" outlineLevel="0" collapsed="false">
      <c r="A520" s="169" t="n">
        <v>491</v>
      </c>
      <c r="B520" s="163"/>
      <c r="C520" s="141"/>
      <c r="D520" s="141"/>
      <c r="E520" s="141" t="s">
        <v>145</v>
      </c>
      <c r="F520" s="141"/>
      <c r="G520" s="141" t="s">
        <v>2125</v>
      </c>
      <c r="H520" s="141"/>
      <c r="I520" s="115" t="s">
        <v>1354</v>
      </c>
      <c r="J520" s="73"/>
      <c r="K520" s="73"/>
      <c r="L520" s="73"/>
      <c r="M520" s="73" t="s">
        <v>1569</v>
      </c>
      <c r="N520" s="66" t="s">
        <v>1595</v>
      </c>
    </row>
    <row r="521" s="113" customFormat="true" ht="14.25" hidden="false" customHeight="false" outlineLevel="0" collapsed="false">
      <c r="A521" s="120" t="n">
        <v>492</v>
      </c>
      <c r="B521" s="163"/>
      <c r="C521" s="115"/>
      <c r="D521" s="115"/>
      <c r="E521" s="115" t="s">
        <v>145</v>
      </c>
      <c r="F521" s="115"/>
      <c r="G521" s="115" t="s">
        <v>2126</v>
      </c>
      <c r="H521" s="115"/>
      <c r="I521" s="174" t="s">
        <v>2127</v>
      </c>
      <c r="J521" s="106"/>
      <c r="K521" s="106"/>
      <c r="L521" s="106"/>
      <c r="M521" s="106" t="s">
        <v>1569</v>
      </c>
      <c r="N521" s="66" t="s">
        <v>1595</v>
      </c>
    </row>
    <row r="522" customFormat="false" ht="14.25" hidden="false" customHeight="false" outlineLevel="0" collapsed="false">
      <c r="A522" s="169" t="n">
        <v>493</v>
      </c>
      <c r="B522" s="163"/>
      <c r="C522" s="141"/>
      <c r="D522" s="141"/>
      <c r="E522" s="141" t="s">
        <v>145</v>
      </c>
      <c r="F522" s="141"/>
      <c r="G522" s="141" t="s">
        <v>2128</v>
      </c>
      <c r="H522" s="141"/>
      <c r="I522" s="172" t="s">
        <v>1358</v>
      </c>
      <c r="J522" s="73"/>
      <c r="K522" s="73"/>
      <c r="L522" s="73"/>
      <c r="M522" s="73" t="s">
        <v>1569</v>
      </c>
      <c r="N522" s="66" t="s">
        <v>1595</v>
      </c>
    </row>
    <row r="523" customFormat="false" ht="14.25" hidden="false" customHeight="false" outlineLevel="0" collapsed="false">
      <c r="A523" s="169" t="n">
        <v>494</v>
      </c>
      <c r="B523" s="163"/>
      <c r="C523" s="141"/>
      <c r="D523" s="141"/>
      <c r="E523" s="141" t="s">
        <v>145</v>
      </c>
      <c r="F523" s="141"/>
      <c r="G523" s="141" t="s">
        <v>2129</v>
      </c>
      <c r="H523" s="141"/>
      <c r="I523" s="115" t="s">
        <v>1360</v>
      </c>
      <c r="J523" s="73"/>
      <c r="K523" s="73"/>
      <c r="L523" s="73"/>
      <c r="M523" s="73" t="s">
        <v>1569</v>
      </c>
      <c r="N523" s="66" t="s">
        <v>1595</v>
      </c>
    </row>
    <row r="524" customFormat="false" ht="14.25" hidden="false" customHeight="false" outlineLevel="0" collapsed="false">
      <c r="A524" s="169" t="n">
        <v>495</v>
      </c>
      <c r="B524" s="163"/>
      <c r="C524" s="141"/>
      <c r="D524" s="141"/>
      <c r="E524" s="141" t="s">
        <v>145</v>
      </c>
      <c r="F524" s="141"/>
      <c r="G524" s="141" t="s">
        <v>1307</v>
      </c>
      <c r="H524" s="141"/>
      <c r="I524" s="172"/>
      <c r="J524" s="73"/>
      <c r="K524" s="73"/>
      <c r="L524" s="73"/>
      <c r="M524" s="73" t="s">
        <v>1569</v>
      </c>
      <c r="N524" s="73" t="s">
        <v>2130</v>
      </c>
    </row>
    <row r="525" customFormat="false" ht="14.25" hidden="false" customHeight="false" outlineLevel="0" collapsed="false">
      <c r="A525" s="169" t="n">
        <v>496</v>
      </c>
      <c r="B525" s="163"/>
      <c r="C525" s="141"/>
      <c r="D525" s="141"/>
      <c r="E525" s="141" t="s">
        <v>145</v>
      </c>
      <c r="F525" s="141"/>
      <c r="G525" s="141" t="s">
        <v>1347</v>
      </c>
      <c r="H525" s="141"/>
      <c r="I525" s="172"/>
      <c r="J525" s="73"/>
      <c r="K525" s="73"/>
      <c r="L525" s="73"/>
      <c r="M525" s="73" t="s">
        <v>1569</v>
      </c>
      <c r="N525" s="73" t="s">
        <v>2130</v>
      </c>
    </row>
    <row r="526" customFormat="false" ht="14.25" hidden="false" customHeight="false" outlineLevel="0" collapsed="false">
      <c r="A526" s="169" t="n">
        <v>497</v>
      </c>
      <c r="B526" s="163"/>
      <c r="C526" s="141"/>
      <c r="D526" s="141"/>
      <c r="E526" s="141" t="s">
        <v>145</v>
      </c>
      <c r="F526" s="141"/>
      <c r="G526" s="141" t="s">
        <v>2131</v>
      </c>
      <c r="H526" s="141"/>
      <c r="I526" s="172"/>
      <c r="J526" s="73"/>
      <c r="K526" s="73"/>
      <c r="L526" s="73"/>
      <c r="M526" s="73" t="s">
        <v>1569</v>
      </c>
      <c r="N526" s="66" t="s">
        <v>1646</v>
      </c>
    </row>
    <row r="527" customFormat="false" ht="14.25" hidden="false" customHeight="false" outlineLevel="0" collapsed="false">
      <c r="A527" s="169" t="n">
        <v>498</v>
      </c>
      <c r="B527" s="163"/>
      <c r="C527" s="141"/>
      <c r="D527" s="141"/>
      <c r="E527" s="141" t="s">
        <v>145</v>
      </c>
      <c r="F527" s="141"/>
      <c r="G527" s="141" t="s">
        <v>2132</v>
      </c>
      <c r="H527" s="141"/>
      <c r="I527" s="172"/>
      <c r="J527" s="73"/>
      <c r="K527" s="73"/>
      <c r="L527" s="73"/>
      <c r="M527" s="73" t="s">
        <v>1569</v>
      </c>
      <c r="N527" s="66" t="s">
        <v>1618</v>
      </c>
    </row>
    <row r="528" customFormat="false" ht="14.25" hidden="false" customHeight="false" outlineLevel="0" collapsed="false">
      <c r="A528" s="169" t="n">
        <v>499</v>
      </c>
      <c r="B528" s="163"/>
      <c r="C528" s="141"/>
      <c r="D528" s="141"/>
      <c r="E528" s="141" t="s">
        <v>145</v>
      </c>
      <c r="F528" s="141"/>
      <c r="G528" s="141" t="s">
        <v>2133</v>
      </c>
      <c r="H528" s="141"/>
      <c r="I528" s="115" t="s">
        <v>1366</v>
      </c>
      <c r="J528" s="73"/>
      <c r="K528" s="73"/>
      <c r="L528" s="73"/>
      <c r="M528" s="73" t="s">
        <v>1569</v>
      </c>
      <c r="N528" s="66" t="s">
        <v>1595</v>
      </c>
    </row>
    <row r="529" customFormat="false" ht="14.25" hidden="false" customHeight="false" outlineLevel="0" collapsed="false">
      <c r="A529" s="169" t="n">
        <v>500</v>
      </c>
      <c r="B529" s="163"/>
      <c r="C529" s="141"/>
      <c r="D529" s="141" t="s">
        <v>1370</v>
      </c>
      <c r="E529" s="141" t="s">
        <v>145</v>
      </c>
      <c r="F529" s="141"/>
      <c r="G529" s="141" t="s">
        <v>2134</v>
      </c>
      <c r="H529" s="141"/>
      <c r="I529" s="172"/>
      <c r="J529" s="73"/>
      <c r="K529" s="73"/>
      <c r="L529" s="73"/>
      <c r="M529" s="73"/>
      <c r="N529" s="66"/>
    </row>
    <row r="530" customFormat="false" ht="14.25" hidden="false" customHeight="false" outlineLevel="0" collapsed="false">
      <c r="A530" s="169" t="n">
        <v>501</v>
      </c>
      <c r="B530" s="163"/>
      <c r="C530" s="141"/>
      <c r="D530" s="141" t="s">
        <v>1327</v>
      </c>
      <c r="E530" s="141" t="s">
        <v>145</v>
      </c>
      <c r="F530" s="141"/>
      <c r="G530" s="141" t="s">
        <v>2134</v>
      </c>
      <c r="H530" s="141" t="n">
        <v>125</v>
      </c>
      <c r="I530" s="136" t="s">
        <v>1373</v>
      </c>
      <c r="J530" s="73"/>
      <c r="K530" s="73"/>
      <c r="L530" s="73"/>
      <c r="M530" s="73" t="s">
        <v>1569</v>
      </c>
      <c r="N530" s="66" t="s">
        <v>1595</v>
      </c>
    </row>
    <row r="531" s="53" customFormat="true" ht="14.25" hidden="false" customHeight="false" outlineLevel="0" collapsed="false">
      <c r="A531" s="170" t="n">
        <v>502</v>
      </c>
      <c r="B531" s="163"/>
      <c r="C531" s="117"/>
      <c r="D531" s="117"/>
      <c r="E531" s="117" t="s">
        <v>145</v>
      </c>
      <c r="F531" s="117"/>
      <c r="G531" s="117" t="s">
        <v>2135</v>
      </c>
      <c r="H531" s="117"/>
      <c r="I531" s="175" t="s">
        <v>1368</v>
      </c>
      <c r="J531" s="96"/>
      <c r="K531" s="96"/>
      <c r="L531" s="96"/>
      <c r="M531" s="96" t="s">
        <v>1569</v>
      </c>
      <c r="N531" s="96" t="s">
        <v>2136</v>
      </c>
      <c r="O531" s="53" t="s">
        <v>1701</v>
      </c>
    </row>
    <row r="532" customFormat="false" ht="14.25" hidden="false" customHeight="false" outlineLevel="0" collapsed="false">
      <c r="A532" s="74"/>
      <c r="C532" s="154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</row>
    <row r="533" s="166" customFormat="true" ht="14.25" hidden="false" customHeight="false" outlineLevel="0" collapsed="false">
      <c r="A533" s="165" t="n">
        <v>503</v>
      </c>
      <c r="B533" s="114" t="s">
        <v>1375</v>
      </c>
      <c r="C533" s="118" t="s">
        <v>1381</v>
      </c>
      <c r="D533" s="63" t="s">
        <v>1379</v>
      </c>
      <c r="E533" s="63" t="s">
        <v>147</v>
      </c>
      <c r="F533" s="63" t="s">
        <v>1375</v>
      </c>
      <c r="G533" s="65"/>
      <c r="H533" s="63" t="s">
        <v>2137</v>
      </c>
      <c r="I533" s="165"/>
      <c r="J533" s="65"/>
      <c r="K533" s="65"/>
      <c r="L533" s="65"/>
      <c r="M533" s="65" t="s">
        <v>1569</v>
      </c>
      <c r="N533" s="66" t="s">
        <v>2138</v>
      </c>
    </row>
    <row r="534" customFormat="false" ht="14.25" hidden="false" customHeight="false" outlineLevel="0" collapsed="false">
      <c r="A534" s="165" t="n">
        <v>504</v>
      </c>
      <c r="B534" s="114"/>
      <c r="C534" s="63" t="s">
        <v>1382</v>
      </c>
      <c r="D534" s="63" t="s">
        <v>1379</v>
      </c>
      <c r="E534" s="63" t="s">
        <v>147</v>
      </c>
      <c r="F534" s="63" t="s">
        <v>1375</v>
      </c>
      <c r="G534" s="63"/>
      <c r="H534" s="63" t="s">
        <v>2137</v>
      </c>
      <c r="I534" s="155"/>
      <c r="J534" s="65"/>
      <c r="K534" s="65"/>
      <c r="L534" s="65"/>
      <c r="M534" s="65" t="s">
        <v>1569</v>
      </c>
      <c r="N534" s="66" t="s">
        <v>1595</v>
      </c>
    </row>
    <row r="535" customFormat="false" ht="14.25" hidden="false" customHeight="false" outlineLevel="0" collapsed="false">
      <c r="A535" s="165" t="n">
        <v>505</v>
      </c>
      <c r="B535" s="114"/>
      <c r="C535" s="63" t="s">
        <v>1380</v>
      </c>
      <c r="D535" s="63" t="s">
        <v>1379</v>
      </c>
      <c r="E535" s="63" t="s">
        <v>147</v>
      </c>
      <c r="F535" s="63" t="s">
        <v>1375</v>
      </c>
      <c r="G535" s="63" t="s">
        <v>1238</v>
      </c>
      <c r="H535" s="63" t="s">
        <v>2137</v>
      </c>
      <c r="I535" s="155" t="n">
        <v>2017</v>
      </c>
      <c r="J535" s="65"/>
      <c r="K535" s="65"/>
      <c r="L535" s="65"/>
      <c r="M535" s="65" t="s">
        <v>1569</v>
      </c>
      <c r="N535" s="73"/>
    </row>
    <row r="536" customFormat="false" ht="14.25" hidden="false" customHeight="false" outlineLevel="0" collapsed="false">
      <c r="A536" s="165" t="n">
        <v>506</v>
      </c>
      <c r="B536" s="114"/>
      <c r="C536" s="63" t="s">
        <v>1376</v>
      </c>
      <c r="D536" s="63" t="s">
        <v>1099</v>
      </c>
      <c r="E536" s="63" t="s">
        <v>147</v>
      </c>
      <c r="F536" s="63" t="s">
        <v>1375</v>
      </c>
      <c r="G536" s="63" t="s">
        <v>1244</v>
      </c>
      <c r="H536" s="63" t="s">
        <v>2137</v>
      </c>
      <c r="I536" s="155" t="n">
        <v>2017</v>
      </c>
      <c r="J536" s="65"/>
      <c r="K536" s="65"/>
      <c r="L536" s="65"/>
      <c r="M536" s="65" t="s">
        <v>1569</v>
      </c>
      <c r="N536" s="73"/>
    </row>
    <row r="537" customFormat="false" ht="14.25" hidden="false" customHeight="false" outlineLevel="0" collapsed="false">
      <c r="A537" s="165" t="n">
        <v>507</v>
      </c>
      <c r="B537" s="114"/>
      <c r="C537" s="63" t="s">
        <v>1377</v>
      </c>
      <c r="D537" s="63" t="s">
        <v>1099</v>
      </c>
      <c r="E537" s="63" t="s">
        <v>147</v>
      </c>
      <c r="F537" s="63" t="s">
        <v>1375</v>
      </c>
      <c r="G537" s="63" t="s">
        <v>1242</v>
      </c>
      <c r="H537" s="63" t="s">
        <v>2137</v>
      </c>
      <c r="I537" s="155" t="n">
        <v>2017</v>
      </c>
      <c r="J537" s="65"/>
      <c r="K537" s="65"/>
      <c r="L537" s="65"/>
      <c r="M537" s="65" t="s">
        <v>1569</v>
      </c>
      <c r="N537" s="73"/>
    </row>
    <row r="538" customFormat="false" ht="14.25" hidden="false" customHeight="false" outlineLevel="0" collapsed="false">
      <c r="A538" s="165" t="n">
        <v>508</v>
      </c>
      <c r="B538" s="114"/>
      <c r="C538" s="63" t="s">
        <v>1378</v>
      </c>
      <c r="D538" s="63" t="s">
        <v>1102</v>
      </c>
      <c r="E538" s="63" t="s">
        <v>147</v>
      </c>
      <c r="F538" s="63" t="s">
        <v>1375</v>
      </c>
      <c r="G538" s="63"/>
      <c r="H538" s="63" t="s">
        <v>2137</v>
      </c>
      <c r="I538" s="155" t="n">
        <v>2017</v>
      </c>
      <c r="J538" s="65" t="s">
        <v>2139</v>
      </c>
      <c r="K538" s="65"/>
      <c r="L538" s="65"/>
      <c r="M538" s="65" t="s">
        <v>1569</v>
      </c>
      <c r="N538" s="66" t="s">
        <v>1586</v>
      </c>
    </row>
    <row r="539" customFormat="false" ht="14.25" hidden="false" customHeight="false" outlineLevel="0" collapsed="false">
      <c r="A539" s="165" t="n">
        <v>509</v>
      </c>
      <c r="B539" s="114"/>
      <c r="C539" s="118" t="s">
        <v>1383</v>
      </c>
      <c r="D539" s="63" t="s">
        <v>1379</v>
      </c>
      <c r="E539" s="63" t="s">
        <v>147</v>
      </c>
      <c r="F539" s="63" t="s">
        <v>1375</v>
      </c>
      <c r="G539" s="63" t="s">
        <v>1246</v>
      </c>
      <c r="H539" s="63" t="s">
        <v>2137</v>
      </c>
      <c r="I539" s="167"/>
      <c r="J539" s="65"/>
      <c r="K539" s="65"/>
      <c r="L539" s="65"/>
      <c r="M539" s="65" t="s">
        <v>1569</v>
      </c>
      <c r="N539" s="66" t="s">
        <v>1595</v>
      </c>
    </row>
    <row r="540" customFormat="false" ht="14.25" hidden="false" customHeight="false" outlineLevel="0" collapsed="false">
      <c r="A540" s="165" t="n">
        <v>510</v>
      </c>
      <c r="B540" s="114"/>
      <c r="C540" s="118" t="s">
        <v>1384</v>
      </c>
      <c r="D540" s="63" t="s">
        <v>1379</v>
      </c>
      <c r="E540" s="63" t="s">
        <v>147</v>
      </c>
      <c r="F540" s="63" t="s">
        <v>1375</v>
      </c>
      <c r="G540" s="63"/>
      <c r="H540" s="63" t="s">
        <v>2137</v>
      </c>
      <c r="I540" s="167"/>
      <c r="J540" s="65"/>
      <c r="K540" s="65"/>
      <c r="L540" s="65"/>
      <c r="M540" s="65" t="s">
        <v>1569</v>
      </c>
      <c r="N540" s="66" t="s">
        <v>1588</v>
      </c>
    </row>
    <row r="541" customFormat="false" ht="14.25" hidden="false" customHeight="false" outlineLevel="0" collapsed="false">
      <c r="A541" s="165" t="n">
        <v>511</v>
      </c>
      <c r="B541" s="114"/>
      <c r="C541" s="118" t="s">
        <v>1385</v>
      </c>
      <c r="D541" s="63" t="s">
        <v>1379</v>
      </c>
      <c r="E541" s="63" t="s">
        <v>147</v>
      </c>
      <c r="F541" s="63" t="s">
        <v>1375</v>
      </c>
      <c r="G541" s="63"/>
      <c r="H541" s="63" t="s">
        <v>2137</v>
      </c>
      <c r="I541" s="167"/>
      <c r="J541" s="65"/>
      <c r="K541" s="65"/>
      <c r="L541" s="65"/>
      <c r="M541" s="65" t="s">
        <v>1569</v>
      </c>
      <c r="N541" s="66" t="s">
        <v>1646</v>
      </c>
    </row>
    <row r="542" customFormat="false" ht="14.25" hidden="false" customHeight="false" outlineLevel="0" collapsed="false">
      <c r="A542" s="165" t="n">
        <v>512</v>
      </c>
      <c r="B542" s="114"/>
      <c r="C542" s="118" t="s">
        <v>1386</v>
      </c>
      <c r="D542" s="63" t="s">
        <v>1379</v>
      </c>
      <c r="E542" s="63" t="s">
        <v>147</v>
      </c>
      <c r="F542" s="63" t="s">
        <v>1375</v>
      </c>
      <c r="G542" s="63"/>
      <c r="H542" s="63" t="s">
        <v>2137</v>
      </c>
      <c r="I542" s="167"/>
      <c r="J542" s="65"/>
      <c r="K542" s="65"/>
      <c r="L542" s="65"/>
      <c r="M542" s="65" t="s">
        <v>1569</v>
      </c>
      <c r="N542" s="66" t="s">
        <v>1588</v>
      </c>
    </row>
    <row r="543" customFormat="false" ht="14.25" hidden="false" customHeight="false" outlineLevel="0" collapsed="false">
      <c r="A543" s="74"/>
      <c r="B543" s="74"/>
      <c r="C543" s="154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</row>
    <row r="544" customFormat="false" ht="14.25" hidden="false" customHeight="false" outlineLevel="0" collapsed="false">
      <c r="A544" s="74" t="n">
        <v>513</v>
      </c>
      <c r="B544" s="163" t="s">
        <v>2140</v>
      </c>
      <c r="C544" s="154" t="s">
        <v>1389</v>
      </c>
      <c r="D544" s="73" t="s">
        <v>1388</v>
      </c>
      <c r="E544" s="73" t="s">
        <v>2140</v>
      </c>
      <c r="F544" s="73"/>
      <c r="G544" s="73"/>
      <c r="H544" s="73"/>
      <c r="I544" s="73"/>
      <c r="J544" s="73"/>
      <c r="K544" s="73"/>
      <c r="L544" s="73"/>
      <c r="M544" s="73" t="s">
        <v>1569</v>
      </c>
      <c r="N544" s="66" t="s">
        <v>1595</v>
      </c>
    </row>
    <row r="545" customFormat="false" ht="14.25" hidden="false" customHeight="false" outlineLevel="0" collapsed="false">
      <c r="A545" s="74" t="n">
        <v>514</v>
      </c>
      <c r="B545" s="163"/>
      <c r="C545" s="154" t="s">
        <v>1391</v>
      </c>
      <c r="D545" s="73" t="s">
        <v>1390</v>
      </c>
      <c r="E545" s="73" t="s">
        <v>2140</v>
      </c>
      <c r="F545" s="73"/>
      <c r="G545" s="73"/>
      <c r="H545" s="73"/>
      <c r="I545" s="73"/>
      <c r="J545" s="73"/>
      <c r="K545" s="73"/>
      <c r="L545" s="73"/>
      <c r="M545" s="73" t="s">
        <v>1569</v>
      </c>
      <c r="N545" s="66" t="s">
        <v>1595</v>
      </c>
    </row>
    <row r="546" customFormat="false" ht="14.25" hidden="false" customHeight="false" outlineLevel="0" collapsed="false">
      <c r="A546" s="74" t="n">
        <v>515</v>
      </c>
      <c r="B546" s="163"/>
      <c r="C546" s="154" t="s">
        <v>1392</v>
      </c>
      <c r="D546" s="73" t="s">
        <v>1390</v>
      </c>
      <c r="E546" s="73" t="s">
        <v>2140</v>
      </c>
      <c r="F546" s="73"/>
      <c r="G546" s="73"/>
      <c r="H546" s="73"/>
      <c r="I546" s="73"/>
      <c r="J546" s="73"/>
      <c r="K546" s="73"/>
      <c r="L546" s="73"/>
      <c r="M546" s="73" t="s">
        <v>1569</v>
      </c>
      <c r="N546" s="66" t="s">
        <v>1595</v>
      </c>
    </row>
    <row r="547" customFormat="false" ht="14.25" hidden="false" customHeight="false" outlineLevel="0" collapsed="false">
      <c r="A547" s="74"/>
      <c r="B547" s="74"/>
      <c r="C547" s="154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</row>
    <row r="548" customFormat="false" ht="14.25" hidden="false" customHeight="false" outlineLevel="0" collapsed="false">
      <c r="A548" s="74"/>
      <c r="B548" s="74"/>
      <c r="C548" s="154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</row>
    <row r="549" customFormat="false" ht="14.25" hidden="false" customHeight="false" outlineLevel="0" collapsed="false">
      <c r="A549" s="74"/>
      <c r="B549" s="74"/>
      <c r="C549" s="154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</row>
    <row r="550" customFormat="false" ht="14.25" hidden="false" customHeight="false" outlineLevel="0" collapsed="false">
      <c r="A550" s="74"/>
      <c r="B550" s="74"/>
      <c r="C550" s="154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</row>
    <row r="551" customFormat="false" ht="14.25" hidden="false" customHeight="false" outlineLevel="0" collapsed="false">
      <c r="A551" s="74"/>
      <c r="B551" s="74"/>
      <c r="C551" s="154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</row>
    <row r="552" customFormat="false" ht="14.25" hidden="false" customHeight="false" outlineLevel="0" collapsed="false">
      <c r="A552" s="74"/>
      <c r="B552" s="74"/>
      <c r="C552" s="154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</row>
    <row r="553" customFormat="false" ht="14.25" hidden="false" customHeight="false" outlineLevel="0" collapsed="false">
      <c r="A553" s="74"/>
      <c r="B553" s="74"/>
      <c r="C553" s="154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</row>
    <row r="554" customFormat="false" ht="14.25" hidden="false" customHeight="false" outlineLevel="0" collapsed="false">
      <c r="A554" s="74"/>
      <c r="B554" s="74"/>
      <c r="C554" s="154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</row>
    <row r="555" customFormat="false" ht="14.25" hidden="false" customHeight="false" outlineLevel="0" collapsed="false">
      <c r="A555" s="74"/>
      <c r="B555" s="74"/>
      <c r="C555" s="154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</row>
    <row r="556" customFormat="false" ht="14.25" hidden="false" customHeight="false" outlineLevel="0" collapsed="false">
      <c r="A556" s="74"/>
      <c r="B556" s="74"/>
      <c r="C556" s="154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</row>
    <row r="557" customFormat="false" ht="14.25" hidden="false" customHeight="false" outlineLevel="0" collapsed="false">
      <c r="A557" s="74"/>
      <c r="B557" s="74"/>
      <c r="C557" s="154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</row>
    <row r="558" customFormat="false" ht="14.25" hidden="false" customHeight="false" outlineLevel="0" collapsed="false">
      <c r="A558" s="74"/>
      <c r="B558" s="74"/>
      <c r="C558" s="154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</row>
    <row r="559" customFormat="false" ht="14.25" hidden="false" customHeight="false" outlineLevel="0" collapsed="false">
      <c r="A559" s="74"/>
      <c r="B559" s="74"/>
      <c r="C559" s="154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</row>
    <row r="560" customFormat="false" ht="14.25" hidden="false" customHeight="false" outlineLevel="0" collapsed="false">
      <c r="A560" s="74"/>
      <c r="B560" s="74"/>
      <c r="C560" s="154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</row>
    <row r="561" customFormat="false" ht="14.25" hidden="false" customHeight="false" outlineLevel="0" collapsed="false">
      <c r="A561" s="74"/>
      <c r="B561" s="74"/>
      <c r="C561" s="154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</row>
    <row r="562" customFormat="false" ht="14.25" hidden="false" customHeight="false" outlineLevel="0" collapsed="false">
      <c r="A562" s="74"/>
      <c r="B562" s="74"/>
      <c r="C562" s="154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</row>
    <row r="563" customFormat="false" ht="14.25" hidden="false" customHeight="false" outlineLevel="0" collapsed="false">
      <c r="A563" s="74"/>
      <c r="B563" s="74"/>
      <c r="C563" s="154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</row>
    <row r="564" customFormat="false" ht="14.25" hidden="false" customHeight="false" outlineLevel="0" collapsed="false">
      <c r="A564" s="74"/>
      <c r="B564" s="74"/>
      <c r="C564" s="154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</row>
    <row r="565" customFormat="false" ht="14.25" hidden="false" customHeight="false" outlineLevel="0" collapsed="false">
      <c r="A565" s="74"/>
      <c r="B565" s="74"/>
      <c r="C565" s="154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</row>
    <row r="566" customFormat="false" ht="14.25" hidden="false" customHeight="false" outlineLevel="0" collapsed="false">
      <c r="A566" s="74"/>
      <c r="B566" s="74"/>
      <c r="C566" s="154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</row>
    <row r="567" customFormat="false" ht="14.25" hidden="false" customHeight="false" outlineLevel="0" collapsed="false">
      <c r="A567" s="74"/>
      <c r="B567" s="74"/>
      <c r="C567" s="154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</row>
    <row r="568" customFormat="false" ht="14.25" hidden="false" customHeight="false" outlineLevel="0" collapsed="false">
      <c r="A568" s="74"/>
      <c r="B568" s="74"/>
      <c r="C568" s="154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</row>
    <row r="569" customFormat="false" ht="14.25" hidden="false" customHeight="false" outlineLevel="0" collapsed="false">
      <c r="A569" s="74"/>
      <c r="B569" s="74"/>
      <c r="C569" s="154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</row>
    <row r="570" customFormat="false" ht="14.25" hidden="false" customHeight="false" outlineLevel="0" collapsed="false">
      <c r="A570" s="74"/>
      <c r="B570" s="74"/>
      <c r="C570" s="154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</row>
    <row r="571" customFormat="false" ht="14.25" hidden="false" customHeight="false" outlineLevel="0" collapsed="false">
      <c r="A571" s="74"/>
      <c r="B571" s="74"/>
      <c r="C571" s="154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</row>
    <row r="572" customFormat="false" ht="14.25" hidden="false" customHeight="false" outlineLevel="0" collapsed="false">
      <c r="A572" s="74"/>
      <c r="B572" s="74"/>
      <c r="C572" s="154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</row>
    <row r="573" customFormat="false" ht="14.25" hidden="false" customHeight="false" outlineLevel="0" collapsed="false">
      <c r="A573" s="74"/>
      <c r="B573" s="74"/>
      <c r="C573" s="154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</row>
    <row r="574" customFormat="false" ht="14.25" hidden="false" customHeight="false" outlineLevel="0" collapsed="false">
      <c r="A574" s="74"/>
      <c r="B574" s="74"/>
      <c r="C574" s="154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</row>
    <row r="575" customFormat="false" ht="14.25" hidden="false" customHeight="false" outlineLevel="0" collapsed="false">
      <c r="A575" s="74"/>
      <c r="B575" s="74"/>
      <c r="C575" s="154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</row>
    <row r="576" customFormat="false" ht="14.25" hidden="false" customHeight="false" outlineLevel="0" collapsed="false">
      <c r="A576" s="74"/>
      <c r="B576" s="74"/>
      <c r="C576" s="154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</row>
    <row r="577" customFormat="false" ht="14.25" hidden="false" customHeight="false" outlineLevel="0" collapsed="false">
      <c r="A577" s="74"/>
      <c r="B577" s="74"/>
      <c r="C577" s="154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</row>
    <row r="578" customFormat="false" ht="14.25" hidden="false" customHeight="false" outlineLevel="0" collapsed="false">
      <c r="A578" s="74"/>
      <c r="B578" s="74"/>
      <c r="C578" s="154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</row>
    <row r="579" customFormat="false" ht="14.25" hidden="false" customHeight="false" outlineLevel="0" collapsed="false">
      <c r="A579" s="74"/>
      <c r="B579" s="74"/>
      <c r="C579" s="154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</row>
    <row r="580" customFormat="false" ht="14.25" hidden="false" customHeight="false" outlineLevel="0" collapsed="false">
      <c r="A580" s="74"/>
      <c r="B580" s="74"/>
      <c r="C580" s="154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</row>
    <row r="581" customFormat="false" ht="14.25" hidden="false" customHeight="false" outlineLevel="0" collapsed="false">
      <c r="A581" s="74"/>
      <c r="B581" s="74"/>
      <c r="C581" s="154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</row>
    <row r="582" customFormat="false" ht="14.25" hidden="false" customHeight="false" outlineLevel="0" collapsed="false">
      <c r="A582" s="74"/>
      <c r="B582" s="74"/>
      <c r="C582" s="154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</row>
    <row r="583" customFormat="false" ht="14.25" hidden="false" customHeight="false" outlineLevel="0" collapsed="false">
      <c r="A583" s="74"/>
      <c r="B583" s="74"/>
      <c r="C583" s="154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</row>
    <row r="584" customFormat="false" ht="14.25" hidden="false" customHeight="false" outlineLevel="0" collapsed="false">
      <c r="A584" s="74"/>
      <c r="B584" s="74"/>
      <c r="C584" s="154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</row>
    <row r="585" customFormat="false" ht="14.25" hidden="false" customHeight="false" outlineLevel="0" collapsed="false">
      <c r="A585" s="74"/>
      <c r="B585" s="74"/>
      <c r="C585" s="154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</row>
    <row r="586" customFormat="false" ht="14.25" hidden="false" customHeight="false" outlineLevel="0" collapsed="false">
      <c r="A586" s="74"/>
      <c r="B586" s="74"/>
      <c r="C586" s="154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</row>
    <row r="587" customFormat="false" ht="14.25" hidden="false" customHeight="false" outlineLevel="0" collapsed="false">
      <c r="A587" s="74"/>
      <c r="B587" s="74"/>
      <c r="C587" s="154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</row>
    <row r="588" customFormat="false" ht="14.25" hidden="false" customHeight="false" outlineLevel="0" collapsed="false">
      <c r="A588" s="74"/>
      <c r="B588" s="74"/>
      <c r="C588" s="154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</row>
    <row r="589" customFormat="false" ht="14.25" hidden="false" customHeight="false" outlineLevel="0" collapsed="false">
      <c r="A589" s="74"/>
      <c r="B589" s="74"/>
      <c r="C589" s="154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</row>
    <row r="590" customFormat="false" ht="14.25" hidden="false" customHeight="false" outlineLevel="0" collapsed="false">
      <c r="A590" s="74"/>
      <c r="B590" s="74"/>
      <c r="C590" s="154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</row>
    <row r="591" customFormat="false" ht="14.25" hidden="false" customHeight="false" outlineLevel="0" collapsed="false">
      <c r="A591" s="74"/>
      <c r="B591" s="74"/>
      <c r="C591" s="154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</row>
    <row r="592" customFormat="false" ht="14.25" hidden="false" customHeight="false" outlineLevel="0" collapsed="false">
      <c r="A592" s="74"/>
      <c r="B592" s="74"/>
      <c r="C592" s="154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</row>
    <row r="593" customFormat="false" ht="14.25" hidden="false" customHeight="false" outlineLevel="0" collapsed="false">
      <c r="A593" s="74"/>
      <c r="B593" s="74"/>
      <c r="C593" s="154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</row>
    <row r="594" customFormat="false" ht="14.25" hidden="false" customHeight="false" outlineLevel="0" collapsed="false">
      <c r="A594" s="74"/>
      <c r="B594" s="74"/>
      <c r="C594" s="154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</row>
    <row r="595" customFormat="false" ht="14.25" hidden="false" customHeight="false" outlineLevel="0" collapsed="false">
      <c r="A595" s="74"/>
      <c r="B595" s="74"/>
      <c r="C595" s="154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</row>
    <row r="596" customFormat="false" ht="14.25" hidden="false" customHeight="false" outlineLevel="0" collapsed="false">
      <c r="A596" s="74"/>
      <c r="B596" s="74"/>
      <c r="C596" s="154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</row>
    <row r="597" customFormat="false" ht="14.25" hidden="false" customHeight="false" outlineLevel="0" collapsed="false">
      <c r="A597" s="74"/>
      <c r="B597" s="74"/>
      <c r="C597" s="154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</row>
    <row r="598" customFormat="false" ht="14.25" hidden="false" customHeight="false" outlineLevel="0" collapsed="false">
      <c r="A598" s="74"/>
      <c r="B598" s="74"/>
      <c r="C598" s="154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</row>
    <row r="599" customFormat="false" ht="14.25" hidden="false" customHeight="false" outlineLevel="0" collapsed="false">
      <c r="A599" s="74"/>
      <c r="B599" s="74"/>
      <c r="C599" s="154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</row>
    <row r="600" customFormat="false" ht="14.25" hidden="false" customHeight="false" outlineLevel="0" collapsed="false">
      <c r="A600" s="74"/>
      <c r="B600" s="74"/>
      <c r="C600" s="154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</row>
    <row r="601" customFormat="false" ht="14.25" hidden="false" customHeight="false" outlineLevel="0" collapsed="false">
      <c r="A601" s="74"/>
      <c r="B601" s="74"/>
      <c r="C601" s="154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</row>
    <row r="602" customFormat="false" ht="14.25" hidden="false" customHeight="false" outlineLevel="0" collapsed="false">
      <c r="A602" s="74"/>
      <c r="B602" s="74"/>
      <c r="C602" s="154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</row>
    <row r="603" customFormat="false" ht="14.25" hidden="false" customHeight="false" outlineLevel="0" collapsed="false">
      <c r="A603" s="74"/>
      <c r="B603" s="74"/>
      <c r="C603" s="154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</row>
    <row r="604" customFormat="false" ht="14.25" hidden="false" customHeight="false" outlineLevel="0" collapsed="false">
      <c r="A604" s="74"/>
      <c r="B604" s="74"/>
      <c r="C604" s="154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</row>
    <row r="605" customFormat="false" ht="14.25" hidden="false" customHeight="false" outlineLevel="0" collapsed="false">
      <c r="A605" s="74"/>
      <c r="B605" s="74"/>
      <c r="C605" s="154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</row>
    <row r="606" customFormat="false" ht="14.25" hidden="false" customHeight="false" outlineLevel="0" collapsed="false">
      <c r="A606" s="74"/>
      <c r="B606" s="74"/>
      <c r="C606" s="154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</row>
    <row r="607" customFormat="false" ht="14.25" hidden="false" customHeight="false" outlineLevel="0" collapsed="false">
      <c r="A607" s="74"/>
      <c r="B607" s="74"/>
      <c r="C607" s="154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</row>
    <row r="608" customFormat="false" ht="14.25" hidden="false" customHeight="false" outlineLevel="0" collapsed="false">
      <c r="A608" s="74"/>
      <c r="B608" s="74"/>
      <c r="C608" s="154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</row>
    <row r="609" customFormat="false" ht="14.25" hidden="false" customHeight="false" outlineLevel="0" collapsed="false">
      <c r="A609" s="74"/>
      <c r="B609" s="74"/>
      <c r="C609" s="154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</row>
    <row r="610" customFormat="false" ht="14.25" hidden="false" customHeight="false" outlineLevel="0" collapsed="false">
      <c r="A610" s="74"/>
      <c r="B610" s="74"/>
      <c r="C610" s="154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</row>
    <row r="611" customFormat="false" ht="14.25" hidden="false" customHeight="false" outlineLevel="0" collapsed="false">
      <c r="A611" s="74"/>
      <c r="B611" s="74"/>
      <c r="C611" s="154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</row>
    <row r="612" customFormat="false" ht="14.25" hidden="false" customHeight="false" outlineLevel="0" collapsed="false">
      <c r="A612" s="74"/>
      <c r="B612" s="74"/>
      <c r="C612" s="154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</row>
    <row r="613" customFormat="false" ht="14.25" hidden="false" customHeight="false" outlineLevel="0" collapsed="false">
      <c r="A613" s="74"/>
      <c r="B613" s="74"/>
      <c r="C613" s="154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</row>
    <row r="614" customFormat="false" ht="14.25" hidden="false" customHeight="false" outlineLevel="0" collapsed="false">
      <c r="A614" s="74"/>
      <c r="B614" s="74"/>
      <c r="C614" s="154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</row>
    <row r="615" customFormat="false" ht="14.25" hidden="false" customHeight="false" outlineLevel="0" collapsed="false">
      <c r="A615" s="74"/>
      <c r="B615" s="74"/>
      <c r="C615" s="154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</row>
    <row r="616" customFormat="false" ht="14.25" hidden="false" customHeight="false" outlineLevel="0" collapsed="false">
      <c r="A616" s="74"/>
      <c r="B616" s="74"/>
      <c r="C616" s="154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</row>
    <row r="617" customFormat="false" ht="14.25" hidden="false" customHeight="false" outlineLevel="0" collapsed="false">
      <c r="A617" s="74"/>
      <c r="B617" s="74"/>
      <c r="C617" s="154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</row>
    <row r="618" customFormat="false" ht="14.25" hidden="false" customHeight="false" outlineLevel="0" collapsed="false">
      <c r="A618" s="74"/>
      <c r="B618" s="74"/>
      <c r="C618" s="154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</row>
    <row r="619" customFormat="false" ht="14.25" hidden="false" customHeight="false" outlineLevel="0" collapsed="false">
      <c r="A619" s="74"/>
      <c r="B619" s="74"/>
      <c r="C619" s="154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</row>
    <row r="620" customFormat="false" ht="14.25" hidden="false" customHeight="false" outlineLevel="0" collapsed="false">
      <c r="A620" s="74"/>
      <c r="B620" s="74"/>
      <c r="C620" s="154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</row>
    <row r="621" customFormat="false" ht="14.25" hidden="false" customHeight="false" outlineLevel="0" collapsed="false">
      <c r="A621" s="74"/>
      <c r="B621" s="74"/>
      <c r="C621" s="154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</row>
    <row r="622" customFormat="false" ht="14.25" hidden="false" customHeight="false" outlineLevel="0" collapsed="false">
      <c r="A622" s="74"/>
      <c r="B622" s="74"/>
      <c r="C622" s="154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</row>
    <row r="623" customFormat="false" ht="14.25" hidden="false" customHeight="false" outlineLevel="0" collapsed="false">
      <c r="A623" s="74"/>
      <c r="B623" s="74"/>
      <c r="C623" s="154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</row>
    <row r="624" customFormat="false" ht="14.25" hidden="false" customHeight="false" outlineLevel="0" collapsed="false">
      <c r="A624" s="74"/>
      <c r="B624" s="74"/>
      <c r="C624" s="154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</row>
    <row r="625" customFormat="false" ht="14.25" hidden="false" customHeight="false" outlineLevel="0" collapsed="false">
      <c r="A625" s="74"/>
      <c r="B625" s="74"/>
      <c r="C625" s="154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</row>
    <row r="626" customFormat="false" ht="14.25" hidden="false" customHeight="false" outlineLevel="0" collapsed="false">
      <c r="A626" s="74"/>
      <c r="B626" s="74"/>
      <c r="C626" s="154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</row>
    <row r="627" customFormat="false" ht="14.25" hidden="false" customHeight="false" outlineLevel="0" collapsed="false">
      <c r="A627" s="74"/>
      <c r="B627" s="74"/>
      <c r="C627" s="154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</row>
    <row r="628" customFormat="false" ht="14.25" hidden="false" customHeight="false" outlineLevel="0" collapsed="false">
      <c r="A628" s="74"/>
      <c r="B628" s="74"/>
      <c r="C628" s="154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</row>
    <row r="629" customFormat="false" ht="14.25" hidden="false" customHeight="false" outlineLevel="0" collapsed="false">
      <c r="A629" s="74"/>
      <c r="B629" s="74"/>
      <c r="C629" s="154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</row>
    <row r="630" customFormat="false" ht="14.25" hidden="false" customHeight="false" outlineLevel="0" collapsed="false">
      <c r="A630" s="74"/>
      <c r="B630" s="74"/>
      <c r="C630" s="154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</row>
    <row r="631" customFormat="false" ht="14.25" hidden="false" customHeight="false" outlineLevel="0" collapsed="false">
      <c r="A631" s="74"/>
      <c r="B631" s="74"/>
      <c r="C631" s="154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</row>
    <row r="632" customFormat="false" ht="14.25" hidden="false" customHeight="false" outlineLevel="0" collapsed="false">
      <c r="A632" s="74"/>
      <c r="B632" s="74"/>
      <c r="C632" s="154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</row>
    <row r="633" customFormat="false" ht="14.25" hidden="false" customHeight="false" outlineLevel="0" collapsed="false">
      <c r="A633" s="74"/>
      <c r="B633" s="74"/>
      <c r="C633" s="154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</row>
    <row r="634" customFormat="false" ht="14.25" hidden="false" customHeight="false" outlineLevel="0" collapsed="false">
      <c r="A634" s="74"/>
      <c r="B634" s="74"/>
      <c r="C634" s="154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</row>
    <row r="635" customFormat="false" ht="14.25" hidden="false" customHeight="false" outlineLevel="0" collapsed="false">
      <c r="A635" s="74"/>
      <c r="B635" s="74"/>
      <c r="C635" s="154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</row>
    <row r="636" customFormat="false" ht="14.25" hidden="false" customHeight="false" outlineLevel="0" collapsed="false">
      <c r="A636" s="74"/>
      <c r="B636" s="74"/>
      <c r="C636" s="154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</row>
    <row r="637" customFormat="false" ht="14.25" hidden="false" customHeight="false" outlineLevel="0" collapsed="false">
      <c r="A637" s="74"/>
      <c r="B637" s="74"/>
      <c r="C637" s="154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</row>
    <row r="638" customFormat="false" ht="14.25" hidden="false" customHeight="false" outlineLevel="0" collapsed="false">
      <c r="A638" s="74"/>
      <c r="B638" s="74"/>
      <c r="C638" s="154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</row>
    <row r="639" customFormat="false" ht="14.25" hidden="false" customHeight="false" outlineLevel="0" collapsed="false">
      <c r="A639" s="74"/>
      <c r="B639" s="74"/>
      <c r="C639" s="154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</row>
    <row r="640" customFormat="false" ht="14.25" hidden="false" customHeight="false" outlineLevel="0" collapsed="false">
      <c r="A640" s="74"/>
      <c r="B640" s="74"/>
      <c r="C640" s="154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</row>
    <row r="641" customFormat="false" ht="14.25" hidden="false" customHeight="false" outlineLevel="0" collapsed="false">
      <c r="A641" s="74"/>
      <c r="B641" s="74"/>
      <c r="C641" s="154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</row>
    <row r="642" customFormat="false" ht="14.25" hidden="false" customHeight="false" outlineLevel="0" collapsed="false">
      <c r="A642" s="74"/>
      <c r="B642" s="74"/>
      <c r="C642" s="154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</row>
    <row r="643" customFormat="false" ht="14.25" hidden="false" customHeight="false" outlineLevel="0" collapsed="false">
      <c r="A643" s="74"/>
      <c r="B643" s="74"/>
      <c r="C643" s="154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</row>
    <row r="644" customFormat="false" ht="14.25" hidden="false" customHeight="false" outlineLevel="0" collapsed="false">
      <c r="A644" s="74"/>
      <c r="B644" s="74"/>
      <c r="C644" s="154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</row>
    <row r="645" customFormat="false" ht="14.25" hidden="false" customHeight="false" outlineLevel="0" collapsed="false">
      <c r="A645" s="74"/>
      <c r="B645" s="74"/>
      <c r="C645" s="154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</row>
    <row r="646" customFormat="false" ht="14.25" hidden="false" customHeight="false" outlineLevel="0" collapsed="false">
      <c r="A646" s="74"/>
      <c r="B646" s="74"/>
      <c r="C646" s="154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</row>
    <row r="647" customFormat="false" ht="14.25" hidden="false" customHeight="false" outlineLevel="0" collapsed="false">
      <c r="A647" s="74"/>
      <c r="B647" s="74"/>
      <c r="C647" s="154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</row>
    <row r="648" customFormat="false" ht="14.25" hidden="false" customHeight="false" outlineLevel="0" collapsed="false">
      <c r="A648" s="74"/>
      <c r="B648" s="74"/>
      <c r="C648" s="154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</row>
    <row r="649" customFormat="false" ht="14.25" hidden="false" customHeight="false" outlineLevel="0" collapsed="false">
      <c r="A649" s="74"/>
      <c r="B649" s="74"/>
      <c r="C649" s="154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</row>
    <row r="650" customFormat="false" ht="14.25" hidden="false" customHeight="false" outlineLevel="0" collapsed="false">
      <c r="A650" s="74"/>
      <c r="B650" s="74"/>
      <c r="C650" s="154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</row>
    <row r="651" customFormat="false" ht="14.25" hidden="false" customHeight="false" outlineLevel="0" collapsed="false">
      <c r="A651" s="74"/>
      <c r="B651" s="74"/>
      <c r="C651" s="154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</row>
    <row r="652" customFormat="false" ht="14.25" hidden="false" customHeight="false" outlineLevel="0" collapsed="false">
      <c r="A652" s="74"/>
      <c r="B652" s="74"/>
      <c r="C652" s="154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</row>
    <row r="653" customFormat="false" ht="14.25" hidden="false" customHeight="false" outlineLevel="0" collapsed="false">
      <c r="A653" s="74"/>
      <c r="B653" s="74"/>
      <c r="C653" s="154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</row>
    <row r="654" customFormat="false" ht="14.25" hidden="false" customHeight="false" outlineLevel="0" collapsed="false">
      <c r="A654" s="74"/>
      <c r="B654" s="74"/>
      <c r="C654" s="154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</row>
    <row r="655" customFormat="false" ht="14.25" hidden="false" customHeight="false" outlineLevel="0" collapsed="false">
      <c r="A655" s="74"/>
      <c r="B655" s="74"/>
      <c r="C655" s="154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</row>
    <row r="656" customFormat="false" ht="14.25" hidden="false" customHeight="false" outlineLevel="0" collapsed="false">
      <c r="A656" s="74"/>
      <c r="B656" s="74"/>
      <c r="C656" s="154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</row>
    <row r="657" customFormat="false" ht="14.25" hidden="false" customHeight="false" outlineLevel="0" collapsed="false">
      <c r="A657" s="74"/>
      <c r="B657" s="74"/>
      <c r="C657" s="154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</row>
    <row r="658" customFormat="false" ht="14.25" hidden="false" customHeight="false" outlineLevel="0" collapsed="false">
      <c r="A658" s="74"/>
      <c r="B658" s="74"/>
      <c r="C658" s="154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</row>
    <row r="659" customFormat="false" ht="14.25" hidden="false" customHeight="false" outlineLevel="0" collapsed="false">
      <c r="A659" s="74"/>
      <c r="B659" s="74"/>
      <c r="C659" s="154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</row>
    <row r="660" customFormat="false" ht="14.25" hidden="false" customHeight="false" outlineLevel="0" collapsed="false">
      <c r="A660" s="74"/>
      <c r="B660" s="74"/>
      <c r="C660" s="154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</row>
    <row r="661" customFormat="false" ht="14.25" hidden="false" customHeight="false" outlineLevel="0" collapsed="false">
      <c r="A661" s="74"/>
      <c r="B661" s="74"/>
      <c r="C661" s="154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</row>
    <row r="662" customFormat="false" ht="14.25" hidden="false" customHeight="false" outlineLevel="0" collapsed="false">
      <c r="A662" s="74"/>
      <c r="B662" s="74"/>
      <c r="C662" s="154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</row>
    <row r="663" customFormat="false" ht="14.25" hidden="false" customHeight="false" outlineLevel="0" collapsed="false">
      <c r="A663" s="74"/>
      <c r="B663" s="74"/>
      <c r="C663" s="154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</row>
    <row r="664" customFormat="false" ht="14.25" hidden="false" customHeight="false" outlineLevel="0" collapsed="false">
      <c r="A664" s="74"/>
      <c r="B664" s="74"/>
      <c r="C664" s="154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</row>
    <row r="665" customFormat="false" ht="14.25" hidden="false" customHeight="false" outlineLevel="0" collapsed="false">
      <c r="A665" s="74"/>
      <c r="B665" s="74"/>
      <c r="C665" s="154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</row>
    <row r="666" customFormat="false" ht="14.25" hidden="false" customHeight="false" outlineLevel="0" collapsed="false">
      <c r="A666" s="74"/>
      <c r="B666" s="74"/>
      <c r="C666" s="154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</row>
    <row r="667" customFormat="false" ht="14.25" hidden="false" customHeight="false" outlineLevel="0" collapsed="false">
      <c r="A667" s="74"/>
      <c r="B667" s="74"/>
      <c r="C667" s="154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</row>
    <row r="668" customFormat="false" ht="14.25" hidden="false" customHeight="false" outlineLevel="0" collapsed="false">
      <c r="A668" s="74"/>
      <c r="B668" s="74"/>
      <c r="C668" s="154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</row>
    <row r="669" customFormat="false" ht="14.25" hidden="false" customHeight="false" outlineLevel="0" collapsed="false">
      <c r="A669" s="74"/>
      <c r="B669" s="74"/>
      <c r="C669" s="154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</row>
    <row r="670" customFormat="false" ht="14.25" hidden="false" customHeight="false" outlineLevel="0" collapsed="false">
      <c r="A670" s="74"/>
      <c r="B670" s="74"/>
      <c r="C670" s="154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</row>
    <row r="671" customFormat="false" ht="14.25" hidden="false" customHeight="false" outlineLevel="0" collapsed="false">
      <c r="A671" s="74"/>
      <c r="B671" s="74"/>
      <c r="C671" s="154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</row>
    <row r="672" customFormat="false" ht="14.25" hidden="false" customHeight="false" outlineLevel="0" collapsed="false">
      <c r="A672" s="74"/>
      <c r="B672" s="74"/>
      <c r="C672" s="154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</row>
    <row r="673" customFormat="false" ht="14.25" hidden="false" customHeight="false" outlineLevel="0" collapsed="false">
      <c r="A673" s="74"/>
      <c r="B673" s="74"/>
      <c r="C673" s="154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</row>
    <row r="674" customFormat="false" ht="14.25" hidden="false" customHeight="false" outlineLevel="0" collapsed="false">
      <c r="A674" s="74"/>
      <c r="B674" s="74"/>
      <c r="C674" s="154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</row>
    <row r="675" customFormat="false" ht="14.25" hidden="false" customHeight="false" outlineLevel="0" collapsed="false">
      <c r="A675" s="74"/>
      <c r="B675" s="74"/>
      <c r="C675" s="154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</row>
    <row r="676" customFormat="false" ht="14.25" hidden="false" customHeight="false" outlineLevel="0" collapsed="false">
      <c r="A676" s="74"/>
      <c r="B676" s="74"/>
      <c r="C676" s="154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</row>
    <row r="677" customFormat="false" ht="14.25" hidden="false" customHeight="false" outlineLevel="0" collapsed="false">
      <c r="A677" s="74"/>
      <c r="B677" s="74"/>
      <c r="C677" s="154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</row>
    <row r="678" customFormat="false" ht="14.25" hidden="false" customHeight="false" outlineLevel="0" collapsed="false">
      <c r="A678" s="74"/>
      <c r="B678" s="74"/>
      <c r="C678" s="154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</row>
    <row r="679" customFormat="false" ht="14.25" hidden="false" customHeight="false" outlineLevel="0" collapsed="false">
      <c r="A679" s="74"/>
      <c r="B679" s="74"/>
      <c r="C679" s="154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</row>
    <row r="680" customFormat="false" ht="14.25" hidden="false" customHeight="false" outlineLevel="0" collapsed="false">
      <c r="A680" s="74"/>
      <c r="B680" s="74"/>
      <c r="C680" s="154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</row>
    <row r="681" customFormat="false" ht="14.25" hidden="false" customHeight="false" outlineLevel="0" collapsed="false">
      <c r="A681" s="74"/>
      <c r="B681" s="74"/>
      <c r="C681" s="154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</row>
    <row r="682" customFormat="false" ht="14.25" hidden="false" customHeight="false" outlineLevel="0" collapsed="false">
      <c r="A682" s="74"/>
      <c r="B682" s="176" t="s">
        <v>2141</v>
      </c>
      <c r="C682" s="154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</row>
    <row r="683" customFormat="false" ht="14.25" hidden="false" customHeight="false" outlineLevel="0" collapsed="false">
      <c r="A683" s="74"/>
      <c r="C683" s="154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</row>
    <row r="684" customFormat="false" ht="14.25" hidden="false" customHeight="false" outlineLevel="0" collapsed="false">
      <c r="A684" s="74"/>
      <c r="C684" s="154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</row>
    <row r="685" customFormat="false" ht="14.25" hidden="false" customHeight="false" outlineLevel="0" collapsed="false">
      <c r="A685" s="74"/>
      <c r="C685" s="154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</row>
    <row r="686" customFormat="false" ht="14.25" hidden="false" customHeight="false" outlineLevel="0" collapsed="false">
      <c r="A686" s="74"/>
      <c r="C686" s="154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</row>
    <row r="687" customFormat="false" ht="14.25" hidden="false" customHeight="false" outlineLevel="0" collapsed="false">
      <c r="A687" s="74"/>
      <c r="C687" s="154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</row>
    <row r="688" customFormat="false" ht="14.25" hidden="false" customHeight="false" outlineLevel="0" collapsed="false">
      <c r="A688" s="74"/>
      <c r="C688" s="154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</row>
    <row r="689" customFormat="false" ht="14.25" hidden="false" customHeight="false" outlineLevel="0" collapsed="false">
      <c r="A689" s="74"/>
      <c r="C689" s="154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</row>
    <row r="690" customFormat="false" ht="14.25" hidden="false" customHeight="false" outlineLevel="0" collapsed="false">
      <c r="A690" s="74"/>
      <c r="C690" s="154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</row>
    <row r="691" customFormat="false" ht="14.25" hidden="false" customHeight="false" outlineLevel="0" collapsed="false">
      <c r="A691" s="74"/>
      <c r="C691" s="154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</row>
  </sheetData>
  <mergeCells count="30">
    <mergeCell ref="I1:K1"/>
    <mergeCell ref="B4:B27"/>
    <mergeCell ref="B29:B37"/>
    <mergeCell ref="B39:B54"/>
    <mergeCell ref="B56:B58"/>
    <mergeCell ref="B60:B78"/>
    <mergeCell ref="B80:B151"/>
    <mergeCell ref="B153:B162"/>
    <mergeCell ref="B164:B179"/>
    <mergeCell ref="B181:B205"/>
    <mergeCell ref="B207:B217"/>
    <mergeCell ref="B219:B223"/>
    <mergeCell ref="B225:B226"/>
    <mergeCell ref="B228:B232"/>
    <mergeCell ref="B234:B235"/>
    <mergeCell ref="B237:B261"/>
    <mergeCell ref="B263:B265"/>
    <mergeCell ref="B267:B277"/>
    <mergeCell ref="B279:B291"/>
    <mergeCell ref="B293:B376"/>
    <mergeCell ref="B378:B384"/>
    <mergeCell ref="B386:B388"/>
    <mergeCell ref="B390:B394"/>
    <mergeCell ref="B396:B436"/>
    <mergeCell ref="B438:B456"/>
    <mergeCell ref="B458:B463"/>
    <mergeCell ref="B465:B477"/>
    <mergeCell ref="B479:B531"/>
    <mergeCell ref="B533:B542"/>
    <mergeCell ref="B544:B5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46" activePane="bottomLeft" state="frozen"/>
      <selection pane="topLeft" activeCell="A1" activeCellId="0" sqref="A1"/>
      <selection pane="bottomLeft" activeCell="C18" activeCellId="0" sqref="C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2142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7" t="s">
        <v>2143</v>
      </c>
      <c r="B2" s="7"/>
      <c r="C2" s="7"/>
      <c r="D2" s="7"/>
      <c r="E2" s="7"/>
      <c r="F2" s="7"/>
      <c r="G2" s="7"/>
      <c r="H2" s="7"/>
      <c r="I2" s="7"/>
    </row>
    <row r="4" customFormat="false" ht="15" hidden="false" customHeight="true" outlineLevel="0" collapsed="false">
      <c r="A4" s="19" t="s">
        <v>2144</v>
      </c>
      <c r="B4" s="19"/>
      <c r="C4" s="19"/>
      <c r="D4" s="19"/>
      <c r="E4" s="19"/>
      <c r="F4" s="19"/>
      <c r="G4" s="19"/>
      <c r="H4" s="19"/>
      <c r="I4" s="19"/>
    </row>
    <row r="5" customFormat="false" ht="15" hidden="false" customHeight="true" outlineLevel="0" collapsed="false">
      <c r="A5" s="10" t="s">
        <v>2145</v>
      </c>
      <c r="B5" s="11" t="n">
        <v>382</v>
      </c>
      <c r="C5" s="24" t="s">
        <v>2146</v>
      </c>
    </row>
    <row r="6" customFormat="false" ht="15" hidden="false" customHeight="true" outlineLevel="0" collapsed="false">
      <c r="A6" s="10" t="s">
        <v>2147</v>
      </c>
      <c r="B6" s="177" t="n">
        <v>120</v>
      </c>
      <c r="C6" s="24" t="s">
        <v>2148</v>
      </c>
    </row>
    <row r="7" customFormat="false" ht="15" hidden="false" customHeight="true" outlineLevel="0" collapsed="false">
      <c r="A7" s="10" t="s">
        <v>2149</v>
      </c>
      <c r="B7" s="177" t="n">
        <v>4</v>
      </c>
      <c r="C7" s="24" t="s">
        <v>2148</v>
      </c>
    </row>
    <row r="8" customFormat="false" ht="15" hidden="false" customHeight="true" outlineLevel="0" collapsed="false">
      <c r="A8" s="10" t="s">
        <v>2150</v>
      </c>
      <c r="B8" s="11" t="n">
        <v>650</v>
      </c>
      <c r="C8" s="24" t="s">
        <v>2148</v>
      </c>
    </row>
    <row r="9" customFormat="false" ht="15" hidden="false" customHeight="true" outlineLevel="0" collapsed="false">
      <c r="A9" s="10" t="s">
        <v>2151</v>
      </c>
      <c r="B9" s="11" t="n">
        <v>78000</v>
      </c>
      <c r="C9" s="24" t="s">
        <v>2152</v>
      </c>
    </row>
    <row r="10" customFormat="false" ht="15" hidden="false" customHeight="true" outlineLevel="0" collapsed="false">
      <c r="A10" s="10" t="s">
        <v>2153</v>
      </c>
      <c r="B10" s="178" t="n">
        <v>0.15</v>
      </c>
      <c r="C10" s="24" t="s">
        <v>2154</v>
      </c>
    </row>
    <row r="11" customFormat="false" ht="15" hidden="false" customHeight="true" outlineLevel="0" collapsed="false">
      <c r="A11" s="10" t="s">
        <v>2155</v>
      </c>
      <c r="B11" s="177" t="n">
        <v>0.2</v>
      </c>
      <c r="C11" s="24" t="s">
        <v>2156</v>
      </c>
    </row>
    <row r="12" customFormat="false" ht="15" hidden="false" customHeight="true" outlineLevel="0" collapsed="false">
      <c r="A12" s="10" t="s">
        <v>2157</v>
      </c>
      <c r="B12" s="177" t="n">
        <v>26</v>
      </c>
      <c r="C12" s="24" t="s">
        <v>2158</v>
      </c>
    </row>
    <row r="13" customFormat="false" ht="15" hidden="false" customHeight="true" outlineLevel="0" collapsed="false">
      <c r="A13" s="10" t="s">
        <v>2159</v>
      </c>
      <c r="B13" s="177" t="n">
        <v>0.08</v>
      </c>
      <c r="C13" s="24" t="s">
        <v>2160</v>
      </c>
    </row>
    <row r="16" customFormat="false" ht="15" hidden="false" customHeight="true" outlineLevel="0" collapsed="false">
      <c r="A16" s="19" t="s">
        <v>2161</v>
      </c>
      <c r="B16" s="19"/>
      <c r="C16" s="19"/>
      <c r="D16" s="19"/>
      <c r="E16" s="19"/>
      <c r="F16" s="19"/>
      <c r="G16" s="19"/>
      <c r="H16" s="19"/>
      <c r="I16" s="19"/>
    </row>
    <row r="17" customFormat="false" ht="26.25" hidden="false" customHeight="true" outlineLevel="0" collapsed="false">
      <c r="A17" s="8" t="s">
        <v>77</v>
      </c>
      <c r="B17" s="8" t="s">
        <v>78</v>
      </c>
      <c r="C17" s="8" t="s">
        <v>2162</v>
      </c>
      <c r="D17" s="8" t="s">
        <v>2163</v>
      </c>
      <c r="E17" s="8" t="s">
        <v>2164</v>
      </c>
      <c r="F17" s="8" t="s">
        <v>2165</v>
      </c>
      <c r="G17" s="8" t="s">
        <v>2166</v>
      </c>
      <c r="H17" s="8" t="s">
        <v>2167</v>
      </c>
      <c r="I17" s="8" t="s">
        <v>2168</v>
      </c>
    </row>
    <row r="18" customFormat="false" ht="15" hidden="false" customHeight="true" outlineLevel="0" collapsed="false">
      <c r="A18" s="9" t="n">
        <v>1</v>
      </c>
      <c r="B18" s="10" t="s">
        <v>92</v>
      </c>
      <c r="C18" s="179" t="n">
        <v>5.5</v>
      </c>
      <c r="D18" s="177" t="n">
        <v>180</v>
      </c>
      <c r="E18" s="177" t="n">
        <v>220</v>
      </c>
      <c r="F18" s="180" t="n">
        <v>18.5</v>
      </c>
      <c r="G18" s="181" t="n">
        <v>12</v>
      </c>
      <c r="H18" s="182" t="s">
        <v>2169</v>
      </c>
      <c r="I18" s="12" t="n">
        <f aca="false">C18*'Engineering Assumptions'!$B$5</f>
        <v>2101</v>
      </c>
    </row>
    <row r="19" customFormat="false" ht="15" hidden="false" customHeight="true" outlineLevel="0" collapsed="false">
      <c r="A19" s="9" t="n">
        <v>2</v>
      </c>
      <c r="B19" s="10" t="s">
        <v>95</v>
      </c>
      <c r="C19" s="179" t="n">
        <v>13</v>
      </c>
      <c r="D19" s="177" t="n">
        <v>350</v>
      </c>
      <c r="E19" s="177" t="n">
        <v>480</v>
      </c>
      <c r="F19" s="180" t="n">
        <v>42</v>
      </c>
      <c r="G19" s="181" t="n">
        <v>15</v>
      </c>
      <c r="H19" s="182" t="s">
        <v>2170</v>
      </c>
      <c r="I19" s="12" t="n">
        <f aca="false">C19*'Engineering Assumptions'!$B$5</f>
        <v>4966</v>
      </c>
    </row>
    <row r="20" customFormat="false" ht="15" hidden="false" customHeight="true" outlineLevel="0" collapsed="false">
      <c r="A20" s="9" t="n">
        <v>3</v>
      </c>
      <c r="B20" s="10" t="s">
        <v>97</v>
      </c>
      <c r="C20" s="179" t="n">
        <v>7</v>
      </c>
      <c r="D20" s="177" t="n">
        <v>220</v>
      </c>
      <c r="E20" s="177" t="n">
        <v>280</v>
      </c>
      <c r="F20" s="180" t="n">
        <v>22</v>
      </c>
      <c r="G20" s="181" t="n">
        <v>12</v>
      </c>
      <c r="H20" s="182" t="s">
        <v>2171</v>
      </c>
      <c r="I20" s="12" t="n">
        <f aca="false">C20*'Engineering Assumptions'!$B$5</f>
        <v>2674</v>
      </c>
    </row>
    <row r="21" customFormat="false" ht="15" hidden="false" customHeight="true" outlineLevel="0" collapsed="false">
      <c r="A21" s="9" t="n">
        <v>4</v>
      </c>
      <c r="B21" s="10" t="s">
        <v>99</v>
      </c>
      <c r="C21" s="179" t="n">
        <v>8</v>
      </c>
      <c r="D21" s="177" t="n">
        <v>260</v>
      </c>
      <c r="E21" s="177" t="n">
        <v>320</v>
      </c>
      <c r="F21" s="180" t="n">
        <v>28</v>
      </c>
      <c r="G21" s="181" t="n">
        <v>10</v>
      </c>
      <c r="H21" s="182" t="s">
        <v>2172</v>
      </c>
      <c r="I21" s="12" t="n">
        <f aca="false">C21*'Engineering Assumptions'!$B$5</f>
        <v>3056</v>
      </c>
    </row>
    <row r="22" customFormat="false" ht="15" hidden="false" customHeight="true" outlineLevel="0" collapsed="false">
      <c r="A22" s="9" t="n">
        <v>5</v>
      </c>
      <c r="B22" s="10" t="s">
        <v>101</v>
      </c>
      <c r="C22" s="179" t="n">
        <v>8</v>
      </c>
      <c r="D22" s="177" t="n">
        <v>230</v>
      </c>
      <c r="E22" s="177" t="n">
        <v>310</v>
      </c>
      <c r="F22" s="180" t="n">
        <v>22</v>
      </c>
      <c r="G22" s="181" t="n">
        <v>15</v>
      </c>
      <c r="H22" s="182" t="s">
        <v>2173</v>
      </c>
      <c r="I22" s="12" t="n">
        <f aca="false">C22*'Engineering Assumptions'!$B$5</f>
        <v>3056</v>
      </c>
    </row>
    <row r="23" customFormat="false" ht="15" hidden="false" customHeight="true" outlineLevel="0" collapsed="false">
      <c r="A23" s="9" t="n">
        <v>6</v>
      </c>
      <c r="B23" s="10" t="s">
        <v>103</v>
      </c>
      <c r="C23" s="179" t="n">
        <v>5</v>
      </c>
      <c r="D23" s="177" t="n">
        <v>180</v>
      </c>
      <c r="E23" s="177" t="n">
        <v>240</v>
      </c>
      <c r="F23" s="180" t="n">
        <v>14</v>
      </c>
      <c r="G23" s="181" t="n">
        <v>12</v>
      </c>
      <c r="H23" s="182" t="s">
        <v>2174</v>
      </c>
      <c r="I23" s="12" t="n">
        <f aca="false">C23*'Engineering Assumptions'!$B$5</f>
        <v>1910</v>
      </c>
    </row>
    <row r="24" customFormat="false" ht="15" hidden="false" customHeight="true" outlineLevel="0" collapsed="false">
      <c r="A24" s="9" t="n">
        <v>7</v>
      </c>
      <c r="B24" s="10" t="s">
        <v>105</v>
      </c>
      <c r="C24" s="179" t="n">
        <v>7</v>
      </c>
      <c r="D24" s="177" t="n">
        <v>200</v>
      </c>
      <c r="E24" s="177" t="n">
        <v>270</v>
      </c>
      <c r="F24" s="180" t="n">
        <v>19</v>
      </c>
      <c r="G24" s="181" t="n">
        <v>15</v>
      </c>
      <c r="H24" s="182" t="s">
        <v>2175</v>
      </c>
      <c r="I24" s="12" t="n">
        <f aca="false">C24*'Engineering Assumptions'!$B$5</f>
        <v>2674</v>
      </c>
    </row>
    <row r="25" customFormat="false" ht="15" hidden="false" customHeight="true" outlineLevel="0" collapsed="false">
      <c r="A25" s="9" t="n">
        <v>8</v>
      </c>
      <c r="B25" s="10" t="s">
        <v>107</v>
      </c>
      <c r="C25" s="179" t="n">
        <v>15</v>
      </c>
      <c r="D25" s="177" t="n">
        <v>420</v>
      </c>
      <c r="E25" s="177" t="n">
        <v>600</v>
      </c>
      <c r="F25" s="180" t="n">
        <v>55</v>
      </c>
      <c r="G25" s="181" t="n">
        <v>18</v>
      </c>
      <c r="H25" s="182" t="s">
        <v>2176</v>
      </c>
      <c r="I25" s="12" t="n">
        <f aca="false">C25*'Engineering Assumptions'!$B$5</f>
        <v>5730</v>
      </c>
    </row>
    <row r="26" customFormat="false" ht="15" hidden="false" customHeight="true" outlineLevel="0" collapsed="false">
      <c r="A26" s="9" t="n">
        <v>9</v>
      </c>
      <c r="B26" s="10" t="s">
        <v>109</v>
      </c>
      <c r="C26" s="179" t="n">
        <v>4.5</v>
      </c>
      <c r="D26" s="177" t="n">
        <v>160</v>
      </c>
      <c r="E26" s="177" t="n">
        <v>200</v>
      </c>
      <c r="F26" s="180" t="n">
        <v>11</v>
      </c>
      <c r="G26" s="181" t="n">
        <v>10</v>
      </c>
      <c r="H26" s="182" t="s">
        <v>2177</v>
      </c>
      <c r="I26" s="12" t="n">
        <f aca="false">C26*'Engineering Assumptions'!$B$5</f>
        <v>1719</v>
      </c>
    </row>
    <row r="27" customFormat="false" ht="15" hidden="false" customHeight="true" outlineLevel="0" collapsed="false">
      <c r="A27" s="9" t="n">
        <v>10</v>
      </c>
      <c r="B27" s="10" t="s">
        <v>111</v>
      </c>
      <c r="C27" s="179" t="n">
        <v>12</v>
      </c>
      <c r="D27" s="177" t="n">
        <v>420</v>
      </c>
      <c r="E27" s="177" t="n">
        <v>560</v>
      </c>
      <c r="F27" s="180" t="n">
        <v>48</v>
      </c>
      <c r="G27" s="181" t="n">
        <v>12</v>
      </c>
      <c r="H27" s="182" t="s">
        <v>2178</v>
      </c>
      <c r="I27" s="12" t="n">
        <f aca="false">C27*'Engineering Assumptions'!$B$5</f>
        <v>4584</v>
      </c>
    </row>
    <row r="28" customFormat="false" ht="15" hidden="false" customHeight="true" outlineLevel="0" collapsed="false">
      <c r="A28" s="9" t="n">
        <v>11</v>
      </c>
      <c r="B28" s="10" t="s">
        <v>113</v>
      </c>
      <c r="C28" s="179" t="n">
        <v>6.5</v>
      </c>
      <c r="D28" s="177" t="n">
        <v>170</v>
      </c>
      <c r="E28" s="177" t="n">
        <v>210</v>
      </c>
      <c r="F28" s="180" t="n">
        <v>14</v>
      </c>
      <c r="G28" s="181" t="n">
        <v>15</v>
      </c>
      <c r="H28" s="182" t="s">
        <v>2179</v>
      </c>
      <c r="I28" s="12" t="n">
        <f aca="false">C28*'Engineering Assumptions'!$B$5</f>
        <v>2483</v>
      </c>
    </row>
    <row r="29" customFormat="false" ht="15" hidden="false" customHeight="true" outlineLevel="0" collapsed="false">
      <c r="A29" s="9" t="n">
        <v>12</v>
      </c>
      <c r="B29" s="10" t="s">
        <v>115</v>
      </c>
      <c r="C29" s="179" t="n">
        <v>10</v>
      </c>
      <c r="D29" s="177" t="n">
        <v>340</v>
      </c>
      <c r="E29" s="177" t="n">
        <v>480</v>
      </c>
      <c r="F29" s="180" t="n">
        <v>48</v>
      </c>
      <c r="G29" s="181" t="n">
        <v>20</v>
      </c>
      <c r="H29" s="182" t="s">
        <v>2180</v>
      </c>
      <c r="I29" s="12" t="n">
        <f aca="false">C29*'Engineering Assumptions'!$B$5</f>
        <v>3820</v>
      </c>
    </row>
    <row r="30" customFormat="false" ht="15" hidden="false" customHeight="true" outlineLevel="0" collapsed="false">
      <c r="A30" s="9" t="n">
        <v>13</v>
      </c>
      <c r="B30" s="10" t="s">
        <v>117</v>
      </c>
      <c r="C30" s="179" t="n">
        <v>7</v>
      </c>
      <c r="D30" s="177" t="n">
        <v>220</v>
      </c>
      <c r="E30" s="177" t="n">
        <v>280</v>
      </c>
      <c r="F30" s="180" t="n">
        <v>16</v>
      </c>
      <c r="G30" s="181" t="n">
        <v>15</v>
      </c>
      <c r="H30" s="182" t="s">
        <v>2181</v>
      </c>
      <c r="I30" s="12" t="n">
        <f aca="false">C30*'Engineering Assumptions'!$B$5</f>
        <v>2674</v>
      </c>
    </row>
    <row r="31" customFormat="false" ht="15" hidden="false" customHeight="true" outlineLevel="0" collapsed="false">
      <c r="A31" s="9" t="n">
        <v>14</v>
      </c>
      <c r="B31" s="10" t="s">
        <v>119</v>
      </c>
      <c r="C31" s="179" t="n">
        <v>14</v>
      </c>
      <c r="D31" s="177" t="n">
        <v>260</v>
      </c>
      <c r="E31" s="177" t="n">
        <v>350</v>
      </c>
      <c r="F31" s="180" t="n">
        <v>22</v>
      </c>
      <c r="G31" s="181" t="n">
        <v>15</v>
      </c>
      <c r="H31" s="182" t="s">
        <v>2182</v>
      </c>
      <c r="I31" s="12" t="n">
        <f aca="false">C31*'Engineering Assumptions'!$B$5</f>
        <v>5348</v>
      </c>
    </row>
    <row r="32" customFormat="false" ht="15" hidden="false" customHeight="true" outlineLevel="0" collapsed="false">
      <c r="A32" s="9" t="n">
        <v>15</v>
      </c>
      <c r="B32" s="10" t="s">
        <v>121</v>
      </c>
      <c r="C32" s="179" t="n">
        <v>13</v>
      </c>
      <c r="D32" s="177" t="n">
        <v>440</v>
      </c>
      <c r="E32" s="177" t="n">
        <v>620</v>
      </c>
      <c r="F32" s="180" t="n">
        <v>58</v>
      </c>
      <c r="G32" s="181" t="n">
        <v>12</v>
      </c>
      <c r="H32" s="182" t="s">
        <v>2183</v>
      </c>
      <c r="I32" s="12" t="n">
        <f aca="false">C32*'Engineering Assumptions'!$B$5</f>
        <v>4966</v>
      </c>
    </row>
    <row r="33" customFormat="false" ht="15" hidden="false" customHeight="true" outlineLevel="0" collapsed="false">
      <c r="A33" s="9" t="n">
        <v>16</v>
      </c>
      <c r="B33" s="10" t="s">
        <v>123</v>
      </c>
      <c r="C33" s="179" t="n">
        <v>3</v>
      </c>
      <c r="D33" s="177" t="n">
        <v>90</v>
      </c>
      <c r="E33" s="177" t="n">
        <v>110</v>
      </c>
      <c r="F33" s="180" t="n">
        <v>28</v>
      </c>
      <c r="G33" s="181" t="n">
        <v>15</v>
      </c>
      <c r="H33" s="182" t="s">
        <v>2184</v>
      </c>
      <c r="I33" s="12" t="n">
        <f aca="false">C33*'Engineering Assumptions'!$B$5</f>
        <v>1146</v>
      </c>
    </row>
    <row r="34" customFormat="false" ht="15" hidden="false" customHeight="true" outlineLevel="0" collapsed="false">
      <c r="A34" s="9" t="n">
        <v>17</v>
      </c>
      <c r="B34" s="10" t="s">
        <v>125</v>
      </c>
      <c r="C34" s="179" t="n">
        <v>2.5</v>
      </c>
      <c r="D34" s="177" t="n">
        <v>70</v>
      </c>
      <c r="E34" s="177" t="n">
        <v>90</v>
      </c>
      <c r="F34" s="180" t="n">
        <v>14</v>
      </c>
      <c r="G34" s="181" t="n">
        <v>15</v>
      </c>
      <c r="H34" s="182" t="s">
        <v>2185</v>
      </c>
      <c r="I34" s="12" t="n">
        <f aca="false">C34*'Engineering Assumptions'!$B$5</f>
        <v>955</v>
      </c>
    </row>
    <row r="35" customFormat="false" ht="15" hidden="false" customHeight="true" outlineLevel="0" collapsed="false">
      <c r="A35" s="9" t="n">
        <v>18</v>
      </c>
      <c r="B35" s="10" t="s">
        <v>127</v>
      </c>
      <c r="C35" s="179" t="n">
        <v>3</v>
      </c>
      <c r="D35" s="177" t="n">
        <v>80</v>
      </c>
      <c r="E35" s="177" t="n">
        <v>100</v>
      </c>
      <c r="F35" s="180" t="n">
        <v>11</v>
      </c>
      <c r="G35" s="181" t="n">
        <v>15</v>
      </c>
      <c r="H35" s="182" t="s">
        <v>2186</v>
      </c>
      <c r="I35" s="12" t="n">
        <f aca="false">C35*'Engineering Assumptions'!$B$5</f>
        <v>1146</v>
      </c>
    </row>
    <row r="36" customFormat="false" ht="15" hidden="false" customHeight="true" outlineLevel="0" collapsed="false">
      <c r="A36" s="9" t="n">
        <v>19</v>
      </c>
      <c r="B36" s="10" t="s">
        <v>129</v>
      </c>
      <c r="C36" s="179" t="n">
        <v>2.5</v>
      </c>
      <c r="D36" s="177" t="n">
        <v>70</v>
      </c>
      <c r="E36" s="177" t="n">
        <v>90</v>
      </c>
      <c r="F36" s="180" t="n">
        <v>6.5</v>
      </c>
      <c r="G36" s="181" t="n">
        <v>15</v>
      </c>
      <c r="H36" s="182" t="s">
        <v>2187</v>
      </c>
      <c r="I36" s="12" t="n">
        <f aca="false">C36*'Engineering Assumptions'!$B$5</f>
        <v>955</v>
      </c>
    </row>
    <row r="37" customFormat="false" ht="15" hidden="false" customHeight="true" outlineLevel="0" collapsed="false">
      <c r="A37" s="9" t="n">
        <v>20</v>
      </c>
      <c r="B37" s="10" t="s">
        <v>131</v>
      </c>
      <c r="C37" s="179" t="n">
        <v>7.5</v>
      </c>
      <c r="D37" s="177" t="n">
        <v>230</v>
      </c>
      <c r="E37" s="177" t="n">
        <v>310</v>
      </c>
      <c r="F37" s="180" t="n">
        <v>16</v>
      </c>
      <c r="G37" s="181" t="n">
        <v>15</v>
      </c>
      <c r="H37" s="182" t="s">
        <v>2188</v>
      </c>
      <c r="I37" s="12" t="n">
        <f aca="false">C37*'Engineering Assumptions'!$B$5</f>
        <v>2865</v>
      </c>
    </row>
    <row r="38" customFormat="false" ht="15" hidden="false" customHeight="true" outlineLevel="0" collapsed="false">
      <c r="A38" s="9" t="n">
        <v>21</v>
      </c>
      <c r="B38" s="10" t="s">
        <v>133</v>
      </c>
      <c r="C38" s="179" t="n">
        <v>0</v>
      </c>
      <c r="D38" s="177" t="n">
        <v>50</v>
      </c>
      <c r="E38" s="177" t="n">
        <v>70</v>
      </c>
      <c r="F38" s="180" t="n">
        <v>2.5</v>
      </c>
      <c r="G38" s="181" t="n">
        <v>20</v>
      </c>
      <c r="H38" s="182" t="s">
        <v>2189</v>
      </c>
      <c r="I38" s="12" t="n">
        <f aca="false">C38*'Engineering Assumptions'!$B$5</f>
        <v>0</v>
      </c>
    </row>
    <row r="39" customFormat="false" ht="15" hidden="false" customHeight="true" outlineLevel="0" collapsed="false">
      <c r="A39" s="9" t="n">
        <v>22</v>
      </c>
      <c r="B39" s="10" t="s">
        <v>135</v>
      </c>
      <c r="C39" s="179" t="n">
        <v>0</v>
      </c>
      <c r="D39" s="177" t="n">
        <v>60</v>
      </c>
      <c r="E39" s="177" t="n">
        <v>80</v>
      </c>
      <c r="F39" s="180" t="n">
        <v>4.5</v>
      </c>
      <c r="G39" s="181" t="n">
        <v>20</v>
      </c>
      <c r="H39" s="182" t="s">
        <v>2190</v>
      </c>
      <c r="I39" s="12" t="n">
        <f aca="false">C39*'Engineering Assumptions'!$B$5</f>
        <v>0</v>
      </c>
    </row>
    <row r="40" customFormat="false" ht="15" hidden="false" customHeight="true" outlineLevel="0" collapsed="false">
      <c r="A40" s="9" t="n">
        <v>23</v>
      </c>
      <c r="B40" s="10" t="s">
        <v>137</v>
      </c>
      <c r="C40" s="179" t="n">
        <v>3.5</v>
      </c>
      <c r="D40" s="177" t="n">
        <v>110</v>
      </c>
      <c r="E40" s="177" t="n">
        <v>140</v>
      </c>
      <c r="F40" s="180" t="n">
        <v>9</v>
      </c>
      <c r="G40" s="181" t="n">
        <v>15</v>
      </c>
      <c r="H40" s="182" t="s">
        <v>2191</v>
      </c>
      <c r="I40" s="12" t="n">
        <f aca="false">C40*'Engineering Assumptions'!$B$5</f>
        <v>1337</v>
      </c>
    </row>
    <row r="41" customFormat="false" ht="15" hidden="false" customHeight="true" outlineLevel="0" collapsed="false">
      <c r="A41" s="9" t="n">
        <v>24</v>
      </c>
      <c r="B41" s="10" t="s">
        <v>139</v>
      </c>
      <c r="C41" s="179" t="n">
        <v>15</v>
      </c>
      <c r="D41" s="177" t="n">
        <v>380</v>
      </c>
      <c r="E41" s="177" t="n">
        <v>520</v>
      </c>
      <c r="F41" s="180" t="n">
        <v>42</v>
      </c>
      <c r="G41" s="181" t="n">
        <v>15</v>
      </c>
      <c r="H41" s="182" t="s">
        <v>2192</v>
      </c>
      <c r="I41" s="12" t="n">
        <f aca="false">C41*'Engineering Assumptions'!$B$5</f>
        <v>5730</v>
      </c>
    </row>
    <row r="42" customFormat="false" ht="15" hidden="false" customHeight="true" outlineLevel="0" collapsed="false">
      <c r="A42" s="9" t="n">
        <v>25</v>
      </c>
      <c r="B42" s="10" t="s">
        <v>141</v>
      </c>
      <c r="C42" s="179" t="n">
        <v>3.5</v>
      </c>
      <c r="D42" s="177" t="n">
        <v>120</v>
      </c>
      <c r="E42" s="177" t="n">
        <v>150</v>
      </c>
      <c r="F42" s="180" t="n">
        <v>12</v>
      </c>
      <c r="G42" s="181" t="n">
        <v>15</v>
      </c>
      <c r="H42" s="182" t="s">
        <v>2193</v>
      </c>
      <c r="I42" s="12" t="n">
        <f aca="false">C42*'Engineering Assumptions'!$B$5</f>
        <v>1337</v>
      </c>
    </row>
    <row r="43" customFormat="false" ht="15" hidden="false" customHeight="true" outlineLevel="0" collapsed="false">
      <c r="A43" s="9" t="n">
        <v>26</v>
      </c>
      <c r="B43" s="10" t="s">
        <v>143</v>
      </c>
      <c r="C43" s="179" t="n">
        <v>4</v>
      </c>
      <c r="D43" s="177" t="n">
        <v>110</v>
      </c>
      <c r="E43" s="177" t="n">
        <v>140</v>
      </c>
      <c r="F43" s="180" t="n">
        <v>5.5</v>
      </c>
      <c r="G43" s="181" t="n">
        <v>15</v>
      </c>
      <c r="H43" s="182" t="s">
        <v>2194</v>
      </c>
      <c r="I43" s="12" t="n">
        <f aca="false">C43*'Engineering Assumptions'!$B$5</f>
        <v>1528</v>
      </c>
    </row>
    <row r="44" customFormat="false" ht="15" hidden="false" customHeight="true" outlineLevel="0" collapsed="false">
      <c r="A44" s="9" t="n">
        <v>27</v>
      </c>
      <c r="B44" s="10" t="s">
        <v>145</v>
      </c>
      <c r="C44" s="179" t="n">
        <v>1.2</v>
      </c>
      <c r="D44" s="177" t="n">
        <v>25</v>
      </c>
      <c r="E44" s="177" t="n">
        <v>35</v>
      </c>
      <c r="F44" s="180" t="n">
        <v>0.45</v>
      </c>
      <c r="G44" s="181" t="n">
        <v>8</v>
      </c>
      <c r="H44" s="182" t="s">
        <v>2195</v>
      </c>
      <c r="I44" s="12" t="n">
        <f aca="false">C44*'Engineering Assumptions'!$B$5</f>
        <v>458.4</v>
      </c>
    </row>
    <row r="45" customFormat="false" ht="15" hidden="false" customHeight="true" outlineLevel="0" collapsed="false">
      <c r="A45" s="9" t="n">
        <v>28</v>
      </c>
      <c r="B45" s="10" t="s">
        <v>147</v>
      </c>
      <c r="C45" s="179" t="n">
        <v>4.5</v>
      </c>
      <c r="D45" s="177" t="n">
        <v>110</v>
      </c>
      <c r="E45" s="177" t="n">
        <v>140</v>
      </c>
      <c r="F45" s="180" t="n">
        <v>6.5</v>
      </c>
      <c r="G45" s="181" t="n">
        <v>15</v>
      </c>
      <c r="H45" s="182" t="s">
        <v>2196</v>
      </c>
      <c r="I45" s="12" t="n">
        <f aca="false">C45*'Engineering Assumptions'!$B$5</f>
        <v>1719</v>
      </c>
    </row>
    <row r="46" customFormat="false" ht="15" hidden="false" customHeight="true" outlineLevel="0" collapsed="false">
      <c r="A46" s="9" t="n">
        <v>29</v>
      </c>
      <c r="B46" s="10" t="s">
        <v>149</v>
      </c>
      <c r="C46" s="179" t="n">
        <v>3.5</v>
      </c>
      <c r="D46" s="177" t="n">
        <v>160</v>
      </c>
      <c r="E46" s="177" t="n">
        <v>210</v>
      </c>
      <c r="F46" s="180" t="n">
        <v>12</v>
      </c>
      <c r="G46" s="181" t="n">
        <v>15</v>
      </c>
      <c r="H46" s="182" t="s">
        <v>2197</v>
      </c>
      <c r="I46" s="12" t="n">
        <f aca="false">C46*'Engineering Assumptions'!$B$5</f>
        <v>1337</v>
      </c>
    </row>
    <row r="49" customFormat="false" ht="15" hidden="false" customHeight="true" outlineLevel="0" collapsed="false">
      <c r="A49" s="19" t="s">
        <v>2198</v>
      </c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20" t="s">
        <v>2199</v>
      </c>
      <c r="B50" s="20" t="s">
        <v>2200</v>
      </c>
      <c r="C50" s="20" t="s">
        <v>2201</v>
      </c>
      <c r="D50" s="21" t="s">
        <v>155</v>
      </c>
      <c r="E50" s="21"/>
      <c r="F50" s="21"/>
      <c r="G50" s="21"/>
      <c r="H50" s="21"/>
      <c r="I50" s="21"/>
    </row>
    <row r="51" customFormat="false" ht="15" hidden="false" customHeight="true" outlineLevel="0" collapsed="false">
      <c r="A51" s="22" t="s">
        <v>2202</v>
      </c>
      <c r="B51" s="16" t="n">
        <v>1</v>
      </c>
      <c r="C51" s="16" t="n">
        <v>0.3</v>
      </c>
      <c r="D51" s="24" t="s">
        <v>2203</v>
      </c>
      <c r="E51" s="24"/>
      <c r="F51" s="24"/>
      <c r="G51" s="24"/>
      <c r="H51" s="24"/>
      <c r="I51" s="24"/>
    </row>
    <row r="52" customFormat="false" ht="15" hidden="false" customHeight="true" outlineLevel="0" collapsed="false">
      <c r="A52" s="22" t="s">
        <v>2204</v>
      </c>
      <c r="B52" s="16" t="n">
        <v>1.25</v>
      </c>
      <c r="C52" s="16" t="n">
        <v>0.75</v>
      </c>
      <c r="D52" s="24" t="s">
        <v>2205</v>
      </c>
      <c r="E52" s="24"/>
      <c r="F52" s="24"/>
      <c r="G52" s="24"/>
      <c r="H52" s="24"/>
      <c r="I52" s="24"/>
    </row>
    <row r="53" customFormat="false" ht="15" hidden="false" customHeight="true" outlineLevel="0" collapsed="false">
      <c r="A53" s="22" t="s">
        <v>2206</v>
      </c>
      <c r="B53" s="16" t="n">
        <v>1.55</v>
      </c>
      <c r="C53" s="16" t="n">
        <v>1.35</v>
      </c>
      <c r="D53" s="24" t="s">
        <v>2207</v>
      </c>
      <c r="E53" s="24"/>
      <c r="F53" s="24"/>
      <c r="G53" s="24"/>
      <c r="H53" s="24"/>
      <c r="I53" s="24"/>
    </row>
    <row r="54" customFormat="false" ht="15" hidden="false" customHeight="true" outlineLevel="0" collapsed="false">
      <c r="A54" s="22" t="s">
        <v>2208</v>
      </c>
      <c r="B54" s="16" t="n">
        <v>1.95</v>
      </c>
      <c r="C54" s="16" t="n">
        <v>2.1</v>
      </c>
      <c r="D54" s="24" t="s">
        <v>2209</v>
      </c>
      <c r="E54" s="24"/>
      <c r="F54" s="24"/>
      <c r="G54" s="24"/>
      <c r="H54" s="24"/>
      <c r="I54" s="24"/>
    </row>
    <row r="55" customFormat="false" ht="15" hidden="false" customHeight="true" outlineLevel="0" collapsed="false">
      <c r="A55" s="22" t="s">
        <v>2210</v>
      </c>
      <c r="B55" s="16" t="n">
        <v>2.4</v>
      </c>
      <c r="C55" s="16" t="n">
        <v>3</v>
      </c>
      <c r="D55" s="24" t="s">
        <v>2211</v>
      </c>
      <c r="E55" s="24"/>
      <c r="F55" s="24"/>
      <c r="G55" s="24"/>
      <c r="H55" s="24"/>
      <c r="I55" s="24"/>
    </row>
    <row r="58" customFormat="false" ht="15" hidden="false" customHeight="true" outlineLevel="0" collapsed="false">
      <c r="A58" s="19" t="s">
        <v>2212</v>
      </c>
      <c r="B58" s="19"/>
      <c r="C58" s="19"/>
      <c r="D58" s="19"/>
      <c r="E58" s="19"/>
      <c r="F58" s="19"/>
      <c r="G58" s="19"/>
      <c r="H58" s="19"/>
      <c r="I58" s="19"/>
    </row>
    <row r="59" customFormat="false" ht="15" hidden="false" customHeight="true" outlineLevel="0" collapsed="false">
      <c r="A59" s="8" t="s">
        <v>2213</v>
      </c>
      <c r="B59" s="8" t="s">
        <v>2214</v>
      </c>
      <c r="C59" s="8" t="s">
        <v>2215</v>
      </c>
      <c r="D59" s="8" t="s">
        <v>2216</v>
      </c>
      <c r="E59" s="8" t="s">
        <v>2217</v>
      </c>
    </row>
    <row r="60" customFormat="false" ht="15" hidden="false" customHeight="true" outlineLevel="0" collapsed="false">
      <c r="A60" s="22" t="s">
        <v>2218</v>
      </c>
      <c r="B60" s="9" t="s">
        <v>2219</v>
      </c>
      <c r="C60" s="12" t="n">
        <v>53895</v>
      </c>
      <c r="D60" s="9" t="s">
        <v>2220</v>
      </c>
      <c r="E60" s="24" t="s">
        <v>2221</v>
      </c>
      <c r="F60" s="24"/>
      <c r="G60" s="24"/>
      <c r="H60" s="24"/>
      <c r="I60" s="24"/>
    </row>
    <row r="61" customFormat="false" ht="15" hidden="false" customHeight="true" outlineLevel="0" collapsed="false">
      <c r="A61" s="22" t="s">
        <v>2222</v>
      </c>
      <c r="B61" s="9" t="s">
        <v>2223</v>
      </c>
      <c r="C61" s="12" t="n">
        <v>3220</v>
      </c>
      <c r="D61" s="9" t="s">
        <v>472</v>
      </c>
      <c r="E61" s="24" t="s">
        <v>2224</v>
      </c>
      <c r="F61" s="24"/>
      <c r="G61" s="24"/>
      <c r="H61" s="24"/>
      <c r="I61" s="24"/>
    </row>
    <row r="62" customFormat="false" ht="15" hidden="false" customHeight="true" outlineLevel="0" collapsed="false">
      <c r="A62" s="22" t="s">
        <v>2225</v>
      </c>
      <c r="B62" s="9" t="s">
        <v>2226</v>
      </c>
      <c r="C62" s="12" t="n">
        <v>4600</v>
      </c>
      <c r="D62" s="9" t="s">
        <v>2227</v>
      </c>
      <c r="E62" s="24" t="s">
        <v>2228</v>
      </c>
      <c r="F62" s="24"/>
      <c r="G62" s="24"/>
      <c r="H62" s="24"/>
      <c r="I62" s="24"/>
    </row>
    <row r="63" customFormat="false" ht="15" hidden="false" customHeight="true" outlineLevel="0" collapsed="false">
      <c r="A63" s="22" t="s">
        <v>2229</v>
      </c>
      <c r="B63" s="9" t="s">
        <v>2230</v>
      </c>
      <c r="C63" s="12" t="n">
        <v>2500</v>
      </c>
      <c r="D63" s="9" t="s">
        <v>2220</v>
      </c>
      <c r="E63" s="24" t="s">
        <v>2231</v>
      </c>
      <c r="F63" s="24"/>
      <c r="G63" s="24"/>
      <c r="H63" s="24"/>
      <c r="I63" s="24"/>
    </row>
    <row r="64" customFormat="false" ht="15" hidden="false" customHeight="true" outlineLevel="0" collapsed="false">
      <c r="A64" s="22" t="s">
        <v>2232</v>
      </c>
      <c r="B64" s="9" t="s">
        <v>2233</v>
      </c>
      <c r="C64" s="12" t="n">
        <v>3500</v>
      </c>
      <c r="D64" s="9" t="s">
        <v>2234</v>
      </c>
      <c r="E64" s="24" t="s">
        <v>2235</v>
      </c>
      <c r="F64" s="24"/>
      <c r="G64" s="24"/>
      <c r="H64" s="24"/>
      <c r="I64" s="24"/>
    </row>
    <row r="65" customFormat="false" ht="15" hidden="false" customHeight="true" outlineLevel="0" collapsed="false">
      <c r="A65" s="22" t="s">
        <v>2236</v>
      </c>
      <c r="B65" s="9" t="s">
        <v>2230</v>
      </c>
      <c r="C65" s="12" t="n">
        <v>4500</v>
      </c>
      <c r="D65" s="9" t="s">
        <v>2234</v>
      </c>
      <c r="E65" s="24" t="s">
        <v>2235</v>
      </c>
      <c r="F65" s="24"/>
      <c r="G65" s="24"/>
      <c r="H65" s="24"/>
      <c r="I65" s="24"/>
    </row>
    <row r="66" customFormat="false" ht="15" hidden="false" customHeight="true" outlineLevel="0" collapsed="false">
      <c r="A66" s="22" t="s">
        <v>2237</v>
      </c>
      <c r="B66" s="9" t="s">
        <v>2230</v>
      </c>
      <c r="C66" s="12" t="n">
        <v>6500</v>
      </c>
      <c r="D66" s="9" t="s">
        <v>2238</v>
      </c>
      <c r="E66" s="24" t="s">
        <v>2235</v>
      </c>
      <c r="F66" s="24"/>
      <c r="G66" s="24"/>
      <c r="H66" s="24"/>
      <c r="I66" s="24"/>
    </row>
    <row r="67" customFormat="false" ht="15" hidden="false" customHeight="true" outlineLevel="0" collapsed="false">
      <c r="A67" s="22" t="s">
        <v>2239</v>
      </c>
      <c r="B67" s="9" t="s">
        <v>2240</v>
      </c>
      <c r="C67" s="12" t="n">
        <v>18000</v>
      </c>
      <c r="D67" s="9" t="s">
        <v>472</v>
      </c>
      <c r="E67" s="24" t="s">
        <v>2241</v>
      </c>
      <c r="F67" s="24"/>
      <c r="G67" s="24"/>
      <c r="H67" s="24"/>
      <c r="I67" s="24"/>
    </row>
    <row r="68" customFormat="false" ht="15" hidden="false" customHeight="true" outlineLevel="0" collapsed="false">
      <c r="A68" s="22" t="s">
        <v>2242</v>
      </c>
      <c r="B68" s="9" t="s">
        <v>2243</v>
      </c>
      <c r="C68" s="12" t="n">
        <v>4800</v>
      </c>
      <c r="D68" s="9" t="s">
        <v>2244</v>
      </c>
      <c r="E68" s="24" t="s">
        <v>2235</v>
      </c>
      <c r="F68" s="24"/>
      <c r="G68" s="24"/>
      <c r="H68" s="24"/>
      <c r="I68" s="24"/>
    </row>
    <row r="69" customFormat="false" ht="15" hidden="false" customHeight="true" outlineLevel="0" collapsed="false">
      <c r="A69" s="22" t="s">
        <v>2245</v>
      </c>
      <c r="B69" s="9" t="s">
        <v>2226</v>
      </c>
      <c r="C69" s="12" t="n">
        <v>22000</v>
      </c>
      <c r="D69" s="9" t="s">
        <v>2238</v>
      </c>
      <c r="E69" s="24" t="s">
        <v>2235</v>
      </c>
      <c r="F69" s="24"/>
      <c r="G69" s="24"/>
      <c r="H69" s="24"/>
      <c r="I69" s="24"/>
    </row>
    <row r="70" customFormat="false" ht="15" hidden="false" customHeight="true" outlineLevel="0" collapsed="false">
      <c r="A70" s="22" t="s">
        <v>2246</v>
      </c>
      <c r="B70" s="9" t="s">
        <v>2230</v>
      </c>
      <c r="C70" s="12" t="n">
        <v>135000</v>
      </c>
      <c r="D70" s="9" t="s">
        <v>2247</v>
      </c>
      <c r="E70" s="24" t="s">
        <v>2248</v>
      </c>
      <c r="F70" s="24"/>
      <c r="G70" s="24"/>
      <c r="H70" s="24"/>
      <c r="I70" s="24"/>
    </row>
    <row r="71" customFormat="false" ht="15" hidden="false" customHeight="true" outlineLevel="0" collapsed="false">
      <c r="A71" s="22" t="s">
        <v>2249</v>
      </c>
      <c r="B71" s="9" t="s">
        <v>2230</v>
      </c>
      <c r="C71" s="12" t="n">
        <v>220000</v>
      </c>
      <c r="D71" s="9" t="s">
        <v>2250</v>
      </c>
      <c r="E71" s="24" t="s">
        <v>2251</v>
      </c>
      <c r="F71" s="24"/>
      <c r="G71" s="24"/>
      <c r="H71" s="24"/>
      <c r="I71" s="24"/>
    </row>
    <row r="72" customFormat="false" ht="15" hidden="false" customHeight="true" outlineLevel="0" collapsed="false">
      <c r="A72" s="22" t="s">
        <v>2252</v>
      </c>
      <c r="B72" s="9" t="s">
        <v>2253</v>
      </c>
      <c r="C72" s="12" t="n">
        <v>45000</v>
      </c>
      <c r="D72" s="9" t="s">
        <v>2254</v>
      </c>
      <c r="E72" s="24" t="s">
        <v>2255</v>
      </c>
      <c r="F72" s="24"/>
      <c r="G72" s="24"/>
      <c r="H72" s="24"/>
      <c r="I72" s="24"/>
    </row>
    <row r="73" customFormat="false" ht="15" hidden="false" customHeight="true" outlineLevel="0" collapsed="false">
      <c r="A73" s="22" t="s">
        <v>2256</v>
      </c>
      <c r="B73" s="9" t="s">
        <v>2230</v>
      </c>
      <c r="C73" s="12" t="n">
        <v>2800</v>
      </c>
      <c r="D73" s="9" t="s">
        <v>2254</v>
      </c>
      <c r="E73" s="24" t="s">
        <v>2235</v>
      </c>
      <c r="F73" s="24"/>
      <c r="G73" s="24"/>
      <c r="H73" s="24"/>
      <c r="I73" s="24"/>
    </row>
    <row r="74" customFormat="false" ht="15" hidden="false" customHeight="true" outlineLevel="0" collapsed="false">
      <c r="A74" s="22" t="s">
        <v>2257</v>
      </c>
      <c r="B74" s="9" t="s">
        <v>2230</v>
      </c>
      <c r="C74" s="12" t="n">
        <v>42000</v>
      </c>
      <c r="D74" s="9" t="s">
        <v>2258</v>
      </c>
      <c r="E74" s="24" t="s">
        <v>2259</v>
      </c>
      <c r="F74" s="24"/>
      <c r="G74" s="24"/>
      <c r="H74" s="24"/>
      <c r="I74" s="24"/>
    </row>
  </sheetData>
  <mergeCells count="27">
    <mergeCell ref="A1:I1"/>
    <mergeCell ref="A2:I2"/>
    <mergeCell ref="A4:I4"/>
    <mergeCell ref="A16:I16"/>
    <mergeCell ref="A49:I49"/>
    <mergeCell ref="D50:I50"/>
    <mergeCell ref="D51:I51"/>
    <mergeCell ref="D52:I52"/>
    <mergeCell ref="D53:I53"/>
    <mergeCell ref="D54:I54"/>
    <mergeCell ref="D55:I55"/>
    <mergeCell ref="A58:I58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0:I70"/>
    <mergeCell ref="E71:I71"/>
    <mergeCell ref="E72:I72"/>
    <mergeCell ref="E73:I73"/>
    <mergeCell ref="E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107" activePane="bottomRight" state="frozen"/>
      <selection pane="topLeft" activeCell="A1" activeCellId="0" sqref="A1"/>
      <selection pane="topRight" activeCell="G1" activeCellId="0" sqref="G1"/>
      <selection pane="bottomLeft" activeCell="A107" activeCellId="0" sqref="A107"/>
      <selection pane="bottomRight" activeCell="O6" activeCellId="0" sqref="O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28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true" outlineLevel="0" max="21" min="18" style="0" width="13"/>
  </cols>
  <sheetData>
    <row r="1" customFormat="false" ht="24" hidden="false" customHeight="true" outlineLevel="0" collapsed="false">
      <c r="A1" s="1" t="s">
        <v>2260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7" t="s">
        <v>2261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42" hidden="false" customHeight="true" outlineLevel="0" collapsed="false">
      <c r="A4" s="8" t="s">
        <v>77</v>
      </c>
      <c r="B4" s="8" t="s">
        <v>78</v>
      </c>
      <c r="C4" s="8" t="s">
        <v>2262</v>
      </c>
      <c r="D4" s="8" t="s">
        <v>280</v>
      </c>
      <c r="E4" s="8" t="s">
        <v>283</v>
      </c>
      <c r="F4" s="8" t="s">
        <v>282</v>
      </c>
      <c r="G4" s="8" t="s">
        <v>2263</v>
      </c>
      <c r="H4" s="8" t="s">
        <v>2264</v>
      </c>
      <c r="I4" s="8" t="s">
        <v>2265</v>
      </c>
      <c r="J4" s="8" t="s">
        <v>2266</v>
      </c>
      <c r="K4" s="8" t="s">
        <v>2267</v>
      </c>
      <c r="L4" s="8" t="s">
        <v>2268</v>
      </c>
      <c r="M4" s="8" t="s">
        <v>2269</v>
      </c>
      <c r="N4" s="8" t="s">
        <v>2270</v>
      </c>
      <c r="O4" s="8" t="s">
        <v>2271</v>
      </c>
      <c r="P4" s="8" t="s">
        <v>2272</v>
      </c>
      <c r="Q4" s="8" t="s">
        <v>2273</v>
      </c>
      <c r="R4" s="41" t="s">
        <v>2274</v>
      </c>
      <c r="S4" s="41" t="s">
        <v>2275</v>
      </c>
      <c r="T4" s="41" t="s">
        <v>2276</v>
      </c>
      <c r="U4" s="41" t="s">
        <v>2277</v>
      </c>
    </row>
    <row r="5" customFormat="false" ht="15" hidden="false" customHeight="true" outlineLevel="0" collapsed="false">
      <c r="A5" s="42" t="s">
        <v>293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customFormat="false" ht="15" hidden="false" customHeight="true" outlineLevel="0" collapsed="false">
      <c r="A6" s="9" t="n">
        <v>1</v>
      </c>
      <c r="B6" s="47" t="s">
        <v>92</v>
      </c>
      <c r="C6" s="47" t="s">
        <v>2278</v>
      </c>
      <c r="D6" s="47" t="s">
        <v>295</v>
      </c>
      <c r="E6" s="47" t="s">
        <v>298</v>
      </c>
      <c r="F6" s="45" t="s">
        <v>297</v>
      </c>
      <c r="G6" s="9" t="n">
        <v>5</v>
      </c>
      <c r="H6" s="12" t="n">
        <f aca="false">'Engineering Assumptions'!$C$18*'Engineering Assumptions'!$B$5*U6</f>
        <v>2101</v>
      </c>
      <c r="I6" s="12" t="n">
        <f aca="false">'Engineering Assumptions'!$B$8</f>
        <v>650</v>
      </c>
      <c r="J6" s="12" t="n">
        <f aca="false">'Engineering Assumptions'!$D$18*S6*U6</f>
        <v>180</v>
      </c>
      <c r="K6" s="12" t="n">
        <f aca="false">'Engineering Assumptions'!$E$18*T6*U6</f>
        <v>66</v>
      </c>
      <c r="L6" s="13" t="n">
        <f aca="false">H6+I6+J6+K6</f>
        <v>2997</v>
      </c>
      <c r="M6" s="12" t="n">
        <f aca="false">L6*'Engineering Assumptions'!$B$10</f>
        <v>449.55</v>
      </c>
      <c r="N6" s="13" t="n">
        <f aca="false">L6+M6</f>
        <v>3446.55</v>
      </c>
      <c r="O6" s="12" t="n">
        <f aca="false">N6*'Engineering Assumptions'!$B$11</f>
        <v>689.31</v>
      </c>
      <c r="P6" s="183" t="n">
        <f aca="false">MROUND(N6+O6,10)</f>
        <v>4140</v>
      </c>
      <c r="Q6" s="12" t="n">
        <f aca="false">'Fleet Pricing'!H6</f>
        <v>4150</v>
      </c>
      <c r="R6" s="41" t="n">
        <v>5</v>
      </c>
      <c r="S6" s="46" t="n">
        <v>1</v>
      </c>
      <c r="T6" s="46" t="n">
        <v>0.3</v>
      </c>
      <c r="U6" s="46" t="n">
        <v>1</v>
      </c>
    </row>
    <row r="7" customFormat="false" ht="15" hidden="false" customHeight="true" outlineLevel="0" collapsed="false">
      <c r="A7" s="9" t="n">
        <v>2</v>
      </c>
      <c r="B7" s="47" t="s">
        <v>92</v>
      </c>
      <c r="C7" s="47" t="s">
        <v>2278</v>
      </c>
      <c r="D7" s="47" t="s">
        <v>299</v>
      </c>
      <c r="E7" s="47" t="s">
        <v>300</v>
      </c>
      <c r="F7" s="45" t="s">
        <v>297</v>
      </c>
      <c r="G7" s="9" t="n">
        <v>5</v>
      </c>
      <c r="H7" s="12" t="n">
        <f aca="false">'Engineering Assumptions'!$C$18*'Engineering Assumptions'!$B$5*U7</f>
        <v>2101</v>
      </c>
      <c r="I7" s="12" t="n">
        <f aca="false">'Engineering Assumptions'!$B$8</f>
        <v>650</v>
      </c>
      <c r="J7" s="12" t="n">
        <f aca="false">'Engineering Assumptions'!$D$18*S7*U7</f>
        <v>180</v>
      </c>
      <c r="K7" s="12" t="n">
        <f aca="false">'Engineering Assumptions'!$E$18*T7*U7</f>
        <v>66</v>
      </c>
      <c r="L7" s="13" t="n">
        <f aca="false">H7+I7+J7+K7</f>
        <v>2997</v>
      </c>
      <c r="M7" s="12" t="n">
        <f aca="false">L7*'Engineering Assumptions'!$B$10</f>
        <v>449.55</v>
      </c>
      <c r="N7" s="13" t="n">
        <f aca="false">L7+M7</f>
        <v>3446.55</v>
      </c>
      <c r="O7" s="12" t="n">
        <f aca="false">N7*'Engineering Assumptions'!$B$11</f>
        <v>689.31</v>
      </c>
      <c r="P7" s="183" t="n">
        <f aca="false">MROUND(N7+O7,10)</f>
        <v>4140</v>
      </c>
      <c r="Q7" s="12" t="n">
        <f aca="false">'Fleet Pricing'!H7</f>
        <v>4150</v>
      </c>
      <c r="R7" s="41" t="n">
        <v>5</v>
      </c>
      <c r="S7" s="46" t="n">
        <v>1</v>
      </c>
      <c r="T7" s="46" t="n">
        <v>0.3</v>
      </c>
      <c r="U7" s="46" t="n">
        <v>1</v>
      </c>
    </row>
    <row r="8" customFormat="false" ht="15" hidden="false" customHeight="true" outlineLevel="0" collapsed="false">
      <c r="A8" s="9" t="n">
        <v>3</v>
      </c>
      <c r="B8" s="47" t="s">
        <v>92</v>
      </c>
      <c r="C8" s="47" t="s">
        <v>2278</v>
      </c>
      <c r="D8" s="47" t="s">
        <v>301</v>
      </c>
      <c r="E8" s="47" t="s">
        <v>302</v>
      </c>
      <c r="F8" s="45" t="s">
        <v>297</v>
      </c>
      <c r="G8" s="9" t="n">
        <v>5</v>
      </c>
      <c r="H8" s="12" t="n">
        <f aca="false">'Engineering Assumptions'!$C$18*'Engineering Assumptions'!$B$5*U8</f>
        <v>2101</v>
      </c>
      <c r="I8" s="12" t="n">
        <f aca="false">'Engineering Assumptions'!$B$8</f>
        <v>650</v>
      </c>
      <c r="J8" s="12" t="n">
        <f aca="false">'Engineering Assumptions'!$D$18*S8*U8</f>
        <v>180</v>
      </c>
      <c r="K8" s="12" t="n">
        <f aca="false">'Engineering Assumptions'!$E$18*T8*U8</f>
        <v>66</v>
      </c>
      <c r="L8" s="13" t="n">
        <f aca="false">H8+I8+J8+K8</f>
        <v>2997</v>
      </c>
      <c r="M8" s="12" t="n">
        <f aca="false">L8*'Engineering Assumptions'!$B$10</f>
        <v>449.55</v>
      </c>
      <c r="N8" s="13" t="n">
        <f aca="false">L8+M8</f>
        <v>3446.55</v>
      </c>
      <c r="O8" s="12" t="n">
        <f aca="false">N8*'Engineering Assumptions'!$B$11</f>
        <v>689.31</v>
      </c>
      <c r="P8" s="183" t="n">
        <f aca="false">MROUND(N8+O8,10)</f>
        <v>4140</v>
      </c>
      <c r="Q8" s="12" t="n">
        <f aca="false">'Fleet Pricing'!H8</f>
        <v>4150</v>
      </c>
      <c r="R8" s="41" t="n">
        <v>5</v>
      </c>
      <c r="S8" s="46" t="n">
        <v>1</v>
      </c>
      <c r="T8" s="46" t="n">
        <v>0.3</v>
      </c>
      <c r="U8" s="46" t="n">
        <v>1</v>
      </c>
    </row>
    <row r="9" customFormat="false" ht="15" hidden="false" customHeight="true" outlineLevel="0" collapsed="false">
      <c r="A9" s="9" t="n">
        <v>4</v>
      </c>
      <c r="B9" s="47" t="s">
        <v>92</v>
      </c>
      <c r="C9" s="47" t="s">
        <v>2279</v>
      </c>
      <c r="D9" s="47" t="s">
        <v>304</v>
      </c>
      <c r="E9" s="47" t="s">
        <v>307</v>
      </c>
      <c r="F9" s="45" t="s">
        <v>306</v>
      </c>
      <c r="G9" s="9" t="n">
        <v>6</v>
      </c>
      <c r="H9" s="12" t="n">
        <f aca="false">'Engineering Assumptions'!$C$18*'Engineering Assumptions'!$B$5*U9</f>
        <v>2101</v>
      </c>
      <c r="I9" s="12" t="n">
        <f aca="false">'Engineering Assumptions'!$B$8</f>
        <v>650</v>
      </c>
      <c r="J9" s="12" t="n">
        <f aca="false">'Engineering Assumptions'!$D$18*S9*U9</f>
        <v>225</v>
      </c>
      <c r="K9" s="12" t="n">
        <f aca="false">'Engineering Assumptions'!$E$18*T9*U9</f>
        <v>165</v>
      </c>
      <c r="L9" s="13" t="n">
        <f aca="false">H9+I9+J9+K9</f>
        <v>3141</v>
      </c>
      <c r="M9" s="12" t="n">
        <f aca="false">L9*'Engineering Assumptions'!$B$10</f>
        <v>471.15</v>
      </c>
      <c r="N9" s="13" t="n">
        <f aca="false">L9+M9</f>
        <v>3612.15</v>
      </c>
      <c r="O9" s="12" t="n">
        <f aca="false">N9*'Engineering Assumptions'!$B$11</f>
        <v>722.43</v>
      </c>
      <c r="P9" s="183" t="n">
        <f aca="false">MROUND(N9+O9,10)</f>
        <v>4330</v>
      </c>
      <c r="Q9" s="12" t="n">
        <f aca="false">'Fleet Pricing'!H9</f>
        <v>4150</v>
      </c>
      <c r="R9" s="41" t="n">
        <v>6</v>
      </c>
      <c r="S9" s="46" t="n">
        <v>1.25</v>
      </c>
      <c r="T9" s="46" t="n">
        <v>0.75</v>
      </c>
      <c r="U9" s="46" t="n">
        <v>1</v>
      </c>
    </row>
    <row r="10" customFormat="false" ht="15" hidden="false" customHeight="true" outlineLevel="0" collapsed="false">
      <c r="A10" s="9" t="n">
        <v>5</v>
      </c>
      <c r="B10" s="47" t="s">
        <v>92</v>
      </c>
      <c r="C10" s="47" t="s">
        <v>2279</v>
      </c>
      <c r="D10" s="47" t="s">
        <v>333</v>
      </c>
      <c r="E10" s="47" t="s">
        <v>334</v>
      </c>
      <c r="F10" s="45" t="s">
        <v>306</v>
      </c>
      <c r="G10" s="9" t="n">
        <v>6</v>
      </c>
      <c r="H10" s="12" t="n">
        <f aca="false">'Engineering Assumptions'!$C$18*'Engineering Assumptions'!$B$5*U10</f>
        <v>2101</v>
      </c>
      <c r="I10" s="12" t="n">
        <f aca="false">'Engineering Assumptions'!$B$8</f>
        <v>650</v>
      </c>
      <c r="J10" s="12" t="n">
        <f aca="false">'Engineering Assumptions'!$D$18*S10*U10</f>
        <v>225</v>
      </c>
      <c r="K10" s="12" t="n">
        <f aca="false">'Engineering Assumptions'!$E$18*T10*U10</f>
        <v>165</v>
      </c>
      <c r="L10" s="13" t="n">
        <f aca="false">H10+I10+J10+K10</f>
        <v>3141</v>
      </c>
      <c r="M10" s="12" t="n">
        <f aca="false">L10*'Engineering Assumptions'!$B$10</f>
        <v>471.15</v>
      </c>
      <c r="N10" s="13" t="n">
        <f aca="false">L10+M10</f>
        <v>3612.15</v>
      </c>
      <c r="O10" s="12" t="n">
        <f aca="false">N10*'Engineering Assumptions'!$B$11</f>
        <v>722.43</v>
      </c>
      <c r="P10" s="183" t="n">
        <f aca="false">MROUND(N10+O10,10)</f>
        <v>4330</v>
      </c>
      <c r="Q10" s="12" t="n">
        <f aca="false">'Fleet Pricing'!H10</f>
        <v>4150</v>
      </c>
      <c r="R10" s="41" t="n">
        <v>6</v>
      </c>
      <c r="S10" s="46" t="n">
        <v>1.25</v>
      </c>
      <c r="T10" s="46" t="n">
        <v>0.75</v>
      </c>
      <c r="U10" s="46" t="n">
        <v>1</v>
      </c>
    </row>
    <row r="11" customFormat="false" ht="15" hidden="false" customHeight="true" outlineLevel="0" collapsed="false">
      <c r="A11" s="9" t="n">
        <v>6</v>
      </c>
      <c r="B11" s="47" t="s">
        <v>92</v>
      </c>
      <c r="C11" s="47" t="s">
        <v>2279</v>
      </c>
      <c r="D11" s="47" t="s">
        <v>335</v>
      </c>
      <c r="E11" s="47" t="s">
        <v>336</v>
      </c>
      <c r="F11" s="45" t="s">
        <v>306</v>
      </c>
      <c r="G11" s="9" t="n">
        <v>6</v>
      </c>
      <c r="H11" s="12" t="n">
        <f aca="false">'Engineering Assumptions'!$C$18*'Engineering Assumptions'!$B$5*U11</f>
        <v>2101</v>
      </c>
      <c r="I11" s="12" t="n">
        <f aca="false">'Engineering Assumptions'!$B$8</f>
        <v>650</v>
      </c>
      <c r="J11" s="12" t="n">
        <f aca="false">'Engineering Assumptions'!$D$18*S11*U11</f>
        <v>225</v>
      </c>
      <c r="K11" s="12" t="n">
        <f aca="false">'Engineering Assumptions'!$E$18*T11*U11</f>
        <v>165</v>
      </c>
      <c r="L11" s="13" t="n">
        <f aca="false">H11+I11+J11+K11</f>
        <v>3141</v>
      </c>
      <c r="M11" s="12" t="n">
        <f aca="false">L11*'Engineering Assumptions'!$B$10</f>
        <v>471.15</v>
      </c>
      <c r="N11" s="13" t="n">
        <f aca="false">L11+M11</f>
        <v>3612.15</v>
      </c>
      <c r="O11" s="12" t="n">
        <f aca="false">N11*'Engineering Assumptions'!$B$11</f>
        <v>722.43</v>
      </c>
      <c r="P11" s="183" t="n">
        <f aca="false">MROUND(N11+O11,10)</f>
        <v>4330</v>
      </c>
      <c r="Q11" s="12" t="n">
        <f aca="false">'Fleet Pricing'!H11</f>
        <v>4150</v>
      </c>
      <c r="R11" s="41" t="n">
        <v>6</v>
      </c>
      <c r="S11" s="46" t="n">
        <v>1.25</v>
      </c>
      <c r="T11" s="46" t="n">
        <v>0.75</v>
      </c>
      <c r="U11" s="46" t="n">
        <v>1</v>
      </c>
    </row>
    <row r="12" customFormat="false" ht="15" hidden="false" customHeight="true" outlineLevel="0" collapsed="false">
      <c r="A12" s="9" t="n">
        <v>7</v>
      </c>
      <c r="B12" s="47" t="s">
        <v>92</v>
      </c>
      <c r="C12" s="47" t="s">
        <v>2279</v>
      </c>
      <c r="D12" s="47" t="s">
        <v>339</v>
      </c>
      <c r="E12" s="47" t="s">
        <v>340</v>
      </c>
      <c r="F12" s="45" t="s">
        <v>306</v>
      </c>
      <c r="G12" s="9" t="n">
        <v>6</v>
      </c>
      <c r="H12" s="12" t="n">
        <f aca="false">'Engineering Assumptions'!$C$18*'Engineering Assumptions'!$B$5*U12</f>
        <v>2101</v>
      </c>
      <c r="I12" s="12" t="n">
        <f aca="false">'Engineering Assumptions'!$B$8</f>
        <v>650</v>
      </c>
      <c r="J12" s="12" t="n">
        <f aca="false">'Engineering Assumptions'!$D$18*S12*U12</f>
        <v>225</v>
      </c>
      <c r="K12" s="12" t="n">
        <f aca="false">'Engineering Assumptions'!$E$18*T12*U12</f>
        <v>165</v>
      </c>
      <c r="L12" s="13" t="n">
        <f aca="false">H12+I12+J12+K12</f>
        <v>3141</v>
      </c>
      <c r="M12" s="12" t="n">
        <f aca="false">L12*'Engineering Assumptions'!$B$10</f>
        <v>471.15</v>
      </c>
      <c r="N12" s="13" t="n">
        <f aca="false">L12+M12</f>
        <v>3612.15</v>
      </c>
      <c r="O12" s="12" t="n">
        <f aca="false">N12*'Engineering Assumptions'!$B$11</f>
        <v>722.43</v>
      </c>
      <c r="P12" s="183" t="n">
        <f aca="false">MROUND(N12+O12,10)</f>
        <v>4330</v>
      </c>
      <c r="Q12" s="12" t="n">
        <f aca="false">'Fleet Pricing'!H12</f>
        <v>4150</v>
      </c>
      <c r="R12" s="41" t="n">
        <v>6</v>
      </c>
      <c r="S12" s="46" t="n">
        <v>1.25</v>
      </c>
      <c r="T12" s="46" t="n">
        <v>0.75</v>
      </c>
      <c r="U12" s="46" t="n">
        <v>1</v>
      </c>
    </row>
    <row r="13" customFormat="false" ht="15" hidden="false" customHeight="true" outlineLevel="0" collapsed="false">
      <c r="A13" s="9" t="n">
        <v>8</v>
      </c>
      <c r="B13" s="47" t="s">
        <v>92</v>
      </c>
      <c r="C13" s="47" t="s">
        <v>2279</v>
      </c>
      <c r="D13" s="47" t="s">
        <v>343</v>
      </c>
      <c r="E13" s="47" t="s">
        <v>344</v>
      </c>
      <c r="F13" s="45" t="s">
        <v>306</v>
      </c>
      <c r="G13" s="9" t="n">
        <v>6</v>
      </c>
      <c r="H13" s="12" t="n">
        <f aca="false">'Engineering Assumptions'!$C$18*'Engineering Assumptions'!$B$5*U13</f>
        <v>2101</v>
      </c>
      <c r="I13" s="12" t="n">
        <f aca="false">'Engineering Assumptions'!$B$8</f>
        <v>650</v>
      </c>
      <c r="J13" s="12" t="n">
        <f aca="false">'Engineering Assumptions'!$D$18*S13*U13</f>
        <v>225</v>
      </c>
      <c r="K13" s="12" t="n">
        <f aca="false">'Engineering Assumptions'!$E$18*T13*U13</f>
        <v>165</v>
      </c>
      <c r="L13" s="13" t="n">
        <f aca="false">H13+I13+J13+K13</f>
        <v>3141</v>
      </c>
      <c r="M13" s="12" t="n">
        <f aca="false">L13*'Engineering Assumptions'!$B$10</f>
        <v>471.15</v>
      </c>
      <c r="N13" s="13" t="n">
        <f aca="false">L13+M13</f>
        <v>3612.15</v>
      </c>
      <c r="O13" s="12" t="n">
        <f aca="false">N13*'Engineering Assumptions'!$B$11</f>
        <v>722.43</v>
      </c>
      <c r="P13" s="183" t="n">
        <f aca="false">MROUND(N13+O13,10)</f>
        <v>4330</v>
      </c>
      <c r="Q13" s="12" t="n">
        <f aca="false">'Fleet Pricing'!H13</f>
        <v>4150</v>
      </c>
      <c r="R13" s="41" t="n">
        <v>6</v>
      </c>
      <c r="S13" s="46" t="n">
        <v>1.25</v>
      </c>
      <c r="T13" s="46" t="n">
        <v>0.75</v>
      </c>
      <c r="U13" s="46" t="n">
        <v>1</v>
      </c>
    </row>
    <row r="14" customFormat="false" ht="15" hidden="false" customHeight="true" outlineLevel="0" collapsed="false">
      <c r="A14" s="9" t="n">
        <v>9</v>
      </c>
      <c r="B14" s="47" t="s">
        <v>92</v>
      </c>
      <c r="C14" s="47" t="s">
        <v>2279</v>
      </c>
      <c r="D14" s="47" t="s">
        <v>345</v>
      </c>
      <c r="E14" s="47" t="s">
        <v>346</v>
      </c>
      <c r="F14" s="45" t="s">
        <v>306</v>
      </c>
      <c r="G14" s="9" t="n">
        <v>6</v>
      </c>
      <c r="H14" s="12" t="n">
        <f aca="false">'Engineering Assumptions'!$C$18*'Engineering Assumptions'!$B$5*U14</f>
        <v>2101</v>
      </c>
      <c r="I14" s="12" t="n">
        <f aca="false">'Engineering Assumptions'!$B$8</f>
        <v>650</v>
      </c>
      <c r="J14" s="12" t="n">
        <f aca="false">'Engineering Assumptions'!$D$18*S14*U14</f>
        <v>225</v>
      </c>
      <c r="K14" s="12" t="n">
        <f aca="false">'Engineering Assumptions'!$E$18*T14*U14</f>
        <v>165</v>
      </c>
      <c r="L14" s="13" t="n">
        <f aca="false">H14+I14+J14+K14</f>
        <v>3141</v>
      </c>
      <c r="M14" s="12" t="n">
        <f aca="false">L14*'Engineering Assumptions'!$B$10</f>
        <v>471.15</v>
      </c>
      <c r="N14" s="13" t="n">
        <f aca="false">L14+M14</f>
        <v>3612.15</v>
      </c>
      <c r="O14" s="12" t="n">
        <f aca="false">N14*'Engineering Assumptions'!$B$11</f>
        <v>722.43</v>
      </c>
      <c r="P14" s="183" t="n">
        <f aca="false">MROUND(N14+O14,10)</f>
        <v>4330</v>
      </c>
      <c r="Q14" s="12" t="n">
        <f aca="false">'Fleet Pricing'!H14</f>
        <v>4150</v>
      </c>
      <c r="R14" s="41" t="n">
        <v>6</v>
      </c>
      <c r="S14" s="46" t="n">
        <v>1.25</v>
      </c>
      <c r="T14" s="46" t="n">
        <v>0.75</v>
      </c>
      <c r="U14" s="46" t="n">
        <v>1</v>
      </c>
    </row>
    <row r="15" customFormat="false" ht="15" hidden="false" customHeight="true" outlineLevel="0" collapsed="false">
      <c r="A15" s="9" t="n">
        <v>10</v>
      </c>
      <c r="B15" s="47" t="s">
        <v>92</v>
      </c>
      <c r="C15" s="47" t="s">
        <v>2280</v>
      </c>
      <c r="D15" s="47" t="s">
        <v>322</v>
      </c>
      <c r="E15" s="47" t="s">
        <v>325</v>
      </c>
      <c r="F15" s="45" t="s">
        <v>324</v>
      </c>
      <c r="G15" s="9" t="n">
        <v>7</v>
      </c>
      <c r="H15" s="12" t="n">
        <f aca="false">'Engineering Assumptions'!$C$18*'Engineering Assumptions'!$B$5*U15</f>
        <v>2101</v>
      </c>
      <c r="I15" s="12" t="n">
        <f aca="false">'Engineering Assumptions'!$B$8</f>
        <v>650</v>
      </c>
      <c r="J15" s="12" t="n">
        <f aca="false">'Engineering Assumptions'!$D$18*S15*U15</f>
        <v>225</v>
      </c>
      <c r="K15" s="12" t="n">
        <f aca="false">'Engineering Assumptions'!$E$18*T15*U15</f>
        <v>165</v>
      </c>
      <c r="L15" s="13" t="n">
        <f aca="false">H15+I15+J15+K15</f>
        <v>3141</v>
      </c>
      <c r="M15" s="12" t="n">
        <f aca="false">L15*'Engineering Assumptions'!$B$10</f>
        <v>471.15</v>
      </c>
      <c r="N15" s="13" t="n">
        <f aca="false">L15+M15</f>
        <v>3612.15</v>
      </c>
      <c r="O15" s="12" t="n">
        <f aca="false">N15*'Engineering Assumptions'!$B$11</f>
        <v>722.43</v>
      </c>
      <c r="P15" s="183" t="n">
        <f aca="false">MROUND(N15+O15,10)</f>
        <v>4330</v>
      </c>
      <c r="Q15" s="12" t="n">
        <f aca="false">'Fleet Pricing'!H15</f>
        <v>3820</v>
      </c>
      <c r="R15" s="41" t="n">
        <v>7</v>
      </c>
      <c r="S15" s="46" t="n">
        <v>1.25</v>
      </c>
      <c r="T15" s="46" t="n">
        <v>0.75</v>
      </c>
      <c r="U15" s="46" t="n">
        <v>1</v>
      </c>
    </row>
    <row r="16" customFormat="false" ht="15" hidden="false" customHeight="true" outlineLevel="0" collapsed="false">
      <c r="A16" s="9" t="n">
        <v>11</v>
      </c>
      <c r="B16" s="47" t="s">
        <v>92</v>
      </c>
      <c r="C16" s="47" t="s">
        <v>2281</v>
      </c>
      <c r="D16" s="47" t="s">
        <v>326</v>
      </c>
      <c r="E16" s="47" t="s">
        <v>328</v>
      </c>
      <c r="F16" s="45" t="s">
        <v>318</v>
      </c>
      <c r="G16" s="9" t="n">
        <v>10</v>
      </c>
      <c r="H16" s="12" t="n">
        <f aca="false">'Engineering Assumptions'!$C$18*'Engineering Assumptions'!$B$5*U16</f>
        <v>2101</v>
      </c>
      <c r="I16" s="12" t="n">
        <f aca="false">'Engineering Assumptions'!$B$8</f>
        <v>650</v>
      </c>
      <c r="J16" s="12" t="n">
        <f aca="false">'Engineering Assumptions'!$D$18*S16*U16</f>
        <v>225</v>
      </c>
      <c r="K16" s="12" t="n">
        <f aca="false">'Engineering Assumptions'!$E$18*T16*U16</f>
        <v>165</v>
      </c>
      <c r="L16" s="13" t="n">
        <f aca="false">H16+I16+J16+K16</f>
        <v>3141</v>
      </c>
      <c r="M16" s="12" t="n">
        <f aca="false">L16*'Engineering Assumptions'!$B$10</f>
        <v>471.15</v>
      </c>
      <c r="N16" s="13" t="n">
        <f aca="false">L16+M16</f>
        <v>3612.15</v>
      </c>
      <c r="O16" s="12" t="n">
        <f aca="false">N16*'Engineering Assumptions'!$B$11</f>
        <v>722.43</v>
      </c>
      <c r="P16" s="183" t="n">
        <f aca="false">MROUND(N16+O16,10)</f>
        <v>4330</v>
      </c>
      <c r="Q16" s="12" t="n">
        <f aca="false">'Fleet Pricing'!H16</f>
        <v>3820</v>
      </c>
      <c r="R16" s="41" t="n">
        <v>10</v>
      </c>
      <c r="S16" s="46" t="n">
        <v>1.25</v>
      </c>
      <c r="T16" s="46" t="n">
        <v>0.75</v>
      </c>
      <c r="U16" s="46" t="n">
        <v>1</v>
      </c>
    </row>
    <row r="17" customFormat="false" ht="15" hidden="false" customHeight="true" outlineLevel="0" collapsed="false">
      <c r="A17" s="9" t="n">
        <v>12</v>
      </c>
      <c r="B17" s="47" t="s">
        <v>92</v>
      </c>
      <c r="C17" s="47" t="s">
        <v>2281</v>
      </c>
      <c r="D17" s="47" t="s">
        <v>317</v>
      </c>
      <c r="E17" s="47" t="s">
        <v>319</v>
      </c>
      <c r="F17" s="45" t="s">
        <v>318</v>
      </c>
      <c r="G17" s="9" t="n">
        <v>10</v>
      </c>
      <c r="H17" s="12" t="n">
        <f aca="false">'Engineering Assumptions'!$C$18*'Engineering Assumptions'!$B$5*U17</f>
        <v>2101</v>
      </c>
      <c r="I17" s="12" t="n">
        <f aca="false">'Engineering Assumptions'!$B$8</f>
        <v>650</v>
      </c>
      <c r="J17" s="12" t="n">
        <f aca="false">'Engineering Assumptions'!$D$18*S17*U17</f>
        <v>225</v>
      </c>
      <c r="K17" s="12" t="n">
        <f aca="false">'Engineering Assumptions'!$E$18*T17*U17</f>
        <v>165</v>
      </c>
      <c r="L17" s="13" t="n">
        <f aca="false">H17+I17+J17+K17</f>
        <v>3141</v>
      </c>
      <c r="M17" s="12" t="n">
        <f aca="false">L17*'Engineering Assumptions'!$B$10</f>
        <v>471.15</v>
      </c>
      <c r="N17" s="13" t="n">
        <f aca="false">L17+M17</f>
        <v>3612.15</v>
      </c>
      <c r="O17" s="12" t="n">
        <f aca="false">N17*'Engineering Assumptions'!$B$11</f>
        <v>722.43</v>
      </c>
      <c r="P17" s="183" t="n">
        <f aca="false">MROUND(N17+O17,10)</f>
        <v>4330</v>
      </c>
      <c r="Q17" s="12" t="n">
        <f aca="false">'Fleet Pricing'!H17</f>
        <v>3820</v>
      </c>
      <c r="R17" s="41" t="n">
        <v>10</v>
      </c>
      <c r="S17" s="46" t="n">
        <v>1.25</v>
      </c>
      <c r="T17" s="46" t="n">
        <v>0.75</v>
      </c>
      <c r="U17" s="46" t="n">
        <v>1</v>
      </c>
    </row>
    <row r="18" customFormat="false" ht="15" hidden="false" customHeight="true" outlineLevel="0" collapsed="false">
      <c r="A18" s="9" t="n">
        <v>13</v>
      </c>
      <c r="B18" s="47" t="s">
        <v>92</v>
      </c>
      <c r="C18" s="47" t="s">
        <v>327</v>
      </c>
      <c r="D18" s="47" t="s">
        <v>331</v>
      </c>
      <c r="E18" s="47" t="s">
        <v>332</v>
      </c>
      <c r="F18" s="45" t="s">
        <v>318</v>
      </c>
      <c r="G18" s="9" t="n">
        <v>10</v>
      </c>
      <c r="H18" s="12" t="n">
        <f aca="false">'Engineering Assumptions'!$C$18*'Engineering Assumptions'!$B$5*U18</f>
        <v>2101</v>
      </c>
      <c r="I18" s="12" t="n">
        <f aca="false">'Engineering Assumptions'!$B$8</f>
        <v>650</v>
      </c>
      <c r="J18" s="12" t="n">
        <f aca="false">'Engineering Assumptions'!$D$18*S18*U18</f>
        <v>225</v>
      </c>
      <c r="K18" s="12" t="n">
        <f aca="false">'Engineering Assumptions'!$E$18*T18*U18</f>
        <v>165</v>
      </c>
      <c r="L18" s="13" t="n">
        <f aca="false">H18+I18+J18+K18</f>
        <v>3141</v>
      </c>
      <c r="M18" s="12" t="n">
        <f aca="false">L18*'Engineering Assumptions'!$B$10</f>
        <v>471.15</v>
      </c>
      <c r="N18" s="13" t="n">
        <f aca="false">L18+M18</f>
        <v>3612.15</v>
      </c>
      <c r="O18" s="12" t="n">
        <f aca="false">N18*'Engineering Assumptions'!$B$11</f>
        <v>722.43</v>
      </c>
      <c r="P18" s="183" t="n">
        <f aca="false">MROUND(N18+O18,10)</f>
        <v>4330</v>
      </c>
      <c r="Q18" s="12" t="n">
        <f aca="false">'Fleet Pricing'!H18</f>
        <v>3820</v>
      </c>
      <c r="R18" s="41" t="n">
        <v>10</v>
      </c>
      <c r="S18" s="46" t="n">
        <v>1.25</v>
      </c>
      <c r="T18" s="46" t="n">
        <v>0.75</v>
      </c>
      <c r="U18" s="46" t="n">
        <v>1</v>
      </c>
    </row>
    <row r="19" customFormat="false" ht="15" hidden="false" customHeight="true" outlineLevel="0" collapsed="false">
      <c r="A19" s="9" t="n">
        <v>14</v>
      </c>
      <c r="B19" s="47" t="s">
        <v>92</v>
      </c>
      <c r="C19" s="47" t="s">
        <v>327</v>
      </c>
      <c r="D19" s="47" t="s">
        <v>320</v>
      </c>
      <c r="E19" s="47" t="s">
        <v>321</v>
      </c>
      <c r="F19" s="45" t="s">
        <v>318</v>
      </c>
      <c r="G19" s="9" t="n">
        <v>10</v>
      </c>
      <c r="H19" s="12" t="n">
        <f aca="false">'Engineering Assumptions'!$C$18*'Engineering Assumptions'!$B$5*U19</f>
        <v>2101</v>
      </c>
      <c r="I19" s="12" t="n">
        <f aca="false">'Engineering Assumptions'!$B$8</f>
        <v>650</v>
      </c>
      <c r="J19" s="12" t="n">
        <f aca="false">'Engineering Assumptions'!$D$18*S19*U19</f>
        <v>225</v>
      </c>
      <c r="K19" s="12" t="n">
        <f aca="false">'Engineering Assumptions'!$E$18*T19*U19</f>
        <v>165</v>
      </c>
      <c r="L19" s="13" t="n">
        <f aca="false">H19+I19+J19+K19</f>
        <v>3141</v>
      </c>
      <c r="M19" s="12" t="n">
        <f aca="false">L19*'Engineering Assumptions'!$B$10</f>
        <v>471.15</v>
      </c>
      <c r="N19" s="13" t="n">
        <f aca="false">L19+M19</f>
        <v>3612.15</v>
      </c>
      <c r="O19" s="12" t="n">
        <f aca="false">N19*'Engineering Assumptions'!$B$11</f>
        <v>722.43</v>
      </c>
      <c r="P19" s="183" t="n">
        <f aca="false">MROUND(N19+O19,10)</f>
        <v>4330</v>
      </c>
      <c r="Q19" s="12" t="n">
        <f aca="false">'Fleet Pricing'!H19</f>
        <v>3820</v>
      </c>
      <c r="R19" s="41" t="n">
        <v>10</v>
      </c>
      <c r="S19" s="46" t="n">
        <v>1.25</v>
      </c>
      <c r="T19" s="46" t="n">
        <v>0.75</v>
      </c>
      <c r="U19" s="46" t="n">
        <v>1</v>
      </c>
    </row>
    <row r="20" customFormat="false" ht="15" hidden="false" customHeight="true" outlineLevel="0" collapsed="false">
      <c r="A20" s="9" t="n">
        <v>15</v>
      </c>
      <c r="B20" s="47" t="s">
        <v>92</v>
      </c>
      <c r="C20" s="47" t="s">
        <v>327</v>
      </c>
      <c r="D20" s="47" t="s">
        <v>329</v>
      </c>
      <c r="E20" s="47" t="s">
        <v>330</v>
      </c>
      <c r="F20" s="45" t="s">
        <v>318</v>
      </c>
      <c r="G20" s="9" t="n">
        <v>10</v>
      </c>
      <c r="H20" s="12" t="n">
        <f aca="false">'Engineering Assumptions'!$C$18*'Engineering Assumptions'!$B$5*U20</f>
        <v>2101</v>
      </c>
      <c r="I20" s="12" t="n">
        <f aca="false">'Engineering Assumptions'!$B$8</f>
        <v>650</v>
      </c>
      <c r="J20" s="12" t="n">
        <f aca="false">'Engineering Assumptions'!$D$18*S20*U20</f>
        <v>225</v>
      </c>
      <c r="K20" s="12" t="n">
        <f aca="false">'Engineering Assumptions'!$E$18*T20*U20</f>
        <v>165</v>
      </c>
      <c r="L20" s="13" t="n">
        <f aca="false">H20+I20+J20+K20</f>
        <v>3141</v>
      </c>
      <c r="M20" s="12" t="n">
        <f aca="false">L20*'Engineering Assumptions'!$B$10</f>
        <v>471.15</v>
      </c>
      <c r="N20" s="13" t="n">
        <f aca="false">L20+M20</f>
        <v>3612.15</v>
      </c>
      <c r="O20" s="12" t="n">
        <f aca="false">N20*'Engineering Assumptions'!$B$11</f>
        <v>722.43</v>
      </c>
      <c r="P20" s="183" t="n">
        <f aca="false">MROUND(N20+O20,10)</f>
        <v>4330</v>
      </c>
      <c r="Q20" s="12" t="n">
        <f aca="false">'Fleet Pricing'!H20</f>
        <v>3820</v>
      </c>
      <c r="R20" s="41" t="n">
        <v>10</v>
      </c>
      <c r="S20" s="46" t="n">
        <v>1.25</v>
      </c>
      <c r="T20" s="46" t="n">
        <v>0.75</v>
      </c>
      <c r="U20" s="46" t="n">
        <v>1</v>
      </c>
    </row>
    <row r="21" customFormat="false" ht="15" hidden="false" customHeight="true" outlineLevel="0" collapsed="false">
      <c r="A21" s="9" t="n">
        <v>16</v>
      </c>
      <c r="B21" s="47" t="s">
        <v>92</v>
      </c>
      <c r="C21" s="47" t="s">
        <v>2281</v>
      </c>
      <c r="D21" s="47" t="s">
        <v>337</v>
      </c>
      <c r="E21" s="47" t="s">
        <v>338</v>
      </c>
      <c r="F21" s="45" t="s">
        <v>315</v>
      </c>
      <c r="G21" s="9" t="n">
        <v>11</v>
      </c>
      <c r="H21" s="12" t="n">
        <f aca="false">'Engineering Assumptions'!$C$18*'Engineering Assumptions'!$B$5*U21</f>
        <v>2101</v>
      </c>
      <c r="I21" s="12" t="n">
        <f aca="false">'Engineering Assumptions'!$B$8</f>
        <v>650</v>
      </c>
      <c r="J21" s="12" t="n">
        <f aca="false">'Engineering Assumptions'!$D$18*S21*U21</f>
        <v>279</v>
      </c>
      <c r="K21" s="12" t="n">
        <f aca="false">'Engineering Assumptions'!$E$18*T21*U21</f>
        <v>297</v>
      </c>
      <c r="L21" s="13" t="n">
        <f aca="false">H21+I21+J21+K21</f>
        <v>3327</v>
      </c>
      <c r="M21" s="12" t="n">
        <f aca="false">L21*'Engineering Assumptions'!$B$10</f>
        <v>499.05</v>
      </c>
      <c r="N21" s="13" t="n">
        <f aca="false">L21+M21</f>
        <v>3826.05</v>
      </c>
      <c r="O21" s="12" t="n">
        <f aca="false">N21*'Engineering Assumptions'!$B$11</f>
        <v>765.21</v>
      </c>
      <c r="P21" s="183" t="n">
        <f aca="false">MROUND(N21+O21,10)</f>
        <v>4590</v>
      </c>
      <c r="Q21" s="12" t="n">
        <f aca="false">'Fleet Pricing'!H21</f>
        <v>3820</v>
      </c>
      <c r="R21" s="41" t="n">
        <v>11</v>
      </c>
      <c r="S21" s="46" t="n">
        <v>1.55</v>
      </c>
      <c r="T21" s="46" t="n">
        <v>1.35</v>
      </c>
      <c r="U21" s="46" t="n">
        <v>1</v>
      </c>
    </row>
    <row r="22" customFormat="false" ht="15" hidden="false" customHeight="true" outlineLevel="0" collapsed="false">
      <c r="A22" s="9" t="n">
        <v>17</v>
      </c>
      <c r="B22" s="47" t="s">
        <v>92</v>
      </c>
      <c r="C22" s="47" t="s">
        <v>2281</v>
      </c>
      <c r="D22" s="47" t="s">
        <v>314</v>
      </c>
      <c r="E22" s="47" t="s">
        <v>316</v>
      </c>
      <c r="F22" s="45" t="s">
        <v>315</v>
      </c>
      <c r="G22" s="9" t="n">
        <v>11</v>
      </c>
      <c r="H22" s="12" t="n">
        <f aca="false">'Engineering Assumptions'!$C$18*'Engineering Assumptions'!$B$5*U22</f>
        <v>2101</v>
      </c>
      <c r="I22" s="12" t="n">
        <f aca="false">'Engineering Assumptions'!$B$8</f>
        <v>650</v>
      </c>
      <c r="J22" s="12" t="n">
        <f aca="false">'Engineering Assumptions'!$D$18*S22*U22</f>
        <v>279</v>
      </c>
      <c r="K22" s="12" t="n">
        <f aca="false">'Engineering Assumptions'!$E$18*T22*U22</f>
        <v>297</v>
      </c>
      <c r="L22" s="13" t="n">
        <f aca="false">H22+I22+J22+K22</f>
        <v>3327</v>
      </c>
      <c r="M22" s="12" t="n">
        <f aca="false">L22*'Engineering Assumptions'!$B$10</f>
        <v>499.05</v>
      </c>
      <c r="N22" s="13" t="n">
        <f aca="false">L22+M22</f>
        <v>3826.05</v>
      </c>
      <c r="O22" s="12" t="n">
        <f aca="false">N22*'Engineering Assumptions'!$B$11</f>
        <v>765.21</v>
      </c>
      <c r="P22" s="183" t="n">
        <f aca="false">MROUND(N22+O22,10)</f>
        <v>4590</v>
      </c>
      <c r="Q22" s="12" t="n">
        <f aca="false">'Fleet Pricing'!H22</f>
        <v>3820</v>
      </c>
      <c r="R22" s="41" t="n">
        <v>11</v>
      </c>
      <c r="S22" s="46" t="n">
        <v>1.55</v>
      </c>
      <c r="T22" s="46" t="n">
        <v>1.35</v>
      </c>
      <c r="U22" s="46" t="n">
        <v>1</v>
      </c>
    </row>
    <row r="23" customFormat="false" ht="15" hidden="false" customHeight="true" outlineLevel="0" collapsed="false">
      <c r="A23" s="9" t="n">
        <v>18</v>
      </c>
      <c r="B23" s="47" t="s">
        <v>92</v>
      </c>
      <c r="C23" s="47" t="s">
        <v>327</v>
      </c>
      <c r="D23" s="47" t="s">
        <v>341</v>
      </c>
      <c r="E23" s="47" t="s">
        <v>342</v>
      </c>
      <c r="F23" s="45" t="s">
        <v>310</v>
      </c>
      <c r="G23" s="9" t="n">
        <v>14</v>
      </c>
      <c r="H23" s="12" t="n">
        <f aca="false">'Engineering Assumptions'!$C$18*'Engineering Assumptions'!$B$5*U23</f>
        <v>2101</v>
      </c>
      <c r="I23" s="12" t="n">
        <f aca="false">'Engineering Assumptions'!$B$8</f>
        <v>650</v>
      </c>
      <c r="J23" s="12" t="n">
        <f aca="false">'Engineering Assumptions'!$D$18*S23*U23</f>
        <v>279</v>
      </c>
      <c r="K23" s="12" t="n">
        <f aca="false">'Engineering Assumptions'!$E$18*T23*U23</f>
        <v>297</v>
      </c>
      <c r="L23" s="13" t="n">
        <f aca="false">H23+I23+J23+K23</f>
        <v>3327</v>
      </c>
      <c r="M23" s="12" t="n">
        <f aca="false">L23*'Engineering Assumptions'!$B$10</f>
        <v>499.05</v>
      </c>
      <c r="N23" s="13" t="n">
        <f aca="false">L23+M23</f>
        <v>3826.05</v>
      </c>
      <c r="O23" s="12" t="n">
        <f aca="false">N23*'Engineering Assumptions'!$B$11</f>
        <v>765.21</v>
      </c>
      <c r="P23" s="183" t="n">
        <f aca="false">MROUND(N23+O23,10)</f>
        <v>4590</v>
      </c>
      <c r="Q23" s="12" t="n">
        <f aca="false">'Fleet Pricing'!H23</f>
        <v>3400</v>
      </c>
      <c r="R23" s="41" t="n">
        <v>14</v>
      </c>
      <c r="S23" s="46" t="n">
        <v>1.55</v>
      </c>
      <c r="T23" s="46" t="n">
        <v>1.35</v>
      </c>
      <c r="U23" s="46" t="n">
        <v>1</v>
      </c>
    </row>
    <row r="24" customFormat="false" ht="15" hidden="false" customHeight="true" outlineLevel="0" collapsed="false">
      <c r="A24" s="9" t="n">
        <v>19</v>
      </c>
      <c r="B24" s="47" t="s">
        <v>92</v>
      </c>
      <c r="C24" s="47" t="s">
        <v>327</v>
      </c>
      <c r="D24" s="47" t="s">
        <v>309</v>
      </c>
      <c r="E24" s="47" t="s">
        <v>311</v>
      </c>
      <c r="F24" s="45" t="s">
        <v>310</v>
      </c>
      <c r="G24" s="9" t="n">
        <v>14</v>
      </c>
      <c r="H24" s="12" t="n">
        <f aca="false">'Engineering Assumptions'!$C$18*'Engineering Assumptions'!$B$5*U24</f>
        <v>2101</v>
      </c>
      <c r="I24" s="12" t="n">
        <f aca="false">'Engineering Assumptions'!$B$8</f>
        <v>650</v>
      </c>
      <c r="J24" s="12" t="n">
        <f aca="false">'Engineering Assumptions'!$D$18*S24*U24</f>
        <v>279</v>
      </c>
      <c r="K24" s="12" t="n">
        <f aca="false">'Engineering Assumptions'!$E$18*T24*U24</f>
        <v>297</v>
      </c>
      <c r="L24" s="13" t="n">
        <f aca="false">H24+I24+J24+K24</f>
        <v>3327</v>
      </c>
      <c r="M24" s="12" t="n">
        <f aca="false">L24*'Engineering Assumptions'!$B$10</f>
        <v>499.05</v>
      </c>
      <c r="N24" s="13" t="n">
        <f aca="false">L24+M24</f>
        <v>3826.05</v>
      </c>
      <c r="O24" s="12" t="n">
        <f aca="false">N24*'Engineering Assumptions'!$B$11</f>
        <v>765.21</v>
      </c>
      <c r="P24" s="183" t="n">
        <f aca="false">MROUND(N24+O24,10)</f>
        <v>4590</v>
      </c>
      <c r="Q24" s="12" t="n">
        <f aca="false">'Fleet Pricing'!H24</f>
        <v>3400</v>
      </c>
      <c r="R24" s="41" t="n">
        <v>14</v>
      </c>
      <c r="S24" s="46" t="n">
        <v>1.55</v>
      </c>
      <c r="T24" s="46" t="n">
        <v>1.35</v>
      </c>
      <c r="U24" s="46" t="n">
        <v>1</v>
      </c>
    </row>
    <row r="25" customFormat="false" ht="15" hidden="false" customHeight="true" outlineLevel="0" collapsed="false">
      <c r="A25" s="9" t="n">
        <v>20</v>
      </c>
      <c r="B25" s="47" t="s">
        <v>92</v>
      </c>
      <c r="C25" s="47" t="s">
        <v>327</v>
      </c>
      <c r="D25" s="47" t="s">
        <v>312</v>
      </c>
      <c r="E25" s="47" t="s">
        <v>313</v>
      </c>
      <c r="F25" s="45" t="s">
        <v>310</v>
      </c>
      <c r="G25" s="9" t="n">
        <v>14</v>
      </c>
      <c r="H25" s="12" t="n">
        <f aca="false">'Engineering Assumptions'!$C$18*'Engineering Assumptions'!$B$5*U25</f>
        <v>2101</v>
      </c>
      <c r="I25" s="12" t="n">
        <f aca="false">'Engineering Assumptions'!$B$8</f>
        <v>650</v>
      </c>
      <c r="J25" s="12" t="n">
        <f aca="false">'Engineering Assumptions'!$D$18*S25*U25</f>
        <v>279</v>
      </c>
      <c r="K25" s="12" t="n">
        <f aca="false">'Engineering Assumptions'!$E$18*T25*U25</f>
        <v>297</v>
      </c>
      <c r="L25" s="13" t="n">
        <f aca="false">H25+I25+J25+K25</f>
        <v>3327</v>
      </c>
      <c r="M25" s="12" t="n">
        <f aca="false">L25*'Engineering Assumptions'!$B$10</f>
        <v>499.05</v>
      </c>
      <c r="N25" s="13" t="n">
        <f aca="false">L25+M25</f>
        <v>3826.05</v>
      </c>
      <c r="O25" s="12" t="n">
        <f aca="false">N25*'Engineering Assumptions'!$B$11</f>
        <v>765.21</v>
      </c>
      <c r="P25" s="183" t="n">
        <f aca="false">MROUND(N25+O25,10)</f>
        <v>4590</v>
      </c>
      <c r="Q25" s="12" t="n">
        <f aca="false">'Fleet Pricing'!H25</f>
        <v>3400</v>
      </c>
      <c r="R25" s="41" t="n">
        <v>14</v>
      </c>
      <c r="S25" s="46" t="n">
        <v>1.55</v>
      </c>
      <c r="T25" s="46" t="n">
        <v>1.35</v>
      </c>
      <c r="U25" s="46" t="n">
        <v>1</v>
      </c>
    </row>
    <row r="26" customFormat="false" ht="15" hidden="false" customHeight="true" outlineLevel="0" collapsed="false">
      <c r="A26" s="9" t="n">
        <v>21</v>
      </c>
      <c r="B26" s="47" t="s">
        <v>92</v>
      </c>
      <c r="C26" s="47" t="s">
        <v>327</v>
      </c>
      <c r="D26" s="47" t="s">
        <v>347</v>
      </c>
      <c r="E26" s="47" t="s">
        <v>349</v>
      </c>
      <c r="F26" s="45" t="s">
        <v>348</v>
      </c>
      <c r="G26" s="9" t="n">
        <v>20</v>
      </c>
      <c r="H26" s="12" t="n">
        <f aca="false">'Engineering Assumptions'!$C$18*'Engineering Assumptions'!$B$5*U26</f>
        <v>2101</v>
      </c>
      <c r="I26" s="12" t="n">
        <f aca="false">'Engineering Assumptions'!$B$8</f>
        <v>650</v>
      </c>
      <c r="J26" s="12" t="n">
        <f aca="false">'Engineering Assumptions'!$D$18*S26*U26</f>
        <v>351</v>
      </c>
      <c r="K26" s="12" t="n">
        <f aca="false">'Engineering Assumptions'!$E$18*T26*U26</f>
        <v>462</v>
      </c>
      <c r="L26" s="13" t="n">
        <f aca="false">H26+I26+J26+K26</f>
        <v>3564</v>
      </c>
      <c r="M26" s="12" t="n">
        <f aca="false">L26*'Engineering Assumptions'!$B$10</f>
        <v>534.6</v>
      </c>
      <c r="N26" s="13" t="n">
        <f aca="false">L26+M26</f>
        <v>4098.6</v>
      </c>
      <c r="O26" s="12" t="n">
        <f aca="false">N26*'Engineering Assumptions'!$B$11</f>
        <v>819.72</v>
      </c>
      <c r="P26" s="183" t="n">
        <f aca="false">MROUND(N26+O26,10)</f>
        <v>4920</v>
      </c>
      <c r="Q26" s="12" t="n">
        <f aca="false">'Fleet Pricing'!H26</f>
        <v>2990</v>
      </c>
      <c r="R26" s="41" t="n">
        <v>20</v>
      </c>
      <c r="S26" s="46" t="n">
        <v>1.95</v>
      </c>
      <c r="T26" s="46" t="n">
        <v>2.1</v>
      </c>
      <c r="U26" s="46" t="n">
        <v>1</v>
      </c>
    </row>
    <row r="27" customFormat="false" ht="15" hidden="false" customHeight="true" outlineLevel="0" collapsed="false">
      <c r="A27" s="9" t="n">
        <v>22</v>
      </c>
      <c r="B27" s="47" t="s">
        <v>92</v>
      </c>
      <c r="C27" s="47" t="s">
        <v>2282</v>
      </c>
      <c r="D27" s="47" t="s">
        <v>351</v>
      </c>
      <c r="E27" s="47" t="s">
        <v>354</v>
      </c>
      <c r="F27" s="45" t="s">
        <v>353</v>
      </c>
      <c r="G27" s="9" t="n">
        <v>22</v>
      </c>
      <c r="H27" s="12" t="n">
        <f aca="false">'Engineering Assumptions'!$C$18*'Engineering Assumptions'!$B$5*U27</f>
        <v>2101</v>
      </c>
      <c r="I27" s="12" t="n">
        <f aca="false">'Engineering Assumptions'!$B$8</f>
        <v>650</v>
      </c>
      <c r="J27" s="12" t="n">
        <f aca="false">'Engineering Assumptions'!$D$18*S27*U27</f>
        <v>432</v>
      </c>
      <c r="K27" s="12" t="n">
        <f aca="false">'Engineering Assumptions'!$E$18*T27*U27</f>
        <v>660</v>
      </c>
      <c r="L27" s="13" t="n">
        <f aca="false">H27+I27+J27+K27</f>
        <v>3843</v>
      </c>
      <c r="M27" s="12" t="n">
        <f aca="false">L27*'Engineering Assumptions'!$B$10</f>
        <v>576.45</v>
      </c>
      <c r="N27" s="13" t="n">
        <f aca="false">L27+M27</f>
        <v>4419.45</v>
      </c>
      <c r="O27" s="12" t="n">
        <f aca="false">N27*'Engineering Assumptions'!$B$11</f>
        <v>883.89</v>
      </c>
      <c r="P27" s="183" t="n">
        <f aca="false">MROUND(N27+O27,10)</f>
        <v>5300</v>
      </c>
      <c r="Q27" s="12" t="n">
        <f aca="false">'Fleet Pricing'!H27</f>
        <v>2700</v>
      </c>
      <c r="R27" s="41" t="n">
        <v>22</v>
      </c>
      <c r="S27" s="46" t="n">
        <v>2.4</v>
      </c>
      <c r="T27" s="46" t="n">
        <v>3</v>
      </c>
      <c r="U27" s="46" t="n">
        <v>1</v>
      </c>
    </row>
    <row r="28" customFormat="false" ht="15" hidden="false" customHeight="true" outlineLevel="0" collapsed="false">
      <c r="A28" s="9" t="n">
        <v>23</v>
      </c>
      <c r="B28" s="47" t="s">
        <v>92</v>
      </c>
      <c r="C28" s="47" t="s">
        <v>352</v>
      </c>
      <c r="D28" s="47" t="s">
        <v>356</v>
      </c>
      <c r="E28" s="47" t="s">
        <v>359</v>
      </c>
      <c r="F28" s="45" t="s">
        <v>358</v>
      </c>
      <c r="G28" s="9" t="n">
        <v>24</v>
      </c>
      <c r="H28" s="12" t="n">
        <f aca="false">'Engineering Assumptions'!$C$18*'Engineering Assumptions'!$B$5*U28</f>
        <v>2101</v>
      </c>
      <c r="I28" s="12" t="n">
        <f aca="false">'Engineering Assumptions'!$B$8</f>
        <v>650</v>
      </c>
      <c r="J28" s="12" t="n">
        <f aca="false">'Engineering Assumptions'!$D$18*S28*U28</f>
        <v>432</v>
      </c>
      <c r="K28" s="12" t="n">
        <f aca="false">'Engineering Assumptions'!$E$18*T28*U28</f>
        <v>660</v>
      </c>
      <c r="L28" s="13" t="n">
        <f aca="false">H28+I28+J28+K28</f>
        <v>3843</v>
      </c>
      <c r="M28" s="12" t="n">
        <f aca="false">L28*'Engineering Assumptions'!$B$10</f>
        <v>576.45</v>
      </c>
      <c r="N28" s="13" t="n">
        <f aca="false">L28+M28</f>
        <v>4419.45</v>
      </c>
      <c r="O28" s="12" t="n">
        <f aca="false">N28*'Engineering Assumptions'!$B$11</f>
        <v>883.89</v>
      </c>
      <c r="P28" s="183" t="n">
        <f aca="false">MROUND(N28+O28,10)</f>
        <v>5300</v>
      </c>
      <c r="Q28" s="12" t="n">
        <f aca="false">'Fleet Pricing'!H28</f>
        <v>2700</v>
      </c>
      <c r="R28" s="41" t="n">
        <v>24</v>
      </c>
      <c r="S28" s="46" t="n">
        <v>2.4</v>
      </c>
      <c r="T28" s="46" t="n">
        <v>3</v>
      </c>
      <c r="U28" s="46" t="n">
        <v>1</v>
      </c>
    </row>
    <row r="29" customFormat="false" ht="15" hidden="false" customHeight="true" outlineLevel="0" collapsed="false">
      <c r="A29" s="9" t="n">
        <v>24</v>
      </c>
      <c r="B29" s="47" t="s">
        <v>92</v>
      </c>
      <c r="C29" s="47" t="s">
        <v>2283</v>
      </c>
      <c r="D29" s="47" t="s">
        <v>360</v>
      </c>
      <c r="E29" s="47" t="s">
        <v>363</v>
      </c>
      <c r="F29" s="45" t="s">
        <v>362</v>
      </c>
      <c r="G29" s="9" t="n">
        <v>27</v>
      </c>
      <c r="H29" s="12" t="n">
        <f aca="false">'Engineering Assumptions'!$C$18*'Engineering Assumptions'!$B$5*U29</f>
        <v>2101</v>
      </c>
      <c r="I29" s="12" t="n">
        <f aca="false">'Engineering Assumptions'!$B$8</f>
        <v>650</v>
      </c>
      <c r="J29" s="12" t="n">
        <f aca="false">'Engineering Assumptions'!$D$18*S29*U29</f>
        <v>432</v>
      </c>
      <c r="K29" s="12" t="n">
        <f aca="false">'Engineering Assumptions'!$E$18*T29*U29</f>
        <v>660</v>
      </c>
      <c r="L29" s="13" t="n">
        <f aca="false">H29+I29+J29+K29</f>
        <v>3843</v>
      </c>
      <c r="M29" s="12" t="n">
        <f aca="false">L29*'Engineering Assumptions'!$B$10</f>
        <v>576.45</v>
      </c>
      <c r="N29" s="13" t="n">
        <f aca="false">L29+M29</f>
        <v>4419.45</v>
      </c>
      <c r="O29" s="12" t="n">
        <f aca="false">N29*'Engineering Assumptions'!$B$11</f>
        <v>883.89</v>
      </c>
      <c r="P29" s="183" t="n">
        <f aca="false">MROUND(N29+O29,10)</f>
        <v>5300</v>
      </c>
      <c r="Q29" s="12" t="n">
        <f aca="false">'Fleet Pricing'!H29</f>
        <v>2410</v>
      </c>
      <c r="R29" s="41" t="n">
        <v>27</v>
      </c>
      <c r="S29" s="46" t="n">
        <v>2.4</v>
      </c>
      <c r="T29" s="46" t="n">
        <v>3</v>
      </c>
      <c r="U29" s="46" t="n">
        <v>1</v>
      </c>
    </row>
    <row r="30" customFormat="false" ht="15" hidden="false" customHeight="true" outlineLevel="0" collapsed="false">
      <c r="A30" s="42" t="s">
        <v>365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</row>
    <row r="31" customFormat="false" ht="15" hidden="false" customHeight="true" outlineLevel="0" collapsed="false">
      <c r="A31" s="9" t="n">
        <v>25</v>
      </c>
      <c r="B31" s="47" t="s">
        <v>95</v>
      </c>
      <c r="C31" s="47" t="s">
        <v>2284</v>
      </c>
      <c r="D31" s="47" t="s">
        <v>367</v>
      </c>
      <c r="E31" s="47"/>
      <c r="F31" s="45" t="s">
        <v>306</v>
      </c>
      <c r="G31" s="9" t="n">
        <v>6</v>
      </c>
      <c r="H31" s="12" t="n">
        <f aca="false">'Engineering Assumptions'!$C$19*'Engineering Assumptions'!$B$5*U31</f>
        <v>4966</v>
      </c>
      <c r="I31" s="12" t="n">
        <f aca="false">'Engineering Assumptions'!$B$8</f>
        <v>650</v>
      </c>
      <c r="J31" s="12" t="n">
        <f aca="false">'Engineering Assumptions'!$D$19*S31*U31</f>
        <v>437.5</v>
      </c>
      <c r="K31" s="12" t="n">
        <f aca="false">'Engineering Assumptions'!$E$19*T31*U31</f>
        <v>360</v>
      </c>
      <c r="L31" s="13" t="n">
        <f aca="false">H31+I31+J31+K31</f>
        <v>6413.5</v>
      </c>
      <c r="M31" s="12" t="n">
        <f aca="false">L31*'Engineering Assumptions'!$B$10</f>
        <v>962.025</v>
      </c>
      <c r="N31" s="13" t="n">
        <f aca="false">L31+M31</f>
        <v>7375.525</v>
      </c>
      <c r="O31" s="12" t="n">
        <f aca="false">N31*'Engineering Assumptions'!$B$11</f>
        <v>1475.105</v>
      </c>
      <c r="P31" s="183" t="n">
        <f aca="false">MROUND(N31+O31,10)</f>
        <v>8850</v>
      </c>
      <c r="Q31" s="12" t="n">
        <f aca="false">'Fleet Pricing'!H31</f>
        <v>8450</v>
      </c>
      <c r="R31" s="41" t="n">
        <v>6</v>
      </c>
      <c r="S31" s="46" t="n">
        <v>1.25</v>
      </c>
      <c r="T31" s="46" t="n">
        <v>0.75</v>
      </c>
      <c r="U31" s="46" t="n">
        <v>1</v>
      </c>
    </row>
    <row r="32" customFormat="false" ht="15" hidden="false" customHeight="true" outlineLevel="0" collapsed="false">
      <c r="A32" s="9" t="n">
        <v>26</v>
      </c>
      <c r="B32" s="47" t="s">
        <v>95</v>
      </c>
      <c r="C32" s="47" t="s">
        <v>2285</v>
      </c>
      <c r="D32" s="47" t="s">
        <v>370</v>
      </c>
      <c r="E32" s="47"/>
      <c r="F32" s="45" t="s">
        <v>315</v>
      </c>
      <c r="G32" s="9" t="n">
        <v>11</v>
      </c>
      <c r="H32" s="12" t="n">
        <f aca="false">'Engineering Assumptions'!$C$19*'Engineering Assumptions'!$B$5*U32</f>
        <v>4966</v>
      </c>
      <c r="I32" s="12" t="n">
        <f aca="false">'Engineering Assumptions'!$B$8</f>
        <v>650</v>
      </c>
      <c r="J32" s="12" t="n">
        <f aca="false">'Engineering Assumptions'!$D$19*S32*U32</f>
        <v>542.5</v>
      </c>
      <c r="K32" s="12" t="n">
        <f aca="false">'Engineering Assumptions'!$E$19*T32*U32</f>
        <v>648</v>
      </c>
      <c r="L32" s="13" t="n">
        <f aca="false">H32+I32+J32+K32</f>
        <v>6806.5</v>
      </c>
      <c r="M32" s="12" t="n">
        <f aca="false">L32*'Engineering Assumptions'!$B$10</f>
        <v>1020.975</v>
      </c>
      <c r="N32" s="13" t="n">
        <f aca="false">L32+M32</f>
        <v>7827.475</v>
      </c>
      <c r="O32" s="12" t="n">
        <f aca="false">N32*'Engineering Assumptions'!$B$11</f>
        <v>1565.495</v>
      </c>
      <c r="P32" s="183" t="n">
        <f aca="false">MROUND(N32+O32,10)</f>
        <v>9390</v>
      </c>
      <c r="Q32" s="12" t="n">
        <f aca="false">'Fleet Pricing'!H32</f>
        <v>7770</v>
      </c>
      <c r="R32" s="41" t="n">
        <v>11</v>
      </c>
      <c r="S32" s="46" t="n">
        <v>1.55</v>
      </c>
      <c r="T32" s="46" t="n">
        <v>1.35</v>
      </c>
      <c r="U32" s="46" t="n">
        <v>1</v>
      </c>
    </row>
    <row r="33" customFormat="false" ht="15" hidden="false" customHeight="true" outlineLevel="0" collapsed="false">
      <c r="A33" s="9" t="n">
        <v>27</v>
      </c>
      <c r="B33" s="47" t="s">
        <v>95</v>
      </c>
      <c r="C33" s="47" t="s">
        <v>2286</v>
      </c>
      <c r="D33" s="47" t="s">
        <v>372</v>
      </c>
      <c r="E33" s="47"/>
      <c r="F33" s="45" t="s">
        <v>374</v>
      </c>
      <c r="G33" s="9" t="n">
        <v>12</v>
      </c>
      <c r="H33" s="12" t="n">
        <f aca="false">'Engineering Assumptions'!$C$19*'Engineering Assumptions'!$B$5*U33</f>
        <v>4966</v>
      </c>
      <c r="I33" s="12" t="n">
        <f aca="false">'Engineering Assumptions'!$B$8</f>
        <v>650</v>
      </c>
      <c r="J33" s="12" t="n">
        <f aca="false">'Engineering Assumptions'!$D$19*S33*U33</f>
        <v>542.5</v>
      </c>
      <c r="K33" s="12" t="n">
        <f aca="false">'Engineering Assumptions'!$E$19*T33*U33</f>
        <v>648</v>
      </c>
      <c r="L33" s="13" t="n">
        <f aca="false">H33+I33+J33+K33</f>
        <v>6806.5</v>
      </c>
      <c r="M33" s="12" t="n">
        <f aca="false">L33*'Engineering Assumptions'!$B$10</f>
        <v>1020.975</v>
      </c>
      <c r="N33" s="13" t="n">
        <f aca="false">L33+M33</f>
        <v>7827.475</v>
      </c>
      <c r="O33" s="12" t="n">
        <f aca="false">N33*'Engineering Assumptions'!$B$11</f>
        <v>1565.495</v>
      </c>
      <c r="P33" s="183" t="n">
        <f aca="false">MROUND(N33+O33,10)</f>
        <v>9390</v>
      </c>
      <c r="Q33" s="12" t="n">
        <f aca="false">'Fleet Pricing'!H33</f>
        <v>6930</v>
      </c>
      <c r="R33" s="41" t="n">
        <v>12</v>
      </c>
      <c r="S33" s="46" t="n">
        <v>1.55</v>
      </c>
      <c r="T33" s="46" t="n">
        <v>1.35</v>
      </c>
      <c r="U33" s="46" t="n">
        <v>1</v>
      </c>
    </row>
    <row r="34" customFormat="false" ht="15" hidden="false" customHeight="true" outlineLevel="0" collapsed="false">
      <c r="A34" s="9" t="n">
        <v>28</v>
      </c>
      <c r="B34" s="47" t="s">
        <v>95</v>
      </c>
      <c r="C34" s="47" t="s">
        <v>2287</v>
      </c>
      <c r="D34" s="47" t="s">
        <v>376</v>
      </c>
      <c r="E34" s="47"/>
      <c r="F34" s="45" t="s">
        <v>374</v>
      </c>
      <c r="G34" s="9" t="n">
        <v>12</v>
      </c>
      <c r="H34" s="12" t="n">
        <f aca="false">'Engineering Assumptions'!$C$19*'Engineering Assumptions'!$B$5*U34</f>
        <v>4966</v>
      </c>
      <c r="I34" s="12" t="n">
        <f aca="false">'Engineering Assumptions'!$B$8</f>
        <v>650</v>
      </c>
      <c r="J34" s="12" t="n">
        <f aca="false">'Engineering Assumptions'!$D$19*S34*U34</f>
        <v>542.5</v>
      </c>
      <c r="K34" s="12" t="n">
        <f aca="false">'Engineering Assumptions'!$E$19*T34*U34</f>
        <v>648</v>
      </c>
      <c r="L34" s="13" t="n">
        <f aca="false">H34+I34+J34+K34</f>
        <v>6806.5</v>
      </c>
      <c r="M34" s="12" t="n">
        <f aca="false">L34*'Engineering Assumptions'!$B$10</f>
        <v>1020.975</v>
      </c>
      <c r="N34" s="13" t="n">
        <f aca="false">L34+M34</f>
        <v>7827.475</v>
      </c>
      <c r="O34" s="12" t="n">
        <f aca="false">N34*'Engineering Assumptions'!$B$11</f>
        <v>1565.495</v>
      </c>
      <c r="P34" s="183" t="n">
        <f aca="false">MROUND(N34+O34,10)</f>
        <v>9390</v>
      </c>
      <c r="Q34" s="12" t="n">
        <f aca="false">'Fleet Pricing'!H34</f>
        <v>6930</v>
      </c>
      <c r="R34" s="41" t="n">
        <v>12</v>
      </c>
      <c r="S34" s="46" t="n">
        <v>1.55</v>
      </c>
      <c r="T34" s="46" t="n">
        <v>1.35</v>
      </c>
      <c r="U34" s="46" t="n">
        <v>1</v>
      </c>
    </row>
    <row r="35" customFormat="false" ht="15" hidden="false" customHeight="true" outlineLevel="0" collapsed="false">
      <c r="A35" s="9" t="n">
        <v>29</v>
      </c>
      <c r="B35" s="47" t="s">
        <v>95</v>
      </c>
      <c r="C35" s="47" t="s">
        <v>2288</v>
      </c>
      <c r="D35" s="47" t="s">
        <v>378</v>
      </c>
      <c r="E35" s="47"/>
      <c r="F35" s="45" t="s">
        <v>380</v>
      </c>
      <c r="G35" s="9" t="n">
        <v>13</v>
      </c>
      <c r="H35" s="12" t="n">
        <f aca="false">'Engineering Assumptions'!$C$19*'Engineering Assumptions'!$B$5*U35</f>
        <v>4966</v>
      </c>
      <c r="I35" s="12" t="n">
        <f aca="false">'Engineering Assumptions'!$B$8</f>
        <v>650</v>
      </c>
      <c r="J35" s="12" t="n">
        <f aca="false">'Engineering Assumptions'!$D$19*S35*U35</f>
        <v>542.5</v>
      </c>
      <c r="K35" s="12" t="n">
        <f aca="false">'Engineering Assumptions'!$E$19*T35*U35</f>
        <v>648</v>
      </c>
      <c r="L35" s="13" t="n">
        <f aca="false">H35+I35+J35+K35</f>
        <v>6806.5</v>
      </c>
      <c r="M35" s="12" t="n">
        <f aca="false">L35*'Engineering Assumptions'!$B$10</f>
        <v>1020.975</v>
      </c>
      <c r="N35" s="13" t="n">
        <f aca="false">L35+M35</f>
        <v>7827.475</v>
      </c>
      <c r="O35" s="12" t="n">
        <f aca="false">N35*'Engineering Assumptions'!$B$11</f>
        <v>1565.495</v>
      </c>
      <c r="P35" s="183" t="n">
        <f aca="false">MROUND(N35+O35,10)</f>
        <v>9390</v>
      </c>
      <c r="Q35" s="12" t="n">
        <f aca="false">'Fleet Pricing'!H35</f>
        <v>6930</v>
      </c>
      <c r="R35" s="41" t="n">
        <v>13</v>
      </c>
      <c r="S35" s="46" t="n">
        <v>1.55</v>
      </c>
      <c r="T35" s="46" t="n">
        <v>1.35</v>
      </c>
      <c r="U35" s="46" t="n">
        <v>1</v>
      </c>
    </row>
    <row r="36" customFormat="false" ht="15" hidden="false" customHeight="true" outlineLevel="0" collapsed="false">
      <c r="A36" s="9" t="n">
        <v>30</v>
      </c>
      <c r="B36" s="47" t="s">
        <v>95</v>
      </c>
      <c r="C36" s="47" t="s">
        <v>2289</v>
      </c>
      <c r="D36" s="47" t="s">
        <v>381</v>
      </c>
      <c r="E36" s="47" t="s">
        <v>383</v>
      </c>
      <c r="F36" s="45" t="s">
        <v>380</v>
      </c>
      <c r="G36" s="9" t="n">
        <v>13</v>
      </c>
      <c r="H36" s="12" t="n">
        <f aca="false">'Engineering Assumptions'!$C$19*'Engineering Assumptions'!$B$5*U36</f>
        <v>4966</v>
      </c>
      <c r="I36" s="12" t="n">
        <f aca="false">'Engineering Assumptions'!$B$8</f>
        <v>650</v>
      </c>
      <c r="J36" s="12" t="n">
        <f aca="false">'Engineering Assumptions'!$D$19*S36*U36</f>
        <v>542.5</v>
      </c>
      <c r="K36" s="12" t="n">
        <f aca="false">'Engineering Assumptions'!$E$19*T36*U36</f>
        <v>648</v>
      </c>
      <c r="L36" s="13" t="n">
        <f aca="false">H36+I36+J36+K36</f>
        <v>6806.5</v>
      </c>
      <c r="M36" s="12" t="n">
        <f aca="false">L36*'Engineering Assumptions'!$B$10</f>
        <v>1020.975</v>
      </c>
      <c r="N36" s="13" t="n">
        <f aca="false">L36+M36</f>
        <v>7827.475</v>
      </c>
      <c r="O36" s="12" t="n">
        <f aca="false">N36*'Engineering Assumptions'!$B$11</f>
        <v>1565.495</v>
      </c>
      <c r="P36" s="183" t="n">
        <f aca="false">MROUND(N36+O36,10)</f>
        <v>9390</v>
      </c>
      <c r="Q36" s="12" t="n">
        <f aca="false">'Fleet Pricing'!H36</f>
        <v>6930</v>
      </c>
      <c r="R36" s="41" t="n">
        <v>13</v>
      </c>
      <c r="S36" s="46" t="n">
        <v>1.55</v>
      </c>
      <c r="T36" s="46" t="n">
        <v>1.35</v>
      </c>
      <c r="U36" s="46" t="n">
        <v>1</v>
      </c>
    </row>
    <row r="37" customFormat="false" ht="15" hidden="false" customHeight="true" outlineLevel="0" collapsed="false">
      <c r="A37" s="9" t="n">
        <v>31</v>
      </c>
      <c r="B37" s="47" t="s">
        <v>95</v>
      </c>
      <c r="C37" s="47" t="s">
        <v>2290</v>
      </c>
      <c r="D37" s="47" t="s">
        <v>384</v>
      </c>
      <c r="E37" s="47"/>
      <c r="F37" s="45" t="s">
        <v>310</v>
      </c>
      <c r="G37" s="9" t="n">
        <v>14</v>
      </c>
      <c r="H37" s="12" t="n">
        <f aca="false">'Engineering Assumptions'!$C$19*'Engineering Assumptions'!$B$5*U37</f>
        <v>4966</v>
      </c>
      <c r="I37" s="12" t="n">
        <f aca="false">'Engineering Assumptions'!$B$8</f>
        <v>650</v>
      </c>
      <c r="J37" s="12" t="n">
        <f aca="false">'Engineering Assumptions'!$D$19*S37*U37</f>
        <v>542.5</v>
      </c>
      <c r="K37" s="12" t="n">
        <f aca="false">'Engineering Assumptions'!$E$19*T37*U37</f>
        <v>648</v>
      </c>
      <c r="L37" s="13" t="n">
        <f aca="false">H37+I37+J37+K37</f>
        <v>6806.5</v>
      </c>
      <c r="M37" s="12" t="n">
        <f aca="false">L37*'Engineering Assumptions'!$B$10</f>
        <v>1020.975</v>
      </c>
      <c r="N37" s="13" t="n">
        <f aca="false">L37+M37</f>
        <v>7827.475</v>
      </c>
      <c r="O37" s="12" t="n">
        <f aca="false">N37*'Engineering Assumptions'!$B$11</f>
        <v>1565.495</v>
      </c>
      <c r="P37" s="183" t="n">
        <f aca="false">MROUND(N37+O37,10)</f>
        <v>9390</v>
      </c>
      <c r="Q37" s="12" t="n">
        <f aca="false">'Fleet Pricing'!H37</f>
        <v>6930</v>
      </c>
      <c r="R37" s="41" t="n">
        <v>14</v>
      </c>
      <c r="S37" s="46" t="n">
        <v>1.55</v>
      </c>
      <c r="T37" s="46" t="n">
        <v>1.35</v>
      </c>
      <c r="U37" s="46" t="n">
        <v>1</v>
      </c>
    </row>
    <row r="38" customFormat="false" ht="15" hidden="false" customHeight="true" outlineLevel="0" collapsed="false">
      <c r="A38" s="9" t="n">
        <v>32</v>
      </c>
      <c r="B38" s="47" t="s">
        <v>95</v>
      </c>
      <c r="C38" s="47" t="s">
        <v>2291</v>
      </c>
      <c r="D38" s="47" t="s">
        <v>387</v>
      </c>
      <c r="E38" s="47"/>
      <c r="F38" s="45" t="s">
        <v>389</v>
      </c>
      <c r="G38" s="9" t="n">
        <v>16</v>
      </c>
      <c r="H38" s="12" t="n">
        <f aca="false">'Engineering Assumptions'!$C$19*'Engineering Assumptions'!$B$5*U38</f>
        <v>4966</v>
      </c>
      <c r="I38" s="12" t="n">
        <f aca="false">'Engineering Assumptions'!$B$8</f>
        <v>650</v>
      </c>
      <c r="J38" s="12" t="n">
        <f aca="false">'Engineering Assumptions'!$D$19*S38*U38</f>
        <v>682.5</v>
      </c>
      <c r="K38" s="12" t="n">
        <f aca="false">'Engineering Assumptions'!$E$19*T38*U38</f>
        <v>1008</v>
      </c>
      <c r="L38" s="13" t="n">
        <f aca="false">H38+I38+J38+K38</f>
        <v>7306.5</v>
      </c>
      <c r="M38" s="12" t="n">
        <f aca="false">L38*'Engineering Assumptions'!$B$10</f>
        <v>1095.975</v>
      </c>
      <c r="N38" s="13" t="n">
        <f aca="false">L38+M38</f>
        <v>8402.475</v>
      </c>
      <c r="O38" s="12" t="n">
        <f aca="false">N38*'Engineering Assumptions'!$B$11</f>
        <v>1680.495</v>
      </c>
      <c r="P38" s="183" t="n">
        <f aca="false">MROUND(N38+O38,10)</f>
        <v>10080</v>
      </c>
      <c r="Q38" s="12" t="n">
        <f aca="false">'Fleet Pricing'!H38</f>
        <v>6930</v>
      </c>
      <c r="R38" s="41" t="n">
        <v>16</v>
      </c>
      <c r="S38" s="46" t="n">
        <v>1.95</v>
      </c>
      <c r="T38" s="46" t="n">
        <v>2.1</v>
      </c>
      <c r="U38" s="46" t="n">
        <v>1</v>
      </c>
    </row>
    <row r="39" customFormat="false" ht="15" hidden="false" customHeight="true" outlineLevel="0" collapsed="false">
      <c r="A39" s="9" t="n">
        <v>33</v>
      </c>
      <c r="B39" s="47" t="s">
        <v>95</v>
      </c>
      <c r="C39" s="47" t="s">
        <v>2292</v>
      </c>
      <c r="D39" s="47" t="s">
        <v>390</v>
      </c>
      <c r="E39" s="47"/>
      <c r="F39" s="45" t="s">
        <v>392</v>
      </c>
      <c r="G39" s="9" t="n">
        <v>17</v>
      </c>
      <c r="H39" s="12" t="n">
        <f aca="false">'Engineering Assumptions'!$C$19*'Engineering Assumptions'!$B$5*U39</f>
        <v>4966</v>
      </c>
      <c r="I39" s="12" t="n">
        <f aca="false">'Engineering Assumptions'!$B$8</f>
        <v>650</v>
      </c>
      <c r="J39" s="12" t="n">
        <f aca="false">'Engineering Assumptions'!$D$19*S39*U39</f>
        <v>682.5</v>
      </c>
      <c r="K39" s="12" t="n">
        <f aca="false">'Engineering Assumptions'!$E$19*T39*U39</f>
        <v>1008</v>
      </c>
      <c r="L39" s="13" t="n">
        <f aca="false">H39+I39+J39+K39</f>
        <v>7306.5</v>
      </c>
      <c r="M39" s="12" t="n">
        <f aca="false">L39*'Engineering Assumptions'!$B$10</f>
        <v>1095.975</v>
      </c>
      <c r="N39" s="13" t="n">
        <f aca="false">L39+M39</f>
        <v>8402.475</v>
      </c>
      <c r="O39" s="12" t="n">
        <f aca="false">N39*'Engineering Assumptions'!$B$11</f>
        <v>1680.495</v>
      </c>
      <c r="P39" s="183" t="n">
        <f aca="false">MROUND(N39+O39,10)</f>
        <v>10080</v>
      </c>
      <c r="Q39" s="12" t="n">
        <f aca="false">'Fleet Pricing'!H39</f>
        <v>6080</v>
      </c>
      <c r="R39" s="41" t="n">
        <v>17</v>
      </c>
      <c r="S39" s="46" t="n">
        <v>1.95</v>
      </c>
      <c r="T39" s="46" t="n">
        <v>2.1</v>
      </c>
      <c r="U39" s="46" t="n">
        <v>1</v>
      </c>
    </row>
    <row r="40" customFormat="false" ht="15" hidden="false" customHeight="true" outlineLevel="0" collapsed="false">
      <c r="A40" s="42" t="s">
        <v>393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customFormat="false" ht="15" hidden="false" customHeight="true" outlineLevel="0" collapsed="false">
      <c r="A41" s="9" t="n">
        <v>34</v>
      </c>
      <c r="B41" s="47" t="s">
        <v>97</v>
      </c>
      <c r="C41" s="47" t="s">
        <v>2293</v>
      </c>
      <c r="D41" s="47" t="s">
        <v>395</v>
      </c>
      <c r="E41" s="47" t="s">
        <v>398</v>
      </c>
      <c r="F41" s="45" t="s">
        <v>397</v>
      </c>
      <c r="G41" s="9" t="n">
        <v>9</v>
      </c>
      <c r="H41" s="12" t="n">
        <f aca="false">'Engineering Assumptions'!$C$20*'Engineering Assumptions'!$B$5*U41</f>
        <v>2674</v>
      </c>
      <c r="I41" s="12" t="n">
        <f aca="false">'Engineering Assumptions'!$B$8</f>
        <v>650</v>
      </c>
      <c r="J41" s="12" t="n">
        <f aca="false">'Engineering Assumptions'!$D$20*S41*U41</f>
        <v>275</v>
      </c>
      <c r="K41" s="12" t="n">
        <f aca="false">'Engineering Assumptions'!$E$20*T41*U41</f>
        <v>210</v>
      </c>
      <c r="L41" s="13" t="n">
        <f aca="false">H41+I41+J41+K41</f>
        <v>3809</v>
      </c>
      <c r="M41" s="12" t="n">
        <f aca="false">L41*'Engineering Assumptions'!$B$10</f>
        <v>571.35</v>
      </c>
      <c r="N41" s="13" t="n">
        <f aca="false">L41+M41</f>
        <v>4380.35</v>
      </c>
      <c r="O41" s="12" t="n">
        <f aca="false">N41*'Engineering Assumptions'!$B$11</f>
        <v>876.07</v>
      </c>
      <c r="P41" s="183" t="n">
        <f aca="false">MROUND(N41+O41,10)</f>
        <v>5260</v>
      </c>
      <c r="Q41" s="12" t="n">
        <f aca="false">'Fleet Pricing'!H41</f>
        <v>4460</v>
      </c>
      <c r="R41" s="41" t="n">
        <v>9</v>
      </c>
      <c r="S41" s="46" t="n">
        <v>1.25</v>
      </c>
      <c r="T41" s="46" t="n">
        <v>0.75</v>
      </c>
      <c r="U41" s="46" t="n">
        <v>1</v>
      </c>
    </row>
    <row r="42" customFormat="false" ht="15" hidden="false" customHeight="true" outlineLevel="0" collapsed="false">
      <c r="A42" s="9" t="n">
        <v>35</v>
      </c>
      <c r="B42" s="47" t="s">
        <v>97</v>
      </c>
      <c r="C42" s="47" t="s">
        <v>2294</v>
      </c>
      <c r="D42" s="47" t="s">
        <v>399</v>
      </c>
      <c r="E42" s="47" t="s">
        <v>401</v>
      </c>
      <c r="F42" s="45" t="s">
        <v>397</v>
      </c>
      <c r="G42" s="9" t="n">
        <v>9</v>
      </c>
      <c r="H42" s="12" t="n">
        <f aca="false">'Engineering Assumptions'!$C$20*'Engineering Assumptions'!$B$5*U42</f>
        <v>2674</v>
      </c>
      <c r="I42" s="12" t="n">
        <f aca="false">'Engineering Assumptions'!$B$8</f>
        <v>650</v>
      </c>
      <c r="J42" s="12" t="n">
        <f aca="false">'Engineering Assumptions'!$D$20*S42*U42</f>
        <v>275</v>
      </c>
      <c r="K42" s="12" t="n">
        <f aca="false">'Engineering Assumptions'!$E$20*T42*U42</f>
        <v>210</v>
      </c>
      <c r="L42" s="13" t="n">
        <f aca="false">H42+I42+J42+K42</f>
        <v>3809</v>
      </c>
      <c r="M42" s="12" t="n">
        <f aca="false">L42*'Engineering Assumptions'!$B$10</f>
        <v>571.35</v>
      </c>
      <c r="N42" s="13" t="n">
        <f aca="false">L42+M42</f>
        <v>4380.35</v>
      </c>
      <c r="O42" s="12" t="n">
        <f aca="false">N42*'Engineering Assumptions'!$B$11</f>
        <v>876.07</v>
      </c>
      <c r="P42" s="183" t="n">
        <f aca="false">MROUND(N42+O42,10)</f>
        <v>5260</v>
      </c>
      <c r="Q42" s="12" t="n">
        <f aca="false">'Fleet Pricing'!H42</f>
        <v>4460</v>
      </c>
      <c r="R42" s="41" t="n">
        <v>9</v>
      </c>
      <c r="S42" s="46" t="n">
        <v>1.25</v>
      </c>
      <c r="T42" s="46" t="n">
        <v>0.75</v>
      </c>
      <c r="U42" s="46" t="n">
        <v>1</v>
      </c>
    </row>
    <row r="43" customFormat="false" ht="15" hidden="false" customHeight="true" outlineLevel="0" collapsed="false">
      <c r="A43" s="9" t="n">
        <v>36</v>
      </c>
      <c r="B43" s="47" t="s">
        <v>97</v>
      </c>
      <c r="C43" s="47" t="s">
        <v>2293</v>
      </c>
      <c r="D43" s="47" t="s">
        <v>414</v>
      </c>
      <c r="E43" s="47" t="s">
        <v>415</v>
      </c>
      <c r="F43" s="45" t="s">
        <v>397</v>
      </c>
      <c r="G43" s="9" t="n">
        <v>9</v>
      </c>
      <c r="H43" s="12" t="n">
        <f aca="false">'Engineering Assumptions'!$C$20*'Engineering Assumptions'!$B$5*U43</f>
        <v>2674</v>
      </c>
      <c r="I43" s="12" t="n">
        <f aca="false">'Engineering Assumptions'!$B$8</f>
        <v>650</v>
      </c>
      <c r="J43" s="12" t="n">
        <f aca="false">'Engineering Assumptions'!$D$20*S43*U43</f>
        <v>275</v>
      </c>
      <c r="K43" s="12" t="n">
        <f aca="false">'Engineering Assumptions'!$E$20*T43*U43</f>
        <v>210</v>
      </c>
      <c r="L43" s="13" t="n">
        <f aca="false">H43+I43+J43+K43</f>
        <v>3809</v>
      </c>
      <c r="M43" s="12" t="n">
        <f aca="false">L43*'Engineering Assumptions'!$B$10</f>
        <v>571.35</v>
      </c>
      <c r="N43" s="13" t="n">
        <f aca="false">L43+M43</f>
        <v>4380.35</v>
      </c>
      <c r="O43" s="12" t="n">
        <f aca="false">N43*'Engineering Assumptions'!$B$11</f>
        <v>876.07</v>
      </c>
      <c r="P43" s="183" t="n">
        <f aca="false">MROUND(N43+O43,10)</f>
        <v>5260</v>
      </c>
      <c r="Q43" s="12" t="n">
        <f aca="false">'Fleet Pricing'!H43</f>
        <v>4460</v>
      </c>
      <c r="R43" s="41" t="n">
        <v>9</v>
      </c>
      <c r="S43" s="46" t="n">
        <v>1.25</v>
      </c>
      <c r="T43" s="46" t="n">
        <v>0.75</v>
      </c>
      <c r="U43" s="46" t="n">
        <v>1</v>
      </c>
    </row>
    <row r="44" customFormat="false" ht="15" hidden="false" customHeight="true" outlineLevel="0" collapsed="false">
      <c r="A44" s="9" t="n">
        <v>37</v>
      </c>
      <c r="B44" s="47" t="s">
        <v>97</v>
      </c>
      <c r="C44" s="47" t="s">
        <v>2295</v>
      </c>
      <c r="D44" s="47" t="s">
        <v>405</v>
      </c>
      <c r="E44" s="47" t="s">
        <v>407</v>
      </c>
      <c r="F44" s="45" t="s">
        <v>318</v>
      </c>
      <c r="G44" s="9" t="n">
        <v>10</v>
      </c>
      <c r="H44" s="12" t="n">
        <f aca="false">'Engineering Assumptions'!$C$20*'Engineering Assumptions'!$B$5*U44</f>
        <v>2674</v>
      </c>
      <c r="I44" s="12" t="n">
        <f aca="false">'Engineering Assumptions'!$B$8</f>
        <v>650</v>
      </c>
      <c r="J44" s="12" t="n">
        <f aca="false">'Engineering Assumptions'!$D$20*S44*U44</f>
        <v>275</v>
      </c>
      <c r="K44" s="12" t="n">
        <f aca="false">'Engineering Assumptions'!$E$20*T44*U44</f>
        <v>210</v>
      </c>
      <c r="L44" s="13" t="n">
        <f aca="false">H44+I44+J44+K44</f>
        <v>3809</v>
      </c>
      <c r="M44" s="12" t="n">
        <f aca="false">L44*'Engineering Assumptions'!$B$10</f>
        <v>571.35</v>
      </c>
      <c r="N44" s="13" t="n">
        <f aca="false">L44+M44</f>
        <v>4380.35</v>
      </c>
      <c r="O44" s="12" t="n">
        <f aca="false">N44*'Engineering Assumptions'!$B$11</f>
        <v>876.07</v>
      </c>
      <c r="P44" s="183" t="n">
        <f aca="false">MROUND(N44+O44,10)</f>
        <v>5260</v>
      </c>
      <c r="Q44" s="12" t="n">
        <f aca="false">'Fleet Pricing'!H44</f>
        <v>4460</v>
      </c>
      <c r="R44" s="41" t="n">
        <v>10</v>
      </c>
      <c r="S44" s="46" t="n">
        <v>1.25</v>
      </c>
      <c r="T44" s="46" t="n">
        <v>0.75</v>
      </c>
      <c r="U44" s="46" t="n">
        <v>1</v>
      </c>
    </row>
    <row r="45" customFormat="false" ht="15" hidden="false" customHeight="true" outlineLevel="0" collapsed="false">
      <c r="A45" s="9" t="n">
        <v>38</v>
      </c>
      <c r="B45" s="47" t="s">
        <v>97</v>
      </c>
      <c r="C45" s="47" t="s">
        <v>2295</v>
      </c>
      <c r="D45" s="47" t="s">
        <v>408</v>
      </c>
      <c r="E45" s="47" t="s">
        <v>409</v>
      </c>
      <c r="F45" s="45" t="s">
        <v>318</v>
      </c>
      <c r="G45" s="9" t="n">
        <v>10</v>
      </c>
      <c r="H45" s="12" t="n">
        <f aca="false">'Engineering Assumptions'!$C$20*'Engineering Assumptions'!$B$5*U45</f>
        <v>2674</v>
      </c>
      <c r="I45" s="12" t="n">
        <f aca="false">'Engineering Assumptions'!$B$8</f>
        <v>650</v>
      </c>
      <c r="J45" s="12" t="n">
        <f aca="false">'Engineering Assumptions'!$D$20*S45*U45</f>
        <v>275</v>
      </c>
      <c r="K45" s="12" t="n">
        <f aca="false">'Engineering Assumptions'!$E$20*T45*U45</f>
        <v>210</v>
      </c>
      <c r="L45" s="13" t="n">
        <f aca="false">H45+I45+J45+K45</f>
        <v>3809</v>
      </c>
      <c r="M45" s="12" t="n">
        <f aca="false">L45*'Engineering Assumptions'!$B$10</f>
        <v>571.35</v>
      </c>
      <c r="N45" s="13" t="n">
        <f aca="false">L45+M45</f>
        <v>4380.35</v>
      </c>
      <c r="O45" s="12" t="n">
        <f aca="false">N45*'Engineering Assumptions'!$B$11</f>
        <v>876.07</v>
      </c>
      <c r="P45" s="183" t="n">
        <f aca="false">MROUND(N45+O45,10)</f>
        <v>5260</v>
      </c>
      <c r="Q45" s="12" t="n">
        <f aca="false">'Fleet Pricing'!H45</f>
        <v>4460</v>
      </c>
      <c r="R45" s="41" t="n">
        <v>10</v>
      </c>
      <c r="S45" s="46" t="n">
        <v>1.25</v>
      </c>
      <c r="T45" s="46" t="n">
        <v>0.75</v>
      </c>
      <c r="U45" s="46" t="n">
        <v>1</v>
      </c>
    </row>
    <row r="46" customFormat="false" ht="15" hidden="false" customHeight="true" outlineLevel="0" collapsed="false">
      <c r="A46" s="9" t="n">
        <v>39</v>
      </c>
      <c r="B46" s="47" t="s">
        <v>97</v>
      </c>
      <c r="C46" s="47" t="s">
        <v>2294</v>
      </c>
      <c r="D46" s="47" t="s">
        <v>410</v>
      </c>
      <c r="E46" s="47" t="s">
        <v>411</v>
      </c>
      <c r="F46" s="45" t="s">
        <v>318</v>
      </c>
      <c r="G46" s="9" t="n">
        <v>10</v>
      </c>
      <c r="H46" s="12" t="n">
        <f aca="false">'Engineering Assumptions'!$C$20*'Engineering Assumptions'!$B$5*U46</f>
        <v>2674</v>
      </c>
      <c r="I46" s="12" t="n">
        <f aca="false">'Engineering Assumptions'!$B$8</f>
        <v>650</v>
      </c>
      <c r="J46" s="12" t="n">
        <f aca="false">'Engineering Assumptions'!$D$20*S46*U46</f>
        <v>275</v>
      </c>
      <c r="K46" s="12" t="n">
        <f aca="false">'Engineering Assumptions'!$E$20*T46*U46</f>
        <v>210</v>
      </c>
      <c r="L46" s="13" t="n">
        <f aca="false">H46+I46+J46+K46</f>
        <v>3809</v>
      </c>
      <c r="M46" s="12" t="n">
        <f aca="false">L46*'Engineering Assumptions'!$B$10</f>
        <v>571.35</v>
      </c>
      <c r="N46" s="13" t="n">
        <f aca="false">L46+M46</f>
        <v>4380.35</v>
      </c>
      <c r="O46" s="12" t="n">
        <f aca="false">N46*'Engineering Assumptions'!$B$11</f>
        <v>876.07</v>
      </c>
      <c r="P46" s="183" t="n">
        <f aca="false">MROUND(N46+O46,10)</f>
        <v>5260</v>
      </c>
      <c r="Q46" s="12" t="n">
        <f aca="false">'Fleet Pricing'!H46</f>
        <v>4460</v>
      </c>
      <c r="R46" s="41" t="n">
        <v>10</v>
      </c>
      <c r="S46" s="46" t="n">
        <v>1.25</v>
      </c>
      <c r="T46" s="46" t="n">
        <v>0.75</v>
      </c>
      <c r="U46" s="46" t="n">
        <v>1</v>
      </c>
    </row>
    <row r="47" customFormat="false" ht="15" hidden="false" customHeight="true" outlineLevel="0" collapsed="false">
      <c r="A47" s="9" t="n">
        <v>40</v>
      </c>
      <c r="B47" s="47" t="s">
        <v>97</v>
      </c>
      <c r="C47" s="47" t="s">
        <v>2294</v>
      </c>
      <c r="D47" s="47" t="s">
        <v>402</v>
      </c>
      <c r="E47" s="47" t="s">
        <v>403</v>
      </c>
      <c r="F47" s="45" t="s">
        <v>318</v>
      </c>
      <c r="G47" s="9" t="n">
        <v>10</v>
      </c>
      <c r="H47" s="12" t="n">
        <f aca="false">'Engineering Assumptions'!$C$20*'Engineering Assumptions'!$B$5*U47</f>
        <v>2674</v>
      </c>
      <c r="I47" s="12" t="n">
        <f aca="false">'Engineering Assumptions'!$B$8</f>
        <v>650</v>
      </c>
      <c r="J47" s="12" t="n">
        <f aca="false">'Engineering Assumptions'!$D$20*S47*U47</f>
        <v>275</v>
      </c>
      <c r="K47" s="12" t="n">
        <f aca="false">'Engineering Assumptions'!$E$20*T47*U47</f>
        <v>210</v>
      </c>
      <c r="L47" s="13" t="n">
        <f aca="false">H47+I47+J47+K47</f>
        <v>3809</v>
      </c>
      <c r="M47" s="12" t="n">
        <f aca="false">L47*'Engineering Assumptions'!$B$10</f>
        <v>571.35</v>
      </c>
      <c r="N47" s="13" t="n">
        <f aca="false">L47+M47</f>
        <v>4380.35</v>
      </c>
      <c r="O47" s="12" t="n">
        <f aca="false">N47*'Engineering Assumptions'!$B$11</f>
        <v>876.07</v>
      </c>
      <c r="P47" s="183" t="n">
        <f aca="false">MROUND(N47+O47,10)</f>
        <v>5260</v>
      </c>
      <c r="Q47" s="12" t="n">
        <f aca="false">'Fleet Pricing'!H47</f>
        <v>4460</v>
      </c>
      <c r="R47" s="41" t="n">
        <v>10</v>
      </c>
      <c r="S47" s="46" t="n">
        <v>1.25</v>
      </c>
      <c r="T47" s="46" t="n">
        <v>0.75</v>
      </c>
      <c r="U47" s="46" t="n">
        <v>1</v>
      </c>
    </row>
    <row r="48" customFormat="false" ht="15" hidden="false" customHeight="true" outlineLevel="0" collapsed="false">
      <c r="A48" s="9" t="n">
        <v>41</v>
      </c>
      <c r="B48" s="47" t="s">
        <v>97</v>
      </c>
      <c r="C48" s="47" t="s">
        <v>2294</v>
      </c>
      <c r="D48" s="47" t="s">
        <v>412</v>
      </c>
      <c r="E48" s="47" t="s">
        <v>413</v>
      </c>
      <c r="F48" s="45" t="s">
        <v>318</v>
      </c>
      <c r="G48" s="9" t="n">
        <v>10</v>
      </c>
      <c r="H48" s="12" t="n">
        <f aca="false">'Engineering Assumptions'!$C$20*'Engineering Assumptions'!$B$5*U48</f>
        <v>2674</v>
      </c>
      <c r="I48" s="12" t="n">
        <f aca="false">'Engineering Assumptions'!$B$8</f>
        <v>650</v>
      </c>
      <c r="J48" s="12" t="n">
        <f aca="false">'Engineering Assumptions'!$D$20*S48*U48</f>
        <v>275</v>
      </c>
      <c r="K48" s="12" t="n">
        <f aca="false">'Engineering Assumptions'!$E$20*T48*U48</f>
        <v>210</v>
      </c>
      <c r="L48" s="13" t="n">
        <f aca="false">H48+I48+J48+K48</f>
        <v>3809</v>
      </c>
      <c r="M48" s="12" t="n">
        <f aca="false">L48*'Engineering Assumptions'!$B$10</f>
        <v>571.35</v>
      </c>
      <c r="N48" s="13" t="n">
        <f aca="false">L48+M48</f>
        <v>4380.35</v>
      </c>
      <c r="O48" s="12" t="n">
        <f aca="false">N48*'Engineering Assumptions'!$B$11</f>
        <v>876.07</v>
      </c>
      <c r="P48" s="183" t="n">
        <f aca="false">MROUND(N48+O48,10)</f>
        <v>5260</v>
      </c>
      <c r="Q48" s="12" t="n">
        <f aca="false">'Fleet Pricing'!H48</f>
        <v>4460</v>
      </c>
      <c r="R48" s="41" t="n">
        <v>10</v>
      </c>
      <c r="S48" s="46" t="n">
        <v>1.25</v>
      </c>
      <c r="T48" s="46" t="n">
        <v>0.75</v>
      </c>
      <c r="U48" s="46" t="n">
        <v>1</v>
      </c>
    </row>
    <row r="49" customFormat="false" ht="23.25" hidden="false" customHeight="true" outlineLevel="0" collapsed="false">
      <c r="A49" s="9" t="n">
        <v>42</v>
      </c>
      <c r="B49" s="47" t="s">
        <v>97</v>
      </c>
      <c r="C49" s="47" t="s">
        <v>2296</v>
      </c>
      <c r="D49" s="47" t="s">
        <v>417</v>
      </c>
      <c r="E49" s="47" t="s">
        <v>419</v>
      </c>
      <c r="F49" s="45" t="s">
        <v>315</v>
      </c>
      <c r="G49" s="9" t="n">
        <v>11</v>
      </c>
      <c r="H49" s="12" t="n">
        <f aca="false">'Engineering Assumptions'!$C$20*'Engineering Assumptions'!$B$5*U49</f>
        <v>2674</v>
      </c>
      <c r="I49" s="12" t="n">
        <f aca="false">'Engineering Assumptions'!$B$8</f>
        <v>650</v>
      </c>
      <c r="J49" s="12" t="n">
        <f aca="false">'Engineering Assumptions'!$D$20*S49*U49</f>
        <v>341</v>
      </c>
      <c r="K49" s="12" t="n">
        <f aca="false">'Engineering Assumptions'!$E$20*T49*U49</f>
        <v>378</v>
      </c>
      <c r="L49" s="13" t="n">
        <f aca="false">H49+I49+J49+K49</f>
        <v>4043</v>
      </c>
      <c r="M49" s="12" t="n">
        <f aca="false">L49*'Engineering Assumptions'!$B$10</f>
        <v>606.45</v>
      </c>
      <c r="N49" s="13" t="n">
        <f aca="false">L49+M49</f>
        <v>4649.45</v>
      </c>
      <c r="O49" s="12" t="n">
        <f aca="false">N49*'Engineering Assumptions'!$B$11</f>
        <v>929.89</v>
      </c>
      <c r="P49" s="183" t="n">
        <f aca="false">MROUND(N49+O49,10)</f>
        <v>5580</v>
      </c>
      <c r="Q49" s="12" t="n">
        <f aca="false">'Fleet Pricing'!H49</f>
        <v>4460</v>
      </c>
      <c r="R49" s="41" t="n">
        <v>11</v>
      </c>
      <c r="S49" s="46" t="n">
        <v>1.55</v>
      </c>
      <c r="T49" s="46" t="n">
        <v>1.35</v>
      </c>
      <c r="U49" s="46" t="n">
        <v>1</v>
      </c>
    </row>
    <row r="50" customFormat="false" ht="23.25" hidden="false" customHeight="true" outlineLevel="0" collapsed="false">
      <c r="A50" s="9" t="n">
        <v>43</v>
      </c>
      <c r="B50" s="47" t="s">
        <v>97</v>
      </c>
      <c r="C50" s="47" t="s">
        <v>2297</v>
      </c>
      <c r="D50" s="47" t="s">
        <v>421</v>
      </c>
      <c r="E50" s="47" t="s">
        <v>424</v>
      </c>
      <c r="F50" s="45" t="s">
        <v>423</v>
      </c>
      <c r="G50" s="9" t="n">
        <v>23</v>
      </c>
      <c r="H50" s="12" t="n">
        <f aca="false">'Engineering Assumptions'!$C$20*'Engineering Assumptions'!$B$5*U50</f>
        <v>2674</v>
      </c>
      <c r="I50" s="12" t="n">
        <f aca="false">'Engineering Assumptions'!$B$8</f>
        <v>650</v>
      </c>
      <c r="J50" s="12" t="n">
        <f aca="false">'Engineering Assumptions'!$D$20*S50*U50</f>
        <v>528</v>
      </c>
      <c r="K50" s="12" t="n">
        <f aca="false">'Engineering Assumptions'!$E$20*T50*U50</f>
        <v>840</v>
      </c>
      <c r="L50" s="13" t="n">
        <f aca="false">H50+I50+J50+K50</f>
        <v>4692</v>
      </c>
      <c r="M50" s="12" t="n">
        <f aca="false">L50*'Engineering Assumptions'!$B$10</f>
        <v>703.8</v>
      </c>
      <c r="N50" s="13" t="n">
        <f aca="false">L50+M50</f>
        <v>5395.8</v>
      </c>
      <c r="O50" s="12" t="n">
        <f aca="false">N50*'Engineering Assumptions'!$B$11</f>
        <v>1079.16</v>
      </c>
      <c r="P50" s="183" t="n">
        <f aca="false">MROUND(N50+O50,10)</f>
        <v>6470</v>
      </c>
      <c r="Q50" s="12" t="n">
        <f aca="false">'Fleet Pricing'!H50</f>
        <v>3150</v>
      </c>
      <c r="R50" s="41" t="n">
        <v>23</v>
      </c>
      <c r="S50" s="46" t="n">
        <v>2.4</v>
      </c>
      <c r="T50" s="46" t="n">
        <v>3</v>
      </c>
      <c r="U50" s="46" t="n">
        <v>1</v>
      </c>
    </row>
    <row r="51" customFormat="false" ht="15" hidden="false" customHeight="true" outlineLevel="0" collapsed="false">
      <c r="A51" s="9" t="n">
        <v>44</v>
      </c>
      <c r="B51" s="47" t="s">
        <v>97</v>
      </c>
      <c r="C51" s="47" t="s">
        <v>2298</v>
      </c>
      <c r="D51" s="47" t="s">
        <v>426</v>
      </c>
      <c r="E51" s="47" t="s">
        <v>429</v>
      </c>
      <c r="F51" s="45" t="s">
        <v>428</v>
      </c>
      <c r="G51" s="9" t="n">
        <v>26</v>
      </c>
      <c r="H51" s="12" t="n">
        <f aca="false">'Engineering Assumptions'!$C$20*'Engineering Assumptions'!$B$5*U51</f>
        <v>2674</v>
      </c>
      <c r="I51" s="12" t="n">
        <f aca="false">'Engineering Assumptions'!$B$8</f>
        <v>650</v>
      </c>
      <c r="J51" s="12" t="n">
        <f aca="false">'Engineering Assumptions'!$D$20*S51*U51</f>
        <v>528</v>
      </c>
      <c r="K51" s="12" t="n">
        <f aca="false">'Engineering Assumptions'!$E$20*T51*U51</f>
        <v>840</v>
      </c>
      <c r="L51" s="13" t="n">
        <f aca="false">H51+I51+J51+K51</f>
        <v>4692</v>
      </c>
      <c r="M51" s="12" t="n">
        <f aca="false">L51*'Engineering Assumptions'!$B$10</f>
        <v>703.8</v>
      </c>
      <c r="N51" s="13" t="n">
        <f aca="false">L51+M51</f>
        <v>5395.8</v>
      </c>
      <c r="O51" s="12" t="n">
        <f aca="false">N51*'Engineering Assumptions'!$B$11</f>
        <v>1079.16</v>
      </c>
      <c r="P51" s="183" t="n">
        <f aca="false">MROUND(N51+O51,10)</f>
        <v>6470</v>
      </c>
      <c r="Q51" s="12" t="n">
        <f aca="false">'Fleet Pricing'!H51</f>
        <v>3150</v>
      </c>
      <c r="R51" s="41" t="n">
        <v>26</v>
      </c>
      <c r="S51" s="46" t="n">
        <v>2.4</v>
      </c>
      <c r="T51" s="46" t="n">
        <v>3</v>
      </c>
      <c r="U51" s="46" t="n">
        <v>1</v>
      </c>
    </row>
    <row r="52" customFormat="false" ht="15" hidden="false" customHeight="true" outlineLevel="0" collapsed="false">
      <c r="A52" s="9" t="n">
        <v>45</v>
      </c>
      <c r="B52" s="47" t="s">
        <v>97</v>
      </c>
      <c r="C52" s="47" t="s">
        <v>2299</v>
      </c>
      <c r="D52" s="47" t="s">
        <v>430</v>
      </c>
      <c r="E52" s="47" t="s">
        <v>433</v>
      </c>
      <c r="F52" s="45" t="s">
        <v>432</v>
      </c>
      <c r="G52" s="9" t="n">
        <v>30</v>
      </c>
      <c r="H52" s="12" t="n">
        <f aca="false">'Engineering Assumptions'!$C$20*'Engineering Assumptions'!$B$5*U52</f>
        <v>2674</v>
      </c>
      <c r="I52" s="12" t="n">
        <f aca="false">'Engineering Assumptions'!$B$8</f>
        <v>650</v>
      </c>
      <c r="J52" s="12" t="n">
        <f aca="false">'Engineering Assumptions'!$D$20*S52*U52</f>
        <v>528</v>
      </c>
      <c r="K52" s="12" t="n">
        <f aca="false">'Engineering Assumptions'!$E$20*T52*U52</f>
        <v>840</v>
      </c>
      <c r="L52" s="13" t="n">
        <f aca="false">H52+I52+J52+K52</f>
        <v>4692</v>
      </c>
      <c r="M52" s="12" t="n">
        <f aca="false">L52*'Engineering Assumptions'!$B$10</f>
        <v>703.8</v>
      </c>
      <c r="N52" s="13" t="n">
        <f aca="false">L52+M52</f>
        <v>5395.8</v>
      </c>
      <c r="O52" s="12" t="n">
        <f aca="false">N52*'Engineering Assumptions'!$B$11</f>
        <v>1079.16</v>
      </c>
      <c r="P52" s="183" t="n">
        <f aca="false">MROUND(N52+O52,10)</f>
        <v>6470</v>
      </c>
      <c r="Q52" s="12" t="n">
        <f aca="false">'Fleet Pricing'!H52</f>
        <v>2810</v>
      </c>
      <c r="R52" s="41" t="n">
        <v>30</v>
      </c>
      <c r="S52" s="46" t="n">
        <v>2.4</v>
      </c>
      <c r="T52" s="46" t="n">
        <v>3</v>
      </c>
      <c r="U52" s="46" t="n">
        <v>1</v>
      </c>
    </row>
    <row r="53" customFormat="false" ht="15" hidden="false" customHeight="true" outlineLevel="0" collapsed="false">
      <c r="A53" s="9" t="n">
        <v>46</v>
      </c>
      <c r="B53" s="47" t="s">
        <v>97</v>
      </c>
      <c r="C53" s="47" t="s">
        <v>2299</v>
      </c>
      <c r="D53" s="47" t="s">
        <v>434</v>
      </c>
      <c r="E53" s="47" t="s">
        <v>435</v>
      </c>
      <c r="F53" s="45" t="s">
        <v>432</v>
      </c>
      <c r="G53" s="9" t="n">
        <v>30</v>
      </c>
      <c r="H53" s="12" t="n">
        <f aca="false">'Engineering Assumptions'!$C$20*'Engineering Assumptions'!$B$5*U53</f>
        <v>2674</v>
      </c>
      <c r="I53" s="12" t="n">
        <f aca="false">'Engineering Assumptions'!$B$8</f>
        <v>650</v>
      </c>
      <c r="J53" s="12" t="n">
        <f aca="false">'Engineering Assumptions'!$D$20*S53*U53</f>
        <v>528</v>
      </c>
      <c r="K53" s="12" t="n">
        <f aca="false">'Engineering Assumptions'!$E$20*T53*U53</f>
        <v>840</v>
      </c>
      <c r="L53" s="13" t="n">
        <f aca="false">H53+I53+J53+K53</f>
        <v>4692</v>
      </c>
      <c r="M53" s="12" t="n">
        <f aca="false">L53*'Engineering Assumptions'!$B$10</f>
        <v>703.8</v>
      </c>
      <c r="N53" s="13" t="n">
        <f aca="false">L53+M53</f>
        <v>5395.8</v>
      </c>
      <c r="O53" s="12" t="n">
        <f aca="false">N53*'Engineering Assumptions'!$B$11</f>
        <v>1079.16</v>
      </c>
      <c r="P53" s="183" t="n">
        <f aca="false">MROUND(N53+O53,10)</f>
        <v>6470</v>
      </c>
      <c r="Q53" s="12" t="n">
        <f aca="false">'Fleet Pricing'!H53</f>
        <v>2810</v>
      </c>
      <c r="R53" s="41" t="n">
        <v>30</v>
      </c>
      <c r="S53" s="46" t="n">
        <v>2.4</v>
      </c>
      <c r="T53" s="46" t="n">
        <v>3</v>
      </c>
      <c r="U53" s="46" t="n">
        <v>1</v>
      </c>
    </row>
    <row r="54" customFormat="false" ht="15" hidden="false" customHeight="true" outlineLevel="0" collapsed="false">
      <c r="A54" s="9" t="n">
        <v>47</v>
      </c>
      <c r="B54" s="47" t="s">
        <v>97</v>
      </c>
      <c r="C54" s="47" t="s">
        <v>2300</v>
      </c>
      <c r="D54" s="47" t="s">
        <v>436</v>
      </c>
      <c r="E54" s="47" t="s">
        <v>438</v>
      </c>
      <c r="F54" s="45" t="s">
        <v>432</v>
      </c>
      <c r="G54" s="9" t="n">
        <v>30</v>
      </c>
      <c r="H54" s="12" t="n">
        <f aca="false">'Engineering Assumptions'!$C$20*'Engineering Assumptions'!$B$5*U54</f>
        <v>2674</v>
      </c>
      <c r="I54" s="12" t="n">
        <f aca="false">'Engineering Assumptions'!$B$8</f>
        <v>650</v>
      </c>
      <c r="J54" s="12" t="n">
        <f aca="false">'Engineering Assumptions'!$D$20*S54*U54</f>
        <v>528</v>
      </c>
      <c r="K54" s="12" t="n">
        <f aca="false">'Engineering Assumptions'!$E$20*T54*U54</f>
        <v>840</v>
      </c>
      <c r="L54" s="13" t="n">
        <f aca="false">H54+I54+J54+K54</f>
        <v>4692</v>
      </c>
      <c r="M54" s="12" t="n">
        <f aca="false">L54*'Engineering Assumptions'!$B$10</f>
        <v>703.8</v>
      </c>
      <c r="N54" s="13" t="n">
        <f aca="false">L54+M54</f>
        <v>5395.8</v>
      </c>
      <c r="O54" s="12" t="n">
        <f aca="false">N54*'Engineering Assumptions'!$B$11</f>
        <v>1079.16</v>
      </c>
      <c r="P54" s="183" t="n">
        <f aca="false">MROUND(N54+O54,10)</f>
        <v>6470</v>
      </c>
      <c r="Q54" s="12" t="n">
        <f aca="false">'Fleet Pricing'!H54</f>
        <v>2810</v>
      </c>
      <c r="R54" s="41" t="n">
        <v>30</v>
      </c>
      <c r="S54" s="46" t="n">
        <v>2.4</v>
      </c>
      <c r="T54" s="46" t="n">
        <v>3</v>
      </c>
      <c r="U54" s="46" t="n">
        <v>1</v>
      </c>
    </row>
    <row r="55" customFormat="false" ht="15" hidden="false" customHeight="true" outlineLevel="0" collapsed="false">
      <c r="A55" s="9" t="n">
        <v>48</v>
      </c>
      <c r="B55" s="47" t="s">
        <v>97</v>
      </c>
      <c r="C55" s="47" t="s">
        <v>2301</v>
      </c>
      <c r="D55" s="47" t="s">
        <v>439</v>
      </c>
      <c r="E55" s="47" t="s">
        <v>441</v>
      </c>
      <c r="F55" s="45" t="s">
        <v>432</v>
      </c>
      <c r="G55" s="9" t="n">
        <v>30</v>
      </c>
      <c r="H55" s="12" t="n">
        <f aca="false">'Engineering Assumptions'!$C$20*'Engineering Assumptions'!$B$5*U55</f>
        <v>2674</v>
      </c>
      <c r="I55" s="12" t="n">
        <f aca="false">'Engineering Assumptions'!$B$8</f>
        <v>650</v>
      </c>
      <c r="J55" s="12" t="n">
        <f aca="false">'Engineering Assumptions'!$D$20*S55*U55</f>
        <v>528</v>
      </c>
      <c r="K55" s="12" t="n">
        <f aca="false">'Engineering Assumptions'!$E$20*T55*U55</f>
        <v>840</v>
      </c>
      <c r="L55" s="13" t="n">
        <f aca="false">H55+I55+J55+K55</f>
        <v>4692</v>
      </c>
      <c r="M55" s="12" t="n">
        <f aca="false">L55*'Engineering Assumptions'!$B$10</f>
        <v>703.8</v>
      </c>
      <c r="N55" s="13" t="n">
        <f aca="false">L55+M55</f>
        <v>5395.8</v>
      </c>
      <c r="O55" s="12" t="n">
        <f aca="false">N55*'Engineering Assumptions'!$B$11</f>
        <v>1079.16</v>
      </c>
      <c r="P55" s="183" t="n">
        <f aca="false">MROUND(N55+O55,10)</f>
        <v>6470</v>
      </c>
      <c r="Q55" s="12" t="n">
        <f aca="false">'Fleet Pricing'!H55</f>
        <v>2810</v>
      </c>
      <c r="R55" s="41" t="n">
        <v>30</v>
      </c>
      <c r="S55" s="46" t="n">
        <v>2.4</v>
      </c>
      <c r="T55" s="46" t="n">
        <v>3</v>
      </c>
      <c r="U55" s="46" t="n">
        <v>1</v>
      </c>
    </row>
    <row r="56" customFormat="false" ht="15" hidden="false" customHeight="true" outlineLevel="0" collapsed="false">
      <c r="A56" s="9" t="n">
        <v>49</v>
      </c>
      <c r="B56" s="47" t="s">
        <v>97</v>
      </c>
      <c r="C56" s="47" t="s">
        <v>2302</v>
      </c>
      <c r="D56" s="47" t="s">
        <v>442</v>
      </c>
      <c r="E56" s="47" t="s">
        <v>445</v>
      </c>
      <c r="F56" s="45" t="s">
        <v>444</v>
      </c>
      <c r="G56" s="9" t="n">
        <v>35</v>
      </c>
      <c r="H56" s="12" t="n">
        <f aca="false">'Engineering Assumptions'!$C$20*'Engineering Assumptions'!$B$5*U56</f>
        <v>2674</v>
      </c>
      <c r="I56" s="12" t="n">
        <f aca="false">'Engineering Assumptions'!$B$8</f>
        <v>650</v>
      </c>
      <c r="J56" s="12" t="n">
        <f aca="false">'Engineering Assumptions'!$D$20*S56*U56</f>
        <v>528</v>
      </c>
      <c r="K56" s="12" t="n">
        <f aca="false">'Engineering Assumptions'!$E$20*T56*U56</f>
        <v>840</v>
      </c>
      <c r="L56" s="13" t="n">
        <f aca="false">H56+I56+J56+K56</f>
        <v>4692</v>
      </c>
      <c r="M56" s="12" t="n">
        <f aca="false">L56*'Engineering Assumptions'!$B$10</f>
        <v>703.8</v>
      </c>
      <c r="N56" s="13" t="n">
        <f aca="false">L56+M56</f>
        <v>5395.8</v>
      </c>
      <c r="O56" s="12" t="n">
        <f aca="false">N56*'Engineering Assumptions'!$B$11</f>
        <v>1079.16</v>
      </c>
      <c r="P56" s="183" t="n">
        <f aca="false">MROUND(N56+O56,10)</f>
        <v>6470</v>
      </c>
      <c r="Q56" s="12" t="n">
        <f aca="false">'Fleet Pricing'!H56</f>
        <v>2810</v>
      </c>
      <c r="R56" s="41" t="n">
        <v>35</v>
      </c>
      <c r="S56" s="46" t="n">
        <v>2.4</v>
      </c>
      <c r="T56" s="46" t="n">
        <v>3</v>
      </c>
      <c r="U56" s="46" t="n">
        <v>1</v>
      </c>
    </row>
    <row r="57" customFormat="false" ht="15" hidden="false" customHeight="true" outlineLevel="0" collapsed="false">
      <c r="A57" s="42" t="s">
        <v>446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</row>
    <row r="58" customFormat="false" ht="15" hidden="false" customHeight="true" outlineLevel="0" collapsed="false">
      <c r="A58" s="9" t="n">
        <v>50</v>
      </c>
      <c r="B58" s="47" t="s">
        <v>99</v>
      </c>
      <c r="C58" s="47" t="s">
        <v>2303</v>
      </c>
      <c r="D58" s="47" t="s">
        <v>448</v>
      </c>
      <c r="E58" s="47" t="s">
        <v>451</v>
      </c>
      <c r="F58" s="45" t="s">
        <v>450</v>
      </c>
      <c r="G58" s="9" t="n">
        <v>8</v>
      </c>
      <c r="H58" s="12" t="n">
        <f aca="false">'Engineering Assumptions'!$C$21*'Engineering Assumptions'!$B$5*U58</f>
        <v>3056</v>
      </c>
      <c r="I58" s="12" t="n">
        <f aca="false">'Engineering Assumptions'!$B$8</f>
        <v>650</v>
      </c>
      <c r="J58" s="12" t="n">
        <f aca="false">'Engineering Assumptions'!$D$21*S58*U58</f>
        <v>325</v>
      </c>
      <c r="K58" s="12" t="n">
        <f aca="false">'Engineering Assumptions'!$E$21*T58*U58</f>
        <v>240</v>
      </c>
      <c r="L58" s="13" t="n">
        <f aca="false">H58+I58+J58+K58</f>
        <v>4271</v>
      </c>
      <c r="M58" s="12" t="n">
        <f aca="false">L58*'Engineering Assumptions'!$B$10</f>
        <v>640.65</v>
      </c>
      <c r="N58" s="13" t="n">
        <f aca="false">L58+M58</f>
        <v>4911.65</v>
      </c>
      <c r="O58" s="12" t="n">
        <f aca="false">N58*'Engineering Assumptions'!$B$11</f>
        <v>982.33</v>
      </c>
      <c r="P58" s="183" t="n">
        <f aca="false">MROUND(N58+O58,10)</f>
        <v>5890</v>
      </c>
      <c r="Q58" s="12" t="n">
        <f aca="false">'Fleet Pricing'!H58</f>
        <v>4880</v>
      </c>
      <c r="R58" s="41" t="n">
        <v>8</v>
      </c>
      <c r="S58" s="46" t="n">
        <v>1.25</v>
      </c>
      <c r="T58" s="46" t="n">
        <v>0.75</v>
      </c>
      <c r="U58" s="46" t="n">
        <v>1</v>
      </c>
    </row>
    <row r="59" customFormat="false" ht="15" hidden="false" customHeight="true" outlineLevel="0" collapsed="false">
      <c r="A59" s="9" t="n">
        <v>51</v>
      </c>
      <c r="B59" s="47" t="s">
        <v>99</v>
      </c>
      <c r="C59" s="47" t="s">
        <v>2304</v>
      </c>
      <c r="D59" s="47" t="s">
        <v>452</v>
      </c>
      <c r="E59" s="47" t="s">
        <v>451</v>
      </c>
      <c r="F59" s="45" t="s">
        <v>397</v>
      </c>
      <c r="G59" s="9" t="n">
        <v>9</v>
      </c>
      <c r="H59" s="12" t="n">
        <f aca="false">'Engineering Assumptions'!$C$21*'Engineering Assumptions'!$B$5*U59</f>
        <v>3056</v>
      </c>
      <c r="I59" s="12" t="n">
        <f aca="false">'Engineering Assumptions'!$B$8</f>
        <v>650</v>
      </c>
      <c r="J59" s="12" t="n">
        <f aca="false">'Engineering Assumptions'!$D$21*S59*U59</f>
        <v>325</v>
      </c>
      <c r="K59" s="12" t="n">
        <f aca="false">'Engineering Assumptions'!$E$21*T59*U59</f>
        <v>240</v>
      </c>
      <c r="L59" s="13" t="n">
        <f aca="false">H59+I59+J59+K59</f>
        <v>4271</v>
      </c>
      <c r="M59" s="12" t="n">
        <f aca="false">L59*'Engineering Assumptions'!$B$10</f>
        <v>640.65</v>
      </c>
      <c r="N59" s="13" t="n">
        <f aca="false">L59+M59</f>
        <v>4911.65</v>
      </c>
      <c r="O59" s="12" t="n">
        <f aca="false">N59*'Engineering Assumptions'!$B$11</f>
        <v>982.33</v>
      </c>
      <c r="P59" s="183" t="n">
        <f aca="false">MROUND(N59+O59,10)</f>
        <v>5890</v>
      </c>
      <c r="Q59" s="12" t="n">
        <f aca="false">'Fleet Pricing'!H59</f>
        <v>4880</v>
      </c>
      <c r="R59" s="41" t="n">
        <v>9</v>
      </c>
      <c r="S59" s="46" t="n">
        <v>1.25</v>
      </c>
      <c r="T59" s="46" t="n">
        <v>0.75</v>
      </c>
      <c r="U59" s="46" t="n">
        <v>1</v>
      </c>
    </row>
    <row r="60" customFormat="false" ht="15" hidden="false" customHeight="true" outlineLevel="0" collapsed="false">
      <c r="A60" s="9" t="n">
        <v>52</v>
      </c>
      <c r="B60" s="47" t="s">
        <v>99</v>
      </c>
      <c r="C60" s="47" t="s">
        <v>2305</v>
      </c>
      <c r="D60" s="47" t="s">
        <v>454</v>
      </c>
      <c r="E60" s="47" t="s">
        <v>451</v>
      </c>
      <c r="F60" s="45" t="s">
        <v>397</v>
      </c>
      <c r="G60" s="9" t="n">
        <v>9</v>
      </c>
      <c r="H60" s="12" t="n">
        <f aca="false">'Engineering Assumptions'!$C$21*'Engineering Assumptions'!$B$5*U60</f>
        <v>3056</v>
      </c>
      <c r="I60" s="12" t="n">
        <f aca="false">'Engineering Assumptions'!$B$8</f>
        <v>650</v>
      </c>
      <c r="J60" s="12" t="n">
        <f aca="false">'Engineering Assumptions'!$D$21*S60*U60</f>
        <v>325</v>
      </c>
      <c r="K60" s="12" t="n">
        <f aca="false">'Engineering Assumptions'!$E$21*T60*U60</f>
        <v>240</v>
      </c>
      <c r="L60" s="13" t="n">
        <f aca="false">H60+I60+J60+K60</f>
        <v>4271</v>
      </c>
      <c r="M60" s="12" t="n">
        <f aca="false">L60*'Engineering Assumptions'!$B$10</f>
        <v>640.65</v>
      </c>
      <c r="N60" s="13" t="n">
        <f aca="false">L60+M60</f>
        <v>4911.65</v>
      </c>
      <c r="O60" s="12" t="n">
        <f aca="false">N60*'Engineering Assumptions'!$B$11</f>
        <v>982.33</v>
      </c>
      <c r="P60" s="183" t="n">
        <f aca="false">MROUND(N60+O60,10)</f>
        <v>5890</v>
      </c>
      <c r="Q60" s="12" t="n">
        <f aca="false">'Fleet Pricing'!H60</f>
        <v>4880</v>
      </c>
      <c r="R60" s="41" t="n">
        <v>9</v>
      </c>
      <c r="S60" s="46" t="n">
        <v>1.25</v>
      </c>
      <c r="T60" s="46" t="n">
        <v>0.75</v>
      </c>
      <c r="U60" s="46" t="n">
        <v>1</v>
      </c>
    </row>
    <row r="61" customFormat="false" ht="15" hidden="false" customHeight="true" outlineLevel="0" collapsed="false">
      <c r="A61" s="42" t="s">
        <v>456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 customFormat="false" ht="15" hidden="false" customHeight="true" outlineLevel="0" collapsed="false">
      <c r="A62" s="9" t="n">
        <v>53</v>
      </c>
      <c r="B62" s="47" t="s">
        <v>101</v>
      </c>
      <c r="C62" s="47" t="s">
        <v>2306</v>
      </c>
      <c r="D62" s="47" t="s">
        <v>458</v>
      </c>
      <c r="E62" s="47"/>
      <c r="F62" s="45" t="s">
        <v>297</v>
      </c>
      <c r="G62" s="9" t="n">
        <v>5</v>
      </c>
      <c r="H62" s="12" t="n">
        <f aca="false">'Engineering Assumptions'!$C$22*'Engineering Assumptions'!$B$5*U62</f>
        <v>3056</v>
      </c>
      <c r="I62" s="12" t="n">
        <f aca="false">'Engineering Assumptions'!$B$8</f>
        <v>650</v>
      </c>
      <c r="J62" s="12" t="n">
        <f aca="false">'Engineering Assumptions'!$D$22*S62*U62</f>
        <v>230</v>
      </c>
      <c r="K62" s="12" t="n">
        <f aca="false">'Engineering Assumptions'!$E$22*T62*U62</f>
        <v>93</v>
      </c>
      <c r="L62" s="13" t="n">
        <f aca="false">H62+I62+J62+K62</f>
        <v>4029</v>
      </c>
      <c r="M62" s="12" t="n">
        <f aca="false">L62*'Engineering Assumptions'!$B$10</f>
        <v>604.35</v>
      </c>
      <c r="N62" s="13" t="n">
        <f aca="false">L62+M62</f>
        <v>4633.35</v>
      </c>
      <c r="O62" s="12" t="n">
        <f aca="false">N62*'Engineering Assumptions'!$B$11</f>
        <v>926.67</v>
      </c>
      <c r="P62" s="183" t="n">
        <f aca="false">MROUND(N62+O62,10)</f>
        <v>5560</v>
      </c>
      <c r="Q62" s="12" t="n">
        <f aca="false">'Fleet Pricing'!H62</f>
        <v>4600</v>
      </c>
      <c r="R62" s="41" t="n">
        <v>5</v>
      </c>
      <c r="S62" s="46" t="n">
        <v>1</v>
      </c>
      <c r="T62" s="46" t="n">
        <v>0.3</v>
      </c>
      <c r="U62" s="46" t="n">
        <v>1</v>
      </c>
    </row>
    <row r="63" customFormat="false" ht="15" hidden="false" customHeight="true" outlineLevel="0" collapsed="false">
      <c r="A63" s="9" t="n">
        <v>54</v>
      </c>
      <c r="B63" s="47" t="s">
        <v>101</v>
      </c>
      <c r="C63" s="47" t="s">
        <v>2307</v>
      </c>
      <c r="D63" s="47" t="s">
        <v>460</v>
      </c>
      <c r="E63" s="47"/>
      <c r="F63" s="45" t="s">
        <v>297</v>
      </c>
      <c r="G63" s="9" t="n">
        <v>5</v>
      </c>
      <c r="H63" s="12" t="n">
        <f aca="false">'Engineering Assumptions'!$C$22*'Engineering Assumptions'!$B$5*U63</f>
        <v>3056</v>
      </c>
      <c r="I63" s="12" t="n">
        <f aca="false">'Engineering Assumptions'!$B$8</f>
        <v>650</v>
      </c>
      <c r="J63" s="12" t="n">
        <f aca="false">'Engineering Assumptions'!$D$22*S63*U63</f>
        <v>230</v>
      </c>
      <c r="K63" s="12" t="n">
        <f aca="false">'Engineering Assumptions'!$E$22*T63*U63</f>
        <v>93</v>
      </c>
      <c r="L63" s="13" t="n">
        <f aca="false">H63+I63+J63+K63</f>
        <v>4029</v>
      </c>
      <c r="M63" s="12" t="n">
        <f aca="false">L63*'Engineering Assumptions'!$B$10</f>
        <v>604.35</v>
      </c>
      <c r="N63" s="13" t="n">
        <f aca="false">L63+M63</f>
        <v>4633.35</v>
      </c>
      <c r="O63" s="12" t="n">
        <f aca="false">N63*'Engineering Assumptions'!$B$11</f>
        <v>926.67</v>
      </c>
      <c r="P63" s="183" t="n">
        <f aca="false">MROUND(N63+O63,10)</f>
        <v>5560</v>
      </c>
      <c r="Q63" s="12" t="n">
        <f aca="false">'Fleet Pricing'!H63</f>
        <v>4600</v>
      </c>
      <c r="R63" s="41" t="n">
        <v>5</v>
      </c>
      <c r="S63" s="46" t="n">
        <v>1</v>
      </c>
      <c r="T63" s="46" t="n">
        <v>0.3</v>
      </c>
      <c r="U63" s="46" t="n">
        <v>1</v>
      </c>
    </row>
    <row r="64" customFormat="false" ht="15" hidden="false" customHeight="true" outlineLevel="0" collapsed="false">
      <c r="A64" s="9" t="n">
        <v>55</v>
      </c>
      <c r="B64" s="47" t="s">
        <v>101</v>
      </c>
      <c r="C64" s="47" t="s">
        <v>2307</v>
      </c>
      <c r="D64" s="47" t="s">
        <v>462</v>
      </c>
      <c r="E64" s="47"/>
      <c r="F64" s="45" t="s">
        <v>297</v>
      </c>
      <c r="G64" s="9" t="n">
        <v>5</v>
      </c>
      <c r="H64" s="12" t="n">
        <f aca="false">'Engineering Assumptions'!$C$22*'Engineering Assumptions'!$B$5*U64</f>
        <v>3056</v>
      </c>
      <c r="I64" s="12" t="n">
        <f aca="false">'Engineering Assumptions'!$B$8</f>
        <v>650</v>
      </c>
      <c r="J64" s="12" t="n">
        <f aca="false">'Engineering Assumptions'!$D$22*S64*U64</f>
        <v>230</v>
      </c>
      <c r="K64" s="12" t="n">
        <f aca="false">'Engineering Assumptions'!$E$22*T64*U64</f>
        <v>93</v>
      </c>
      <c r="L64" s="13" t="n">
        <f aca="false">H64+I64+J64+K64</f>
        <v>4029</v>
      </c>
      <c r="M64" s="12" t="n">
        <f aca="false">L64*'Engineering Assumptions'!$B$10</f>
        <v>604.35</v>
      </c>
      <c r="N64" s="13" t="n">
        <f aca="false">L64+M64</f>
        <v>4633.35</v>
      </c>
      <c r="O64" s="12" t="n">
        <f aca="false">N64*'Engineering Assumptions'!$B$11</f>
        <v>926.67</v>
      </c>
      <c r="P64" s="183" t="n">
        <f aca="false">MROUND(N64+O64,10)</f>
        <v>5560</v>
      </c>
      <c r="Q64" s="12" t="n">
        <f aca="false">'Fleet Pricing'!H64</f>
        <v>4600</v>
      </c>
      <c r="R64" s="41" t="n">
        <v>5</v>
      </c>
      <c r="S64" s="46" t="n">
        <v>1</v>
      </c>
      <c r="T64" s="46" t="n">
        <v>0.3</v>
      </c>
      <c r="U64" s="46" t="n">
        <v>1</v>
      </c>
    </row>
    <row r="65" customFormat="false" ht="15" hidden="false" customHeight="true" outlineLevel="0" collapsed="false">
      <c r="A65" s="9" t="n">
        <v>56</v>
      </c>
      <c r="B65" s="47" t="s">
        <v>101</v>
      </c>
      <c r="C65" s="47" t="s">
        <v>2308</v>
      </c>
      <c r="D65" s="47" t="s">
        <v>464</v>
      </c>
      <c r="E65" s="47"/>
      <c r="F65" s="45" t="s">
        <v>397</v>
      </c>
      <c r="G65" s="9" t="n">
        <v>9</v>
      </c>
      <c r="H65" s="12" t="n">
        <f aca="false">'Engineering Assumptions'!$C$22*'Engineering Assumptions'!$B$5*U65</f>
        <v>3056</v>
      </c>
      <c r="I65" s="12" t="n">
        <f aca="false">'Engineering Assumptions'!$B$8</f>
        <v>650</v>
      </c>
      <c r="J65" s="12" t="n">
        <f aca="false">'Engineering Assumptions'!$D$22*S65*U65</f>
        <v>287.5</v>
      </c>
      <c r="K65" s="12" t="n">
        <f aca="false">'Engineering Assumptions'!$E$22*T65*U65</f>
        <v>232.5</v>
      </c>
      <c r="L65" s="13" t="n">
        <f aca="false">H65+I65+J65+K65</f>
        <v>4226</v>
      </c>
      <c r="M65" s="12" t="n">
        <f aca="false">L65*'Engineering Assumptions'!$B$10</f>
        <v>633.9</v>
      </c>
      <c r="N65" s="13" t="n">
        <f aca="false">L65+M65</f>
        <v>4859.9</v>
      </c>
      <c r="O65" s="12" t="n">
        <f aca="false">N65*'Engineering Assumptions'!$B$11</f>
        <v>971.98</v>
      </c>
      <c r="P65" s="183" t="n">
        <f aca="false">MROUND(N65+O65,10)</f>
        <v>5830</v>
      </c>
      <c r="Q65" s="12" t="n">
        <f aca="false">'Fleet Pricing'!H65</f>
        <v>4230</v>
      </c>
      <c r="R65" s="41" t="n">
        <v>9</v>
      </c>
      <c r="S65" s="46" t="n">
        <v>1.25</v>
      </c>
      <c r="T65" s="46" t="n">
        <v>0.75</v>
      </c>
      <c r="U65" s="46" t="n">
        <v>1</v>
      </c>
    </row>
    <row r="66" customFormat="false" ht="15" hidden="false" customHeight="true" outlineLevel="0" collapsed="false">
      <c r="A66" s="9" t="n">
        <v>57</v>
      </c>
      <c r="B66" s="47" t="s">
        <v>101</v>
      </c>
      <c r="C66" s="47" t="s">
        <v>2308</v>
      </c>
      <c r="D66" s="47" t="s">
        <v>485</v>
      </c>
      <c r="E66" s="47"/>
      <c r="F66" s="45" t="s">
        <v>397</v>
      </c>
      <c r="G66" s="9" t="n">
        <v>9</v>
      </c>
      <c r="H66" s="12" t="n">
        <f aca="false">'Engineering Assumptions'!$C$22*'Engineering Assumptions'!$B$5*U66</f>
        <v>3056</v>
      </c>
      <c r="I66" s="12" t="n">
        <f aca="false">'Engineering Assumptions'!$B$8</f>
        <v>650</v>
      </c>
      <c r="J66" s="12" t="n">
        <f aca="false">'Engineering Assumptions'!$D$22*S66*U66</f>
        <v>287.5</v>
      </c>
      <c r="K66" s="12" t="n">
        <f aca="false">'Engineering Assumptions'!$E$22*T66*U66</f>
        <v>232.5</v>
      </c>
      <c r="L66" s="13" t="n">
        <f aca="false">H66+I66+J66+K66</f>
        <v>4226</v>
      </c>
      <c r="M66" s="12" t="n">
        <f aca="false">L66*'Engineering Assumptions'!$B$10</f>
        <v>633.9</v>
      </c>
      <c r="N66" s="13" t="n">
        <f aca="false">L66+M66</f>
        <v>4859.9</v>
      </c>
      <c r="O66" s="12" t="n">
        <f aca="false">N66*'Engineering Assumptions'!$B$11</f>
        <v>971.98</v>
      </c>
      <c r="P66" s="183" t="n">
        <f aca="false">MROUND(N66+O66,10)</f>
        <v>5830</v>
      </c>
      <c r="Q66" s="12" t="n">
        <f aca="false">'Fleet Pricing'!H66</f>
        <v>4230</v>
      </c>
      <c r="R66" s="41" t="n">
        <v>9</v>
      </c>
      <c r="S66" s="46" t="n">
        <v>1.25</v>
      </c>
      <c r="T66" s="46" t="n">
        <v>0.75</v>
      </c>
      <c r="U66" s="46" t="n">
        <v>1</v>
      </c>
    </row>
    <row r="67" customFormat="false" ht="15" hidden="false" customHeight="true" outlineLevel="0" collapsed="false">
      <c r="A67" s="9" t="n">
        <v>58</v>
      </c>
      <c r="B67" s="47" t="s">
        <v>101</v>
      </c>
      <c r="C67" s="47" t="s">
        <v>2309</v>
      </c>
      <c r="D67" s="47" t="s">
        <v>469</v>
      </c>
      <c r="E67" s="47"/>
      <c r="F67" s="45" t="s">
        <v>318</v>
      </c>
      <c r="G67" s="9" t="n">
        <v>10</v>
      </c>
      <c r="H67" s="12" t="n">
        <f aca="false">'Engineering Assumptions'!$C$22*'Engineering Assumptions'!$B$5*U67</f>
        <v>3056</v>
      </c>
      <c r="I67" s="12" t="n">
        <f aca="false">'Engineering Assumptions'!$B$8</f>
        <v>650</v>
      </c>
      <c r="J67" s="12" t="n">
        <f aca="false">'Engineering Assumptions'!$D$22*S67*U67</f>
        <v>287.5</v>
      </c>
      <c r="K67" s="12" t="n">
        <f aca="false">'Engineering Assumptions'!$E$22*T67*U67</f>
        <v>232.5</v>
      </c>
      <c r="L67" s="13" t="n">
        <f aca="false">H67+I67+J67+K67</f>
        <v>4226</v>
      </c>
      <c r="M67" s="12" t="n">
        <f aca="false">L67*'Engineering Assumptions'!$B$10</f>
        <v>633.9</v>
      </c>
      <c r="N67" s="13" t="n">
        <f aca="false">L67+M67</f>
        <v>4859.9</v>
      </c>
      <c r="O67" s="12" t="n">
        <f aca="false">N67*'Engineering Assumptions'!$B$11</f>
        <v>971.98</v>
      </c>
      <c r="P67" s="183" t="n">
        <f aca="false">MROUND(N67+O67,10)</f>
        <v>5830</v>
      </c>
      <c r="Q67" s="12" t="n">
        <f aca="false">'Fleet Pricing'!H67</f>
        <v>4230</v>
      </c>
      <c r="R67" s="41" t="n">
        <v>10</v>
      </c>
      <c r="S67" s="46" t="n">
        <v>1.25</v>
      </c>
      <c r="T67" s="46" t="n">
        <v>0.75</v>
      </c>
      <c r="U67" s="46" t="n">
        <v>1</v>
      </c>
    </row>
    <row r="68" customFormat="false" ht="15" hidden="false" customHeight="true" outlineLevel="0" collapsed="false">
      <c r="A68" s="9" t="n">
        <v>59</v>
      </c>
      <c r="B68" s="47" t="s">
        <v>101</v>
      </c>
      <c r="C68" s="47" t="s">
        <v>2310</v>
      </c>
      <c r="D68" s="47" t="s">
        <v>484</v>
      </c>
      <c r="E68" s="47"/>
      <c r="F68" s="45" t="s">
        <v>374</v>
      </c>
      <c r="G68" s="9" t="n">
        <v>12</v>
      </c>
      <c r="H68" s="12" t="n">
        <f aca="false">'Engineering Assumptions'!$C$22*'Engineering Assumptions'!$B$5*U68</f>
        <v>3056</v>
      </c>
      <c r="I68" s="12" t="n">
        <f aca="false">'Engineering Assumptions'!$B$8</f>
        <v>650</v>
      </c>
      <c r="J68" s="12" t="n">
        <f aca="false">'Engineering Assumptions'!$D$22*S68*U68</f>
        <v>356.5</v>
      </c>
      <c r="K68" s="12" t="n">
        <f aca="false">'Engineering Assumptions'!$E$22*T68*U68</f>
        <v>418.5</v>
      </c>
      <c r="L68" s="13" t="n">
        <f aca="false">H68+I68+J68+K68</f>
        <v>4481</v>
      </c>
      <c r="M68" s="12" t="n">
        <f aca="false">L68*'Engineering Assumptions'!$B$10</f>
        <v>672.15</v>
      </c>
      <c r="N68" s="13" t="n">
        <f aca="false">L68+M68</f>
        <v>5153.15</v>
      </c>
      <c r="O68" s="12" t="n">
        <f aca="false">N68*'Engineering Assumptions'!$B$11</f>
        <v>1030.63</v>
      </c>
      <c r="P68" s="183" t="n">
        <f aca="false">MROUND(N68+O68,10)</f>
        <v>6180</v>
      </c>
      <c r="Q68" s="12" t="n">
        <f aca="false">'Fleet Pricing'!H68</f>
        <v>3770</v>
      </c>
      <c r="R68" s="41" t="n">
        <v>12</v>
      </c>
      <c r="S68" s="46" t="n">
        <v>1.55</v>
      </c>
      <c r="T68" s="46" t="n">
        <v>1.35</v>
      </c>
      <c r="U68" s="46" t="n">
        <v>1</v>
      </c>
    </row>
    <row r="69" customFormat="false" ht="15" hidden="false" customHeight="true" outlineLevel="0" collapsed="false">
      <c r="A69" s="9" t="n">
        <v>60</v>
      </c>
      <c r="B69" s="47" t="s">
        <v>101</v>
      </c>
      <c r="C69" s="47" t="s">
        <v>2311</v>
      </c>
      <c r="D69" s="47" t="s">
        <v>474</v>
      </c>
      <c r="E69" s="47"/>
      <c r="F69" s="45" t="s">
        <v>374</v>
      </c>
      <c r="G69" s="9" t="n">
        <v>12</v>
      </c>
      <c r="H69" s="12" t="n">
        <f aca="false">'Engineering Assumptions'!$C$22*'Engineering Assumptions'!$B$5*U69</f>
        <v>3056</v>
      </c>
      <c r="I69" s="12" t="n">
        <f aca="false">'Engineering Assumptions'!$B$8</f>
        <v>650</v>
      </c>
      <c r="J69" s="12" t="n">
        <f aca="false">'Engineering Assumptions'!$D$22*S69*U69</f>
        <v>356.5</v>
      </c>
      <c r="K69" s="12" t="n">
        <f aca="false">'Engineering Assumptions'!$E$22*T69*U69</f>
        <v>418.5</v>
      </c>
      <c r="L69" s="13" t="n">
        <f aca="false">H69+I69+J69+K69</f>
        <v>4481</v>
      </c>
      <c r="M69" s="12" t="n">
        <f aca="false">L69*'Engineering Assumptions'!$B$10</f>
        <v>672.15</v>
      </c>
      <c r="N69" s="13" t="n">
        <f aca="false">L69+M69</f>
        <v>5153.15</v>
      </c>
      <c r="O69" s="12" t="n">
        <f aca="false">N69*'Engineering Assumptions'!$B$11</f>
        <v>1030.63</v>
      </c>
      <c r="P69" s="183" t="n">
        <f aca="false">MROUND(N69+O69,10)</f>
        <v>6180</v>
      </c>
      <c r="Q69" s="12" t="n">
        <f aca="false">'Fleet Pricing'!H69</f>
        <v>3770</v>
      </c>
      <c r="R69" s="41" t="n">
        <v>12</v>
      </c>
      <c r="S69" s="46" t="n">
        <v>1.55</v>
      </c>
      <c r="T69" s="46" t="n">
        <v>1.35</v>
      </c>
      <c r="U69" s="46" t="n">
        <v>1</v>
      </c>
    </row>
    <row r="70" customFormat="false" ht="15" hidden="false" customHeight="true" outlineLevel="0" collapsed="false">
      <c r="A70" s="9" t="n">
        <v>61</v>
      </c>
      <c r="B70" s="47" t="s">
        <v>101</v>
      </c>
      <c r="C70" s="47" t="s">
        <v>2312</v>
      </c>
      <c r="D70" s="47" t="s">
        <v>480</v>
      </c>
      <c r="E70" s="47"/>
      <c r="F70" s="45" t="s">
        <v>380</v>
      </c>
      <c r="G70" s="9" t="n">
        <v>13</v>
      </c>
      <c r="H70" s="12" t="n">
        <f aca="false">'Engineering Assumptions'!$C$22*'Engineering Assumptions'!$B$5*U70</f>
        <v>3056</v>
      </c>
      <c r="I70" s="12" t="n">
        <f aca="false">'Engineering Assumptions'!$B$8</f>
        <v>650</v>
      </c>
      <c r="J70" s="12" t="n">
        <f aca="false">'Engineering Assumptions'!$D$22*S70*U70</f>
        <v>356.5</v>
      </c>
      <c r="K70" s="12" t="n">
        <f aca="false">'Engineering Assumptions'!$E$22*T70*U70</f>
        <v>418.5</v>
      </c>
      <c r="L70" s="13" t="n">
        <f aca="false">H70+I70+J70+K70</f>
        <v>4481</v>
      </c>
      <c r="M70" s="12" t="n">
        <f aca="false">L70*'Engineering Assumptions'!$B$10</f>
        <v>672.15</v>
      </c>
      <c r="N70" s="13" t="n">
        <f aca="false">L70+M70</f>
        <v>5153.15</v>
      </c>
      <c r="O70" s="12" t="n">
        <f aca="false">N70*'Engineering Assumptions'!$B$11</f>
        <v>1030.63</v>
      </c>
      <c r="P70" s="183" t="n">
        <f aca="false">MROUND(N70+O70,10)</f>
        <v>6180</v>
      </c>
      <c r="Q70" s="12" t="n">
        <f aca="false">'Fleet Pricing'!H70</f>
        <v>3770</v>
      </c>
      <c r="R70" s="41" t="n">
        <v>13</v>
      </c>
      <c r="S70" s="46" t="n">
        <v>1.55</v>
      </c>
      <c r="T70" s="46" t="n">
        <v>1.35</v>
      </c>
      <c r="U70" s="46" t="n">
        <v>1</v>
      </c>
    </row>
    <row r="71" customFormat="false" ht="15" hidden="false" customHeight="true" outlineLevel="0" collapsed="false">
      <c r="A71" s="9" t="n">
        <v>62</v>
      </c>
      <c r="B71" s="47" t="s">
        <v>101</v>
      </c>
      <c r="C71" s="47" t="s">
        <v>2313</v>
      </c>
      <c r="D71" s="47" t="s">
        <v>471</v>
      </c>
      <c r="E71" s="47"/>
      <c r="F71" s="45" t="s">
        <v>310</v>
      </c>
      <c r="G71" s="9" t="n">
        <v>14</v>
      </c>
      <c r="H71" s="12" t="n">
        <f aca="false">'Engineering Assumptions'!$C$22*'Engineering Assumptions'!$B$5*U71</f>
        <v>3056</v>
      </c>
      <c r="I71" s="12" t="n">
        <f aca="false">'Engineering Assumptions'!$B$8</f>
        <v>650</v>
      </c>
      <c r="J71" s="12" t="n">
        <f aca="false">'Engineering Assumptions'!$D$22*S71*U71</f>
        <v>356.5</v>
      </c>
      <c r="K71" s="12" t="n">
        <f aca="false">'Engineering Assumptions'!$E$22*T71*U71</f>
        <v>418.5</v>
      </c>
      <c r="L71" s="13" t="n">
        <f aca="false">H71+I71+J71+K71</f>
        <v>4481</v>
      </c>
      <c r="M71" s="12" t="n">
        <f aca="false">L71*'Engineering Assumptions'!$B$10</f>
        <v>672.15</v>
      </c>
      <c r="N71" s="13" t="n">
        <f aca="false">L71+M71</f>
        <v>5153.15</v>
      </c>
      <c r="O71" s="12" t="n">
        <f aca="false">N71*'Engineering Assumptions'!$B$11</f>
        <v>1030.63</v>
      </c>
      <c r="P71" s="183" t="n">
        <f aca="false">MROUND(N71+O71,10)</f>
        <v>6180</v>
      </c>
      <c r="Q71" s="12" t="n">
        <f aca="false">'Fleet Pricing'!H71</f>
        <v>3770</v>
      </c>
      <c r="R71" s="41" t="n">
        <v>14</v>
      </c>
      <c r="S71" s="46" t="n">
        <v>1.55</v>
      </c>
      <c r="T71" s="46" t="n">
        <v>1.35</v>
      </c>
      <c r="U71" s="46" t="n">
        <v>1</v>
      </c>
    </row>
    <row r="72" customFormat="false" ht="15" hidden="false" customHeight="true" outlineLevel="0" collapsed="false">
      <c r="A72" s="9" t="n">
        <v>63</v>
      </c>
      <c r="B72" s="47" t="s">
        <v>101</v>
      </c>
      <c r="C72" s="47" t="s">
        <v>2313</v>
      </c>
      <c r="D72" s="47" t="s">
        <v>479</v>
      </c>
      <c r="E72" s="47"/>
      <c r="F72" s="45" t="s">
        <v>310</v>
      </c>
      <c r="G72" s="9" t="n">
        <v>14</v>
      </c>
      <c r="H72" s="12" t="n">
        <f aca="false">'Engineering Assumptions'!$C$22*'Engineering Assumptions'!$B$5*U72</f>
        <v>3056</v>
      </c>
      <c r="I72" s="12" t="n">
        <f aca="false">'Engineering Assumptions'!$B$8</f>
        <v>650</v>
      </c>
      <c r="J72" s="12" t="n">
        <f aca="false">'Engineering Assumptions'!$D$22*S72*U72</f>
        <v>356.5</v>
      </c>
      <c r="K72" s="12" t="n">
        <f aca="false">'Engineering Assumptions'!$E$22*T72*U72</f>
        <v>418.5</v>
      </c>
      <c r="L72" s="13" t="n">
        <f aca="false">H72+I72+J72+K72</f>
        <v>4481</v>
      </c>
      <c r="M72" s="12" t="n">
        <f aca="false">L72*'Engineering Assumptions'!$B$10</f>
        <v>672.15</v>
      </c>
      <c r="N72" s="13" t="n">
        <f aca="false">L72+M72</f>
        <v>5153.15</v>
      </c>
      <c r="O72" s="12" t="n">
        <f aca="false">N72*'Engineering Assumptions'!$B$11</f>
        <v>1030.63</v>
      </c>
      <c r="P72" s="183" t="n">
        <f aca="false">MROUND(N72+O72,10)</f>
        <v>6180</v>
      </c>
      <c r="Q72" s="12" t="n">
        <f aca="false">'Fleet Pricing'!H72</f>
        <v>3770</v>
      </c>
      <c r="R72" s="41" t="n">
        <v>14</v>
      </c>
      <c r="S72" s="46" t="n">
        <v>1.55</v>
      </c>
      <c r="T72" s="46" t="n">
        <v>1.35</v>
      </c>
      <c r="U72" s="46" t="n">
        <v>1</v>
      </c>
    </row>
    <row r="73" customFormat="false" ht="15" hidden="false" customHeight="true" outlineLevel="0" collapsed="false">
      <c r="A73" s="9" t="n">
        <v>64</v>
      </c>
      <c r="B73" s="47" t="s">
        <v>101</v>
      </c>
      <c r="C73" s="47" t="s">
        <v>2314</v>
      </c>
      <c r="D73" s="47" t="s">
        <v>482</v>
      </c>
      <c r="E73" s="47"/>
      <c r="F73" s="45" t="s">
        <v>389</v>
      </c>
      <c r="G73" s="9" t="n">
        <v>16</v>
      </c>
      <c r="H73" s="12" t="n">
        <f aca="false">'Engineering Assumptions'!$C$22*'Engineering Assumptions'!$B$5*U73</f>
        <v>3056</v>
      </c>
      <c r="I73" s="12" t="n">
        <f aca="false">'Engineering Assumptions'!$B$8</f>
        <v>650</v>
      </c>
      <c r="J73" s="12" t="n">
        <f aca="false">'Engineering Assumptions'!$D$22*S73*U73</f>
        <v>448.5</v>
      </c>
      <c r="K73" s="12" t="n">
        <f aca="false">'Engineering Assumptions'!$E$22*T73*U73</f>
        <v>651</v>
      </c>
      <c r="L73" s="13" t="n">
        <f aca="false">H73+I73+J73+K73</f>
        <v>4805.5</v>
      </c>
      <c r="M73" s="12" t="n">
        <f aca="false">L73*'Engineering Assumptions'!$B$10</f>
        <v>720.825</v>
      </c>
      <c r="N73" s="13" t="n">
        <f aca="false">L73+M73</f>
        <v>5526.325</v>
      </c>
      <c r="O73" s="12" t="n">
        <f aca="false">N73*'Engineering Assumptions'!$B$11</f>
        <v>1105.265</v>
      </c>
      <c r="P73" s="183" t="n">
        <f aca="false">MROUND(N73+O73,10)</f>
        <v>6630</v>
      </c>
      <c r="Q73" s="12" t="n">
        <f aca="false">'Fleet Pricing'!H73</f>
        <v>3770</v>
      </c>
      <c r="R73" s="41" t="n">
        <v>16</v>
      </c>
      <c r="S73" s="46" t="n">
        <v>1.95</v>
      </c>
      <c r="T73" s="46" t="n">
        <v>2.1</v>
      </c>
      <c r="U73" s="46" t="n">
        <v>1</v>
      </c>
    </row>
    <row r="74" customFormat="false" ht="15" hidden="false" customHeight="true" outlineLevel="0" collapsed="false">
      <c r="A74" s="9" t="n">
        <v>65</v>
      </c>
      <c r="B74" s="47" t="s">
        <v>101</v>
      </c>
      <c r="C74" s="47" t="s">
        <v>2313</v>
      </c>
      <c r="D74" s="47" t="s">
        <v>477</v>
      </c>
      <c r="E74" s="47"/>
      <c r="F74" s="45" t="s">
        <v>392</v>
      </c>
      <c r="G74" s="9" t="n">
        <v>17</v>
      </c>
      <c r="H74" s="12" t="n">
        <f aca="false">'Engineering Assumptions'!$C$22*'Engineering Assumptions'!$B$5*U74</f>
        <v>3056</v>
      </c>
      <c r="I74" s="12" t="n">
        <f aca="false">'Engineering Assumptions'!$B$8</f>
        <v>650</v>
      </c>
      <c r="J74" s="12" t="n">
        <f aca="false">'Engineering Assumptions'!$D$22*S74*U74</f>
        <v>448.5</v>
      </c>
      <c r="K74" s="12" t="n">
        <f aca="false">'Engineering Assumptions'!$E$22*T74*U74</f>
        <v>651</v>
      </c>
      <c r="L74" s="13" t="n">
        <f aca="false">H74+I74+J74+K74</f>
        <v>4805.5</v>
      </c>
      <c r="M74" s="12" t="n">
        <f aca="false">L74*'Engineering Assumptions'!$B$10</f>
        <v>720.825</v>
      </c>
      <c r="N74" s="13" t="n">
        <f aca="false">L74+M74</f>
        <v>5526.325</v>
      </c>
      <c r="O74" s="12" t="n">
        <f aca="false">N74*'Engineering Assumptions'!$B$11</f>
        <v>1105.265</v>
      </c>
      <c r="P74" s="183" t="n">
        <f aca="false">MROUND(N74+O74,10)</f>
        <v>6630</v>
      </c>
      <c r="Q74" s="12" t="n">
        <f aca="false">'Fleet Pricing'!H74</f>
        <v>3310</v>
      </c>
      <c r="R74" s="41" t="n">
        <v>17</v>
      </c>
      <c r="S74" s="46" t="n">
        <v>1.95</v>
      </c>
      <c r="T74" s="46" t="n">
        <v>2.1</v>
      </c>
      <c r="U74" s="46" t="n">
        <v>1</v>
      </c>
    </row>
    <row r="75" customFormat="false" ht="15" hidden="false" customHeight="true" outlineLevel="0" collapsed="false">
      <c r="A75" s="9" t="n">
        <v>66</v>
      </c>
      <c r="B75" s="47" t="s">
        <v>101</v>
      </c>
      <c r="C75" s="47" t="s">
        <v>2313</v>
      </c>
      <c r="D75" s="47" t="s">
        <v>491</v>
      </c>
      <c r="E75" s="47"/>
      <c r="F75" s="45" t="s">
        <v>472</v>
      </c>
      <c r="G75" s="9" t="n">
        <v>30</v>
      </c>
      <c r="H75" s="12" t="n">
        <f aca="false">'Engineering Assumptions'!$C$22*'Engineering Assumptions'!$B$5*U75</f>
        <v>3056</v>
      </c>
      <c r="I75" s="12" t="n">
        <f aca="false">'Engineering Assumptions'!$B$8</f>
        <v>650</v>
      </c>
      <c r="J75" s="12" t="n">
        <f aca="false">'Engineering Assumptions'!$D$22*S75*U75</f>
        <v>552</v>
      </c>
      <c r="K75" s="12" t="n">
        <f aca="false">'Engineering Assumptions'!$E$22*T75*U75</f>
        <v>930</v>
      </c>
      <c r="L75" s="13" t="n">
        <f aca="false">H75+I75+J75+K75</f>
        <v>5188</v>
      </c>
      <c r="M75" s="12" t="n">
        <f aca="false">L75*'Engineering Assumptions'!$B$10</f>
        <v>778.2</v>
      </c>
      <c r="N75" s="13" t="n">
        <f aca="false">L75+M75</f>
        <v>5966.2</v>
      </c>
      <c r="O75" s="12" t="n">
        <f aca="false">N75*'Engineering Assumptions'!$B$11</f>
        <v>1193.24</v>
      </c>
      <c r="P75" s="183" t="n">
        <f aca="false">MROUND(N75+O75,10)</f>
        <v>7160</v>
      </c>
      <c r="Q75" s="12" t="n">
        <f aca="false">'Fleet Pricing'!H75</f>
        <v>2670</v>
      </c>
      <c r="R75" s="41" t="n">
        <v>30</v>
      </c>
      <c r="S75" s="46" t="n">
        <v>2.4</v>
      </c>
      <c r="T75" s="46" t="n">
        <v>3</v>
      </c>
      <c r="U75" s="46" t="n">
        <v>1</v>
      </c>
    </row>
    <row r="76" customFormat="false" ht="15" hidden="false" customHeight="true" outlineLevel="0" collapsed="false">
      <c r="A76" s="9" t="n">
        <v>67</v>
      </c>
      <c r="B76" s="47" t="s">
        <v>101</v>
      </c>
      <c r="C76" s="47" t="s">
        <v>2315</v>
      </c>
      <c r="D76" s="47" t="s">
        <v>487</v>
      </c>
      <c r="E76" s="47"/>
      <c r="F76" s="45" t="s">
        <v>472</v>
      </c>
      <c r="G76" s="9" t="n">
        <v>30</v>
      </c>
      <c r="H76" s="12" t="n">
        <f aca="false">'Engineering Assumptions'!$C$22*'Engineering Assumptions'!$B$5*U76</f>
        <v>3056</v>
      </c>
      <c r="I76" s="12" t="n">
        <f aca="false">'Engineering Assumptions'!$B$8</f>
        <v>650</v>
      </c>
      <c r="J76" s="12" t="n">
        <f aca="false">'Engineering Assumptions'!$D$22*S76*U76</f>
        <v>552</v>
      </c>
      <c r="K76" s="12" t="n">
        <f aca="false">'Engineering Assumptions'!$E$22*T76*U76</f>
        <v>930</v>
      </c>
      <c r="L76" s="13" t="n">
        <f aca="false">H76+I76+J76+K76</f>
        <v>5188</v>
      </c>
      <c r="M76" s="12" t="n">
        <f aca="false">L76*'Engineering Assumptions'!$B$10</f>
        <v>778.2</v>
      </c>
      <c r="N76" s="13" t="n">
        <f aca="false">L76+M76</f>
        <v>5966.2</v>
      </c>
      <c r="O76" s="12" t="n">
        <f aca="false">N76*'Engineering Assumptions'!$B$11</f>
        <v>1193.24</v>
      </c>
      <c r="P76" s="183" t="n">
        <f aca="false">MROUND(N76+O76,10)</f>
        <v>7160</v>
      </c>
      <c r="Q76" s="12" t="n">
        <f aca="false">'Fleet Pricing'!H76</f>
        <v>2670</v>
      </c>
      <c r="R76" s="41" t="n">
        <v>30</v>
      </c>
      <c r="S76" s="46" t="n">
        <v>2.4</v>
      </c>
      <c r="T76" s="46" t="n">
        <v>3</v>
      </c>
      <c r="U76" s="46" t="n">
        <v>1</v>
      </c>
    </row>
    <row r="77" customFormat="false" ht="15" hidden="false" customHeight="true" outlineLevel="0" collapsed="false">
      <c r="A77" s="9" t="n">
        <v>68</v>
      </c>
      <c r="B77" s="47" t="s">
        <v>101</v>
      </c>
      <c r="C77" s="47" t="s">
        <v>2307</v>
      </c>
      <c r="D77" s="47" t="s">
        <v>489</v>
      </c>
      <c r="E77" s="47"/>
      <c r="F77" s="45" t="s">
        <v>472</v>
      </c>
      <c r="G77" s="9" t="n">
        <v>30</v>
      </c>
      <c r="H77" s="12" t="n">
        <f aca="false">'Engineering Assumptions'!$C$22*'Engineering Assumptions'!$B$5*U77</f>
        <v>3056</v>
      </c>
      <c r="I77" s="12" t="n">
        <f aca="false">'Engineering Assumptions'!$B$8</f>
        <v>650</v>
      </c>
      <c r="J77" s="12" t="n">
        <f aca="false">'Engineering Assumptions'!$D$22*S77*U77</f>
        <v>552</v>
      </c>
      <c r="K77" s="12" t="n">
        <f aca="false">'Engineering Assumptions'!$E$22*T77*U77</f>
        <v>930</v>
      </c>
      <c r="L77" s="13" t="n">
        <f aca="false">H77+I77+J77+K77</f>
        <v>5188</v>
      </c>
      <c r="M77" s="12" t="n">
        <f aca="false">L77*'Engineering Assumptions'!$B$10</f>
        <v>778.2</v>
      </c>
      <c r="N77" s="13" t="n">
        <f aca="false">L77+M77</f>
        <v>5966.2</v>
      </c>
      <c r="O77" s="12" t="n">
        <f aca="false">N77*'Engineering Assumptions'!$B$11</f>
        <v>1193.24</v>
      </c>
      <c r="P77" s="183" t="n">
        <f aca="false">MROUND(N77+O77,10)</f>
        <v>7160</v>
      </c>
      <c r="Q77" s="12" t="n">
        <f aca="false">'Fleet Pricing'!H77</f>
        <v>2670</v>
      </c>
      <c r="R77" s="41" t="n">
        <v>30</v>
      </c>
      <c r="S77" s="46" t="n">
        <v>2.4</v>
      </c>
      <c r="T77" s="46" t="n">
        <v>3</v>
      </c>
      <c r="U77" s="46" t="n">
        <v>1</v>
      </c>
    </row>
    <row r="78" customFormat="false" ht="15" hidden="false" customHeight="true" outlineLevel="0" collapsed="false">
      <c r="A78" s="9" t="n">
        <v>69</v>
      </c>
      <c r="B78" s="47" t="s">
        <v>101</v>
      </c>
      <c r="C78" s="47" t="s">
        <v>2309</v>
      </c>
      <c r="D78" s="47" t="s">
        <v>490</v>
      </c>
      <c r="E78" s="47"/>
      <c r="F78" s="45" t="s">
        <v>472</v>
      </c>
      <c r="G78" s="9" t="n">
        <v>30</v>
      </c>
      <c r="H78" s="12" t="n">
        <f aca="false">'Engineering Assumptions'!$C$22*'Engineering Assumptions'!$B$5*U78</f>
        <v>3056</v>
      </c>
      <c r="I78" s="12" t="n">
        <f aca="false">'Engineering Assumptions'!$B$8</f>
        <v>650</v>
      </c>
      <c r="J78" s="12" t="n">
        <f aca="false">'Engineering Assumptions'!$D$22*S78*U78</f>
        <v>552</v>
      </c>
      <c r="K78" s="12" t="n">
        <f aca="false">'Engineering Assumptions'!$E$22*T78*U78</f>
        <v>930</v>
      </c>
      <c r="L78" s="13" t="n">
        <f aca="false">H78+I78+J78+K78</f>
        <v>5188</v>
      </c>
      <c r="M78" s="12" t="n">
        <f aca="false">L78*'Engineering Assumptions'!$B$10</f>
        <v>778.2</v>
      </c>
      <c r="N78" s="13" t="n">
        <f aca="false">L78+M78</f>
        <v>5966.2</v>
      </c>
      <c r="O78" s="12" t="n">
        <f aca="false">N78*'Engineering Assumptions'!$B$11</f>
        <v>1193.24</v>
      </c>
      <c r="P78" s="183" t="n">
        <f aca="false">MROUND(N78+O78,10)</f>
        <v>7160</v>
      </c>
      <c r="Q78" s="12" t="n">
        <f aca="false">'Fleet Pricing'!H78</f>
        <v>2670</v>
      </c>
      <c r="R78" s="41" t="n">
        <v>30</v>
      </c>
      <c r="S78" s="46" t="n">
        <v>2.4</v>
      </c>
      <c r="T78" s="46" t="n">
        <v>3</v>
      </c>
      <c r="U78" s="46" t="n">
        <v>1</v>
      </c>
    </row>
    <row r="79" customFormat="false" ht="15" hidden="false" customHeight="true" outlineLevel="0" collapsed="false">
      <c r="A79" s="9" t="n">
        <v>70</v>
      </c>
      <c r="B79" s="47" t="s">
        <v>101</v>
      </c>
      <c r="C79" s="47" t="s">
        <v>2316</v>
      </c>
      <c r="D79" s="47" t="s">
        <v>467</v>
      </c>
      <c r="E79" s="47"/>
      <c r="F79" s="45" t="s">
        <v>472</v>
      </c>
      <c r="G79" s="9" t="n">
        <v>30</v>
      </c>
      <c r="H79" s="12" t="n">
        <f aca="false">'Engineering Assumptions'!$C$22*'Engineering Assumptions'!$B$5*U79</f>
        <v>3056</v>
      </c>
      <c r="I79" s="12" t="n">
        <f aca="false">'Engineering Assumptions'!$B$8</f>
        <v>650</v>
      </c>
      <c r="J79" s="12" t="n">
        <f aca="false">'Engineering Assumptions'!$D$22*S79*U79</f>
        <v>552</v>
      </c>
      <c r="K79" s="12" t="n">
        <f aca="false">'Engineering Assumptions'!$E$22*T79*U79</f>
        <v>930</v>
      </c>
      <c r="L79" s="13" t="n">
        <f aca="false">H79+I79+J79+K79</f>
        <v>5188</v>
      </c>
      <c r="M79" s="12" t="n">
        <f aca="false">L79*'Engineering Assumptions'!$B$10</f>
        <v>778.2</v>
      </c>
      <c r="N79" s="13" t="n">
        <f aca="false">L79+M79</f>
        <v>5966.2</v>
      </c>
      <c r="O79" s="12" t="n">
        <f aca="false">N79*'Engineering Assumptions'!$B$11</f>
        <v>1193.24</v>
      </c>
      <c r="P79" s="183" t="n">
        <f aca="false">MROUND(N79+O79,10)</f>
        <v>7160</v>
      </c>
      <c r="Q79" s="12" t="n">
        <f aca="false">'Fleet Pricing'!H79</f>
        <v>2670</v>
      </c>
      <c r="R79" s="41" t="n">
        <v>30</v>
      </c>
      <c r="S79" s="46" t="n">
        <v>2.4</v>
      </c>
      <c r="T79" s="46" t="n">
        <v>3</v>
      </c>
      <c r="U79" s="46" t="n">
        <v>1</v>
      </c>
    </row>
    <row r="80" customFormat="false" ht="15" hidden="false" customHeight="true" outlineLevel="0" collapsed="false">
      <c r="A80" s="9" t="n">
        <v>71</v>
      </c>
      <c r="B80" s="47" t="s">
        <v>101</v>
      </c>
      <c r="C80" s="47" t="s">
        <v>2317</v>
      </c>
      <c r="D80" s="47" t="s">
        <v>492</v>
      </c>
      <c r="E80" s="47"/>
      <c r="F80" s="45" t="s">
        <v>472</v>
      </c>
      <c r="G80" s="9" t="n">
        <v>30</v>
      </c>
      <c r="H80" s="12" t="n">
        <f aca="false">'Engineering Assumptions'!$C$22*'Engineering Assumptions'!$B$5*U80</f>
        <v>3056</v>
      </c>
      <c r="I80" s="12" t="n">
        <f aca="false">'Engineering Assumptions'!$B$8</f>
        <v>650</v>
      </c>
      <c r="J80" s="12" t="n">
        <f aca="false">'Engineering Assumptions'!$D$22*S80*U80</f>
        <v>552</v>
      </c>
      <c r="K80" s="12" t="n">
        <f aca="false">'Engineering Assumptions'!$E$22*T80*U80</f>
        <v>930</v>
      </c>
      <c r="L80" s="13" t="n">
        <f aca="false">H80+I80+J80+K80</f>
        <v>5188</v>
      </c>
      <c r="M80" s="12" t="n">
        <f aca="false">L80*'Engineering Assumptions'!$B$10</f>
        <v>778.2</v>
      </c>
      <c r="N80" s="13" t="n">
        <f aca="false">L80+M80</f>
        <v>5966.2</v>
      </c>
      <c r="O80" s="12" t="n">
        <f aca="false">N80*'Engineering Assumptions'!$B$11</f>
        <v>1193.24</v>
      </c>
      <c r="P80" s="183" t="n">
        <f aca="false">MROUND(N80+O80,10)</f>
        <v>7160</v>
      </c>
      <c r="Q80" s="12" t="n">
        <f aca="false">'Fleet Pricing'!H80</f>
        <v>2670</v>
      </c>
      <c r="R80" s="41" t="n">
        <v>30</v>
      </c>
      <c r="S80" s="46" t="n">
        <v>2.4</v>
      </c>
      <c r="T80" s="46" t="n">
        <v>3</v>
      </c>
      <c r="U80" s="46" t="n">
        <v>1</v>
      </c>
    </row>
    <row r="81" customFormat="false" ht="15" hidden="false" customHeight="true" outlineLevel="0" collapsed="false">
      <c r="A81" s="42" t="s">
        <v>494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</row>
    <row r="82" customFormat="false" ht="15" hidden="false" customHeight="true" outlineLevel="0" collapsed="false">
      <c r="A82" s="9" t="n">
        <v>72</v>
      </c>
      <c r="B82" s="47" t="s">
        <v>103</v>
      </c>
      <c r="C82" s="47" t="s">
        <v>2313</v>
      </c>
      <c r="D82" s="47" t="s">
        <v>539</v>
      </c>
      <c r="E82" s="47"/>
      <c r="F82" s="45" t="s">
        <v>397</v>
      </c>
      <c r="G82" s="9" t="n">
        <v>9</v>
      </c>
      <c r="H82" s="12" t="n">
        <f aca="false">'Engineering Assumptions'!$C$23*'Engineering Assumptions'!$B$5*U82</f>
        <v>1910</v>
      </c>
      <c r="I82" s="12" t="n">
        <f aca="false">'Engineering Assumptions'!$B$8</f>
        <v>650</v>
      </c>
      <c r="J82" s="12" t="n">
        <f aca="false">'Engineering Assumptions'!$D$23*S82*U82</f>
        <v>225</v>
      </c>
      <c r="K82" s="12" t="n">
        <f aca="false">'Engineering Assumptions'!$E$23*T82*U82</f>
        <v>180</v>
      </c>
      <c r="L82" s="13" t="n">
        <f aca="false">H82+I82+J82+K82</f>
        <v>2965</v>
      </c>
      <c r="M82" s="12" t="n">
        <f aca="false">L82*'Engineering Assumptions'!$B$10</f>
        <v>444.75</v>
      </c>
      <c r="N82" s="13" t="n">
        <f aca="false">L82+M82</f>
        <v>3409.75</v>
      </c>
      <c r="O82" s="12" t="n">
        <f aca="false">N82*'Engineering Assumptions'!$B$11</f>
        <v>681.95</v>
      </c>
      <c r="P82" s="183" t="n">
        <f aca="false">MROUND(N82+O82,10)</f>
        <v>4090</v>
      </c>
      <c r="Q82" s="12" t="n">
        <f aca="false">'Fleet Pricing'!H82</f>
        <v>3590</v>
      </c>
      <c r="R82" s="41" t="n">
        <v>9</v>
      </c>
      <c r="S82" s="46" t="n">
        <v>1.25</v>
      </c>
      <c r="T82" s="46" t="n">
        <v>0.75</v>
      </c>
      <c r="U82" s="46" t="n">
        <v>1</v>
      </c>
    </row>
    <row r="83" customFormat="false" ht="15" hidden="false" customHeight="true" outlineLevel="0" collapsed="false">
      <c r="A83" s="9" t="n">
        <v>73</v>
      </c>
      <c r="B83" s="47" t="s">
        <v>103</v>
      </c>
      <c r="C83" s="47" t="s">
        <v>2318</v>
      </c>
      <c r="D83" s="47" t="s">
        <v>540</v>
      </c>
      <c r="E83" s="47"/>
      <c r="F83" s="45" t="s">
        <v>397</v>
      </c>
      <c r="G83" s="9" t="n">
        <v>9</v>
      </c>
      <c r="H83" s="12" t="n">
        <f aca="false">'Engineering Assumptions'!$C$23*'Engineering Assumptions'!$B$5*U83</f>
        <v>1910</v>
      </c>
      <c r="I83" s="12" t="n">
        <f aca="false">'Engineering Assumptions'!$B$8</f>
        <v>650</v>
      </c>
      <c r="J83" s="12" t="n">
        <f aca="false">'Engineering Assumptions'!$D$23*S83*U83</f>
        <v>225</v>
      </c>
      <c r="K83" s="12" t="n">
        <f aca="false">'Engineering Assumptions'!$E$23*T83*U83</f>
        <v>180</v>
      </c>
      <c r="L83" s="13" t="n">
        <f aca="false">H83+I83+J83+K83</f>
        <v>2965</v>
      </c>
      <c r="M83" s="12" t="n">
        <f aca="false">L83*'Engineering Assumptions'!$B$10</f>
        <v>444.75</v>
      </c>
      <c r="N83" s="13" t="n">
        <f aca="false">L83+M83</f>
        <v>3409.75</v>
      </c>
      <c r="O83" s="12" t="n">
        <f aca="false">N83*'Engineering Assumptions'!$B$11</f>
        <v>681.95</v>
      </c>
      <c r="P83" s="183" t="n">
        <f aca="false">MROUND(N83+O83,10)</f>
        <v>4090</v>
      </c>
      <c r="Q83" s="12" t="n">
        <f aca="false">'Fleet Pricing'!H83</f>
        <v>3590</v>
      </c>
      <c r="R83" s="41" t="n">
        <v>9</v>
      </c>
      <c r="S83" s="46" t="n">
        <v>1.25</v>
      </c>
      <c r="T83" s="46" t="n">
        <v>0.75</v>
      </c>
      <c r="U83" s="46" t="n">
        <v>1</v>
      </c>
    </row>
    <row r="84" customFormat="false" ht="15" hidden="false" customHeight="true" outlineLevel="0" collapsed="false">
      <c r="A84" s="9" t="n">
        <v>74</v>
      </c>
      <c r="B84" s="47" t="s">
        <v>103</v>
      </c>
      <c r="C84" s="47" t="s">
        <v>2313</v>
      </c>
      <c r="D84" s="47" t="s">
        <v>538</v>
      </c>
      <c r="E84" s="47"/>
      <c r="F84" s="45" t="s">
        <v>318</v>
      </c>
      <c r="G84" s="9" t="n">
        <v>10</v>
      </c>
      <c r="H84" s="12" t="n">
        <f aca="false">'Engineering Assumptions'!$C$23*'Engineering Assumptions'!$B$5*U84</f>
        <v>1910</v>
      </c>
      <c r="I84" s="12" t="n">
        <f aca="false">'Engineering Assumptions'!$B$8</f>
        <v>650</v>
      </c>
      <c r="J84" s="12" t="n">
        <f aca="false">'Engineering Assumptions'!$D$23*S84*U84</f>
        <v>225</v>
      </c>
      <c r="K84" s="12" t="n">
        <f aca="false">'Engineering Assumptions'!$E$23*T84*U84</f>
        <v>180</v>
      </c>
      <c r="L84" s="13" t="n">
        <f aca="false">H84+I84+J84+K84</f>
        <v>2965</v>
      </c>
      <c r="M84" s="12" t="n">
        <f aca="false">L84*'Engineering Assumptions'!$B$10</f>
        <v>444.75</v>
      </c>
      <c r="N84" s="13" t="n">
        <f aca="false">L84+M84</f>
        <v>3409.75</v>
      </c>
      <c r="O84" s="12" t="n">
        <f aca="false">N84*'Engineering Assumptions'!$B$11</f>
        <v>681.95</v>
      </c>
      <c r="P84" s="183" t="n">
        <f aca="false">MROUND(N84+O84,10)</f>
        <v>4090</v>
      </c>
      <c r="Q84" s="12" t="n">
        <f aca="false">'Fleet Pricing'!H84</f>
        <v>3590</v>
      </c>
      <c r="R84" s="41" t="n">
        <v>10</v>
      </c>
      <c r="S84" s="46" t="n">
        <v>1.25</v>
      </c>
      <c r="T84" s="46" t="n">
        <v>0.75</v>
      </c>
      <c r="U84" s="46" t="n">
        <v>1</v>
      </c>
    </row>
    <row r="85" customFormat="false" ht="15" hidden="false" customHeight="true" outlineLevel="0" collapsed="false">
      <c r="A85" s="9" t="n">
        <v>75</v>
      </c>
      <c r="B85" s="47" t="s">
        <v>103</v>
      </c>
      <c r="C85" s="47" t="s">
        <v>2319</v>
      </c>
      <c r="D85" s="47" t="s">
        <v>500</v>
      </c>
      <c r="E85" s="47"/>
      <c r="F85" s="45" t="s">
        <v>318</v>
      </c>
      <c r="G85" s="9" t="n">
        <v>10</v>
      </c>
      <c r="H85" s="12" t="n">
        <f aca="false">'Engineering Assumptions'!$C$23*'Engineering Assumptions'!$B$5*U85</f>
        <v>1910</v>
      </c>
      <c r="I85" s="12" t="n">
        <f aca="false">'Engineering Assumptions'!$B$8</f>
        <v>650</v>
      </c>
      <c r="J85" s="12" t="n">
        <f aca="false">'Engineering Assumptions'!$D$23*S85*U85</f>
        <v>225</v>
      </c>
      <c r="K85" s="12" t="n">
        <f aca="false">'Engineering Assumptions'!$E$23*T85*U85</f>
        <v>180</v>
      </c>
      <c r="L85" s="13" t="n">
        <f aca="false">H85+I85+J85+K85</f>
        <v>2965</v>
      </c>
      <c r="M85" s="12" t="n">
        <f aca="false">L85*'Engineering Assumptions'!$B$10</f>
        <v>444.75</v>
      </c>
      <c r="N85" s="13" t="n">
        <f aca="false">L85+M85</f>
        <v>3409.75</v>
      </c>
      <c r="O85" s="12" t="n">
        <f aca="false">N85*'Engineering Assumptions'!$B$11</f>
        <v>681.95</v>
      </c>
      <c r="P85" s="183" t="n">
        <f aca="false">MROUND(N85+O85,10)</f>
        <v>4090</v>
      </c>
      <c r="Q85" s="12" t="n">
        <f aca="false">'Fleet Pricing'!H85</f>
        <v>3590</v>
      </c>
      <c r="R85" s="41" t="n">
        <v>10</v>
      </c>
      <c r="S85" s="46" t="n">
        <v>1.25</v>
      </c>
      <c r="T85" s="46" t="n">
        <v>0.75</v>
      </c>
      <c r="U85" s="46" t="n">
        <v>1</v>
      </c>
    </row>
    <row r="86" customFormat="false" ht="15" hidden="false" customHeight="true" outlineLevel="0" collapsed="false">
      <c r="A86" s="9" t="n">
        <v>76</v>
      </c>
      <c r="B86" s="47" t="s">
        <v>103</v>
      </c>
      <c r="C86" s="47" t="s">
        <v>2320</v>
      </c>
      <c r="D86" s="47" t="s">
        <v>502</v>
      </c>
      <c r="E86" s="47"/>
      <c r="F86" s="45" t="s">
        <v>318</v>
      </c>
      <c r="G86" s="9" t="n">
        <v>10</v>
      </c>
      <c r="H86" s="12" t="n">
        <f aca="false">'Engineering Assumptions'!$C$23*'Engineering Assumptions'!$B$5*U86</f>
        <v>1910</v>
      </c>
      <c r="I86" s="12" t="n">
        <f aca="false">'Engineering Assumptions'!$B$8</f>
        <v>650</v>
      </c>
      <c r="J86" s="12" t="n">
        <f aca="false">'Engineering Assumptions'!$D$23*S86*U86</f>
        <v>225</v>
      </c>
      <c r="K86" s="12" t="n">
        <f aca="false">'Engineering Assumptions'!$E$23*T86*U86</f>
        <v>180</v>
      </c>
      <c r="L86" s="13" t="n">
        <f aca="false">H86+I86+J86+K86</f>
        <v>2965</v>
      </c>
      <c r="M86" s="12" t="n">
        <f aca="false">L86*'Engineering Assumptions'!$B$10</f>
        <v>444.75</v>
      </c>
      <c r="N86" s="13" t="n">
        <f aca="false">L86+M86</f>
        <v>3409.75</v>
      </c>
      <c r="O86" s="12" t="n">
        <f aca="false">N86*'Engineering Assumptions'!$B$11</f>
        <v>681.95</v>
      </c>
      <c r="P86" s="183" t="n">
        <f aca="false">MROUND(N86+O86,10)</f>
        <v>4090</v>
      </c>
      <c r="Q86" s="12" t="n">
        <f aca="false">'Fleet Pricing'!H86</f>
        <v>3590</v>
      </c>
      <c r="R86" s="41" t="n">
        <v>10</v>
      </c>
      <c r="S86" s="46" t="n">
        <v>1.25</v>
      </c>
      <c r="T86" s="46" t="n">
        <v>0.75</v>
      </c>
      <c r="U86" s="46" t="n">
        <v>1</v>
      </c>
    </row>
    <row r="87" customFormat="false" ht="15" hidden="false" customHeight="true" outlineLevel="0" collapsed="false">
      <c r="A87" s="9" t="n">
        <v>77</v>
      </c>
      <c r="B87" s="47" t="s">
        <v>103</v>
      </c>
      <c r="C87" s="47" t="s">
        <v>2321</v>
      </c>
      <c r="D87" s="47" t="s">
        <v>504</v>
      </c>
      <c r="E87" s="47"/>
      <c r="F87" s="45" t="s">
        <v>318</v>
      </c>
      <c r="G87" s="9" t="n">
        <v>10</v>
      </c>
      <c r="H87" s="12" t="n">
        <f aca="false">'Engineering Assumptions'!$C$23*'Engineering Assumptions'!$B$5*U87</f>
        <v>1910</v>
      </c>
      <c r="I87" s="12" t="n">
        <f aca="false">'Engineering Assumptions'!$B$8</f>
        <v>650</v>
      </c>
      <c r="J87" s="12" t="n">
        <f aca="false">'Engineering Assumptions'!$D$23*S87*U87</f>
        <v>225</v>
      </c>
      <c r="K87" s="12" t="n">
        <f aca="false">'Engineering Assumptions'!$E$23*T87*U87</f>
        <v>180</v>
      </c>
      <c r="L87" s="13" t="n">
        <f aca="false">H87+I87+J87+K87</f>
        <v>2965</v>
      </c>
      <c r="M87" s="12" t="n">
        <f aca="false">L87*'Engineering Assumptions'!$B$10</f>
        <v>444.75</v>
      </c>
      <c r="N87" s="13" t="n">
        <f aca="false">L87+M87</f>
        <v>3409.75</v>
      </c>
      <c r="O87" s="12" t="n">
        <f aca="false">N87*'Engineering Assumptions'!$B$11</f>
        <v>681.95</v>
      </c>
      <c r="P87" s="183" t="n">
        <f aca="false">MROUND(N87+O87,10)</f>
        <v>4090</v>
      </c>
      <c r="Q87" s="12" t="n">
        <f aca="false">'Fleet Pricing'!H87</f>
        <v>3590</v>
      </c>
      <c r="R87" s="41" t="n">
        <v>10</v>
      </c>
      <c r="S87" s="46" t="n">
        <v>1.25</v>
      </c>
      <c r="T87" s="46" t="n">
        <v>0.75</v>
      </c>
      <c r="U87" s="46" t="n">
        <v>1</v>
      </c>
    </row>
    <row r="88" customFormat="false" ht="15" hidden="false" customHeight="true" outlineLevel="0" collapsed="false">
      <c r="A88" s="9" t="n">
        <v>78</v>
      </c>
      <c r="B88" s="47" t="s">
        <v>103</v>
      </c>
      <c r="C88" s="47" t="s">
        <v>2322</v>
      </c>
      <c r="D88" s="47" t="s">
        <v>507</v>
      </c>
      <c r="E88" s="47"/>
      <c r="F88" s="45" t="s">
        <v>318</v>
      </c>
      <c r="G88" s="9" t="n">
        <v>10</v>
      </c>
      <c r="H88" s="12" t="n">
        <f aca="false">'Engineering Assumptions'!$C$23*'Engineering Assumptions'!$B$5*U88</f>
        <v>1910</v>
      </c>
      <c r="I88" s="12" t="n">
        <f aca="false">'Engineering Assumptions'!$B$8</f>
        <v>650</v>
      </c>
      <c r="J88" s="12" t="n">
        <f aca="false">'Engineering Assumptions'!$D$23*S88*U88</f>
        <v>225</v>
      </c>
      <c r="K88" s="12" t="n">
        <f aca="false">'Engineering Assumptions'!$E$23*T88*U88</f>
        <v>180</v>
      </c>
      <c r="L88" s="13" t="n">
        <f aca="false">H88+I88+J88+K88</f>
        <v>2965</v>
      </c>
      <c r="M88" s="12" t="n">
        <f aca="false">L88*'Engineering Assumptions'!$B$10</f>
        <v>444.75</v>
      </c>
      <c r="N88" s="13" t="n">
        <f aca="false">L88+M88</f>
        <v>3409.75</v>
      </c>
      <c r="O88" s="12" t="n">
        <f aca="false">N88*'Engineering Assumptions'!$B$11</f>
        <v>681.95</v>
      </c>
      <c r="P88" s="183" t="n">
        <f aca="false">MROUND(N88+O88,10)</f>
        <v>4090</v>
      </c>
      <c r="Q88" s="12" t="n">
        <f aca="false">'Fleet Pricing'!H88</f>
        <v>3590</v>
      </c>
      <c r="R88" s="41" t="n">
        <v>10</v>
      </c>
      <c r="S88" s="46" t="n">
        <v>1.25</v>
      </c>
      <c r="T88" s="46" t="n">
        <v>0.75</v>
      </c>
      <c r="U88" s="46" t="n">
        <v>1</v>
      </c>
    </row>
    <row r="89" customFormat="false" ht="15" hidden="false" customHeight="true" outlineLevel="0" collapsed="false">
      <c r="A89" s="9" t="n">
        <v>79</v>
      </c>
      <c r="B89" s="47" t="s">
        <v>103</v>
      </c>
      <c r="C89" s="47" t="s">
        <v>2323</v>
      </c>
      <c r="D89" s="47" t="s">
        <v>509</v>
      </c>
      <c r="E89" s="47"/>
      <c r="F89" s="45" t="s">
        <v>318</v>
      </c>
      <c r="G89" s="9" t="n">
        <v>10</v>
      </c>
      <c r="H89" s="12" t="n">
        <f aca="false">'Engineering Assumptions'!$C$23*'Engineering Assumptions'!$B$5*U89</f>
        <v>1910</v>
      </c>
      <c r="I89" s="12" t="n">
        <f aca="false">'Engineering Assumptions'!$B$8</f>
        <v>650</v>
      </c>
      <c r="J89" s="12" t="n">
        <f aca="false">'Engineering Assumptions'!$D$23*S89*U89</f>
        <v>225</v>
      </c>
      <c r="K89" s="12" t="n">
        <f aca="false">'Engineering Assumptions'!$E$23*T89*U89</f>
        <v>180</v>
      </c>
      <c r="L89" s="13" t="n">
        <f aca="false">H89+I89+J89+K89</f>
        <v>2965</v>
      </c>
      <c r="M89" s="12" t="n">
        <f aca="false">L89*'Engineering Assumptions'!$B$10</f>
        <v>444.75</v>
      </c>
      <c r="N89" s="13" t="n">
        <f aca="false">L89+M89</f>
        <v>3409.75</v>
      </c>
      <c r="O89" s="12" t="n">
        <f aca="false">N89*'Engineering Assumptions'!$B$11</f>
        <v>681.95</v>
      </c>
      <c r="P89" s="183" t="n">
        <f aca="false">MROUND(N89+O89,10)</f>
        <v>4090</v>
      </c>
      <c r="Q89" s="12" t="n">
        <f aca="false">'Fleet Pricing'!H89</f>
        <v>3590</v>
      </c>
      <c r="R89" s="41" t="n">
        <v>10</v>
      </c>
      <c r="S89" s="46" t="n">
        <v>1.25</v>
      </c>
      <c r="T89" s="46" t="n">
        <v>0.75</v>
      </c>
      <c r="U89" s="46" t="n">
        <v>1</v>
      </c>
    </row>
    <row r="90" customFormat="false" ht="15" hidden="false" customHeight="true" outlineLevel="0" collapsed="false">
      <c r="A90" s="9" t="n">
        <v>80</v>
      </c>
      <c r="B90" s="47" t="s">
        <v>103</v>
      </c>
      <c r="C90" s="47" t="s">
        <v>2323</v>
      </c>
      <c r="D90" s="47" t="s">
        <v>543</v>
      </c>
      <c r="E90" s="47"/>
      <c r="F90" s="45" t="s">
        <v>318</v>
      </c>
      <c r="G90" s="9" t="n">
        <v>10</v>
      </c>
      <c r="H90" s="12" t="n">
        <f aca="false">'Engineering Assumptions'!$C$23*'Engineering Assumptions'!$B$5*U90</f>
        <v>1910</v>
      </c>
      <c r="I90" s="12" t="n">
        <f aca="false">'Engineering Assumptions'!$B$8</f>
        <v>650</v>
      </c>
      <c r="J90" s="12" t="n">
        <f aca="false">'Engineering Assumptions'!$D$23*S90*U90</f>
        <v>225</v>
      </c>
      <c r="K90" s="12" t="n">
        <f aca="false">'Engineering Assumptions'!$E$23*T90*U90</f>
        <v>180</v>
      </c>
      <c r="L90" s="13" t="n">
        <f aca="false">H90+I90+J90+K90</f>
        <v>2965</v>
      </c>
      <c r="M90" s="12" t="n">
        <f aca="false">L90*'Engineering Assumptions'!$B$10</f>
        <v>444.75</v>
      </c>
      <c r="N90" s="13" t="n">
        <f aca="false">L90+M90</f>
        <v>3409.75</v>
      </c>
      <c r="O90" s="12" t="n">
        <f aca="false">N90*'Engineering Assumptions'!$B$11</f>
        <v>681.95</v>
      </c>
      <c r="P90" s="183" t="n">
        <f aca="false">MROUND(N90+O90,10)</f>
        <v>4090</v>
      </c>
      <c r="Q90" s="12" t="n">
        <f aca="false">'Fleet Pricing'!H90</f>
        <v>3590</v>
      </c>
      <c r="R90" s="41" t="n">
        <v>10</v>
      </c>
      <c r="S90" s="46" t="n">
        <v>1.25</v>
      </c>
      <c r="T90" s="46" t="n">
        <v>0.75</v>
      </c>
      <c r="U90" s="46" t="n">
        <v>1</v>
      </c>
    </row>
    <row r="91" customFormat="false" ht="15" hidden="false" customHeight="true" outlineLevel="0" collapsed="false">
      <c r="A91" s="9" t="n">
        <v>81</v>
      </c>
      <c r="B91" s="47" t="s">
        <v>103</v>
      </c>
      <c r="C91" s="47" t="s">
        <v>2313</v>
      </c>
      <c r="D91" s="47" t="s">
        <v>517</v>
      </c>
      <c r="E91" s="47"/>
      <c r="F91" s="45" t="s">
        <v>315</v>
      </c>
      <c r="G91" s="9" t="n">
        <v>11</v>
      </c>
      <c r="H91" s="12" t="n">
        <f aca="false">'Engineering Assumptions'!$C$23*'Engineering Assumptions'!$B$5*U91</f>
        <v>1910</v>
      </c>
      <c r="I91" s="12" t="n">
        <f aca="false">'Engineering Assumptions'!$B$8</f>
        <v>650</v>
      </c>
      <c r="J91" s="12" t="n">
        <f aca="false">'Engineering Assumptions'!$D$23*S91*U91</f>
        <v>279</v>
      </c>
      <c r="K91" s="12" t="n">
        <f aca="false">'Engineering Assumptions'!$E$23*T91*U91</f>
        <v>324</v>
      </c>
      <c r="L91" s="13" t="n">
        <f aca="false">H91+I91+J91+K91</f>
        <v>3163</v>
      </c>
      <c r="M91" s="12" t="n">
        <f aca="false">L91*'Engineering Assumptions'!$B$10</f>
        <v>474.45</v>
      </c>
      <c r="N91" s="13" t="n">
        <f aca="false">L91+M91</f>
        <v>3637.45</v>
      </c>
      <c r="O91" s="12" t="n">
        <f aca="false">N91*'Engineering Assumptions'!$B$11</f>
        <v>727.49</v>
      </c>
      <c r="P91" s="183" t="n">
        <f aca="false">MROUND(N91+O91,10)</f>
        <v>4360</v>
      </c>
      <c r="Q91" s="12" t="n">
        <f aca="false">'Fleet Pricing'!H91</f>
        <v>3590</v>
      </c>
      <c r="R91" s="41" t="n">
        <v>11</v>
      </c>
      <c r="S91" s="46" t="n">
        <v>1.55</v>
      </c>
      <c r="T91" s="46" t="n">
        <v>1.35</v>
      </c>
      <c r="U91" s="46" t="n">
        <v>1</v>
      </c>
    </row>
    <row r="92" customFormat="false" ht="15" hidden="false" customHeight="true" outlineLevel="0" collapsed="false">
      <c r="A92" s="9" t="n">
        <v>82</v>
      </c>
      <c r="B92" s="47" t="s">
        <v>103</v>
      </c>
      <c r="C92" s="47" t="s">
        <v>2321</v>
      </c>
      <c r="D92" s="47" t="s">
        <v>512</v>
      </c>
      <c r="E92" s="47"/>
      <c r="F92" s="45" t="s">
        <v>315</v>
      </c>
      <c r="G92" s="9" t="n">
        <v>11</v>
      </c>
      <c r="H92" s="12" t="n">
        <f aca="false">'Engineering Assumptions'!$C$23*'Engineering Assumptions'!$B$5*U92</f>
        <v>1910</v>
      </c>
      <c r="I92" s="12" t="n">
        <f aca="false">'Engineering Assumptions'!$B$8</f>
        <v>650</v>
      </c>
      <c r="J92" s="12" t="n">
        <f aca="false">'Engineering Assumptions'!$D$23*S92*U92</f>
        <v>279</v>
      </c>
      <c r="K92" s="12" t="n">
        <f aca="false">'Engineering Assumptions'!$E$23*T92*U92</f>
        <v>324</v>
      </c>
      <c r="L92" s="13" t="n">
        <f aca="false">H92+I92+J92+K92</f>
        <v>3163</v>
      </c>
      <c r="M92" s="12" t="n">
        <f aca="false">L92*'Engineering Assumptions'!$B$10</f>
        <v>474.45</v>
      </c>
      <c r="N92" s="13" t="n">
        <f aca="false">L92+M92</f>
        <v>3637.45</v>
      </c>
      <c r="O92" s="12" t="n">
        <f aca="false">N92*'Engineering Assumptions'!$B$11</f>
        <v>727.49</v>
      </c>
      <c r="P92" s="183" t="n">
        <f aca="false">MROUND(N92+O92,10)</f>
        <v>4360</v>
      </c>
      <c r="Q92" s="12" t="n">
        <f aca="false">'Fleet Pricing'!H92</f>
        <v>3590</v>
      </c>
      <c r="R92" s="41" t="n">
        <v>11</v>
      </c>
      <c r="S92" s="46" t="n">
        <v>1.55</v>
      </c>
      <c r="T92" s="46" t="n">
        <v>1.35</v>
      </c>
      <c r="U92" s="46" t="n">
        <v>1</v>
      </c>
    </row>
    <row r="93" customFormat="false" ht="15" hidden="false" customHeight="true" outlineLevel="0" collapsed="false">
      <c r="A93" s="9" t="n">
        <v>83</v>
      </c>
      <c r="B93" s="47" t="s">
        <v>103</v>
      </c>
      <c r="C93" s="47" t="s">
        <v>2322</v>
      </c>
      <c r="D93" s="47" t="s">
        <v>513</v>
      </c>
      <c r="E93" s="47"/>
      <c r="F93" s="45" t="s">
        <v>315</v>
      </c>
      <c r="G93" s="9" t="n">
        <v>11</v>
      </c>
      <c r="H93" s="12" t="n">
        <f aca="false">'Engineering Assumptions'!$C$23*'Engineering Assumptions'!$B$5*U93</f>
        <v>1910</v>
      </c>
      <c r="I93" s="12" t="n">
        <f aca="false">'Engineering Assumptions'!$B$8</f>
        <v>650</v>
      </c>
      <c r="J93" s="12" t="n">
        <f aca="false">'Engineering Assumptions'!$D$23*S93*U93</f>
        <v>279</v>
      </c>
      <c r="K93" s="12" t="n">
        <f aca="false">'Engineering Assumptions'!$E$23*T93*U93</f>
        <v>324</v>
      </c>
      <c r="L93" s="13" t="n">
        <f aca="false">H93+I93+J93+K93</f>
        <v>3163</v>
      </c>
      <c r="M93" s="12" t="n">
        <f aca="false">L93*'Engineering Assumptions'!$B$10</f>
        <v>474.45</v>
      </c>
      <c r="N93" s="13" t="n">
        <f aca="false">L93+M93</f>
        <v>3637.45</v>
      </c>
      <c r="O93" s="12" t="n">
        <f aca="false">N93*'Engineering Assumptions'!$B$11</f>
        <v>727.49</v>
      </c>
      <c r="P93" s="183" t="n">
        <f aca="false">MROUND(N93+O93,10)</f>
        <v>4360</v>
      </c>
      <c r="Q93" s="12" t="n">
        <f aca="false">'Fleet Pricing'!H93</f>
        <v>3590</v>
      </c>
      <c r="R93" s="41" t="n">
        <v>11</v>
      </c>
      <c r="S93" s="46" t="n">
        <v>1.55</v>
      </c>
      <c r="T93" s="46" t="n">
        <v>1.35</v>
      </c>
      <c r="U93" s="46" t="n">
        <v>1</v>
      </c>
    </row>
    <row r="94" customFormat="false" ht="15" hidden="false" customHeight="true" outlineLevel="0" collapsed="false">
      <c r="A94" s="9" t="n">
        <v>84</v>
      </c>
      <c r="B94" s="47" t="s">
        <v>103</v>
      </c>
      <c r="C94" s="47" t="s">
        <v>2321</v>
      </c>
      <c r="D94" s="47" t="s">
        <v>514</v>
      </c>
      <c r="E94" s="47"/>
      <c r="F94" s="45" t="s">
        <v>374</v>
      </c>
      <c r="G94" s="9" t="n">
        <v>12</v>
      </c>
      <c r="H94" s="12" t="n">
        <f aca="false">'Engineering Assumptions'!$C$23*'Engineering Assumptions'!$B$5*U94</f>
        <v>1910</v>
      </c>
      <c r="I94" s="12" t="n">
        <f aca="false">'Engineering Assumptions'!$B$8</f>
        <v>650</v>
      </c>
      <c r="J94" s="12" t="n">
        <f aca="false">'Engineering Assumptions'!$D$23*S94*U94</f>
        <v>279</v>
      </c>
      <c r="K94" s="12" t="n">
        <f aca="false">'Engineering Assumptions'!$E$23*T94*U94</f>
        <v>324</v>
      </c>
      <c r="L94" s="13" t="n">
        <f aca="false">H94+I94+J94+K94</f>
        <v>3163</v>
      </c>
      <c r="M94" s="12" t="n">
        <f aca="false">L94*'Engineering Assumptions'!$B$10</f>
        <v>474.45</v>
      </c>
      <c r="N94" s="13" t="n">
        <f aca="false">L94+M94</f>
        <v>3637.45</v>
      </c>
      <c r="O94" s="12" t="n">
        <f aca="false">N94*'Engineering Assumptions'!$B$11</f>
        <v>727.49</v>
      </c>
      <c r="P94" s="183" t="n">
        <f aca="false">MROUND(N94+O94,10)</f>
        <v>4360</v>
      </c>
      <c r="Q94" s="12" t="n">
        <f aca="false">'Fleet Pricing'!H94</f>
        <v>3200</v>
      </c>
      <c r="R94" s="41" t="n">
        <v>12</v>
      </c>
      <c r="S94" s="46" t="n">
        <v>1.55</v>
      </c>
      <c r="T94" s="46" t="n">
        <v>1.35</v>
      </c>
      <c r="U94" s="46" t="n">
        <v>1</v>
      </c>
    </row>
    <row r="95" customFormat="false" ht="15" hidden="false" customHeight="true" outlineLevel="0" collapsed="false">
      <c r="A95" s="9" t="n">
        <v>85</v>
      </c>
      <c r="B95" s="47" t="s">
        <v>103</v>
      </c>
      <c r="C95" s="47" t="s">
        <v>2322</v>
      </c>
      <c r="D95" s="47" t="s">
        <v>515</v>
      </c>
      <c r="E95" s="47"/>
      <c r="F95" s="45" t="s">
        <v>374</v>
      </c>
      <c r="G95" s="9" t="n">
        <v>12</v>
      </c>
      <c r="H95" s="12" t="n">
        <f aca="false">'Engineering Assumptions'!$C$23*'Engineering Assumptions'!$B$5*U95</f>
        <v>1910</v>
      </c>
      <c r="I95" s="12" t="n">
        <f aca="false">'Engineering Assumptions'!$B$8</f>
        <v>650</v>
      </c>
      <c r="J95" s="12" t="n">
        <f aca="false">'Engineering Assumptions'!$D$23*S95*U95</f>
        <v>279</v>
      </c>
      <c r="K95" s="12" t="n">
        <f aca="false">'Engineering Assumptions'!$E$23*T95*U95</f>
        <v>324</v>
      </c>
      <c r="L95" s="13" t="n">
        <f aca="false">H95+I95+J95+K95</f>
        <v>3163</v>
      </c>
      <c r="M95" s="12" t="n">
        <f aca="false">L95*'Engineering Assumptions'!$B$10</f>
        <v>474.45</v>
      </c>
      <c r="N95" s="13" t="n">
        <f aca="false">L95+M95</f>
        <v>3637.45</v>
      </c>
      <c r="O95" s="12" t="n">
        <f aca="false">N95*'Engineering Assumptions'!$B$11</f>
        <v>727.49</v>
      </c>
      <c r="P95" s="183" t="n">
        <f aca="false">MROUND(N95+O95,10)</f>
        <v>4360</v>
      </c>
      <c r="Q95" s="12" t="n">
        <f aca="false">'Fleet Pricing'!H95</f>
        <v>3200</v>
      </c>
      <c r="R95" s="41" t="n">
        <v>12</v>
      </c>
      <c r="S95" s="46" t="n">
        <v>1.55</v>
      </c>
      <c r="T95" s="46" t="n">
        <v>1.35</v>
      </c>
      <c r="U95" s="46" t="n">
        <v>1</v>
      </c>
    </row>
    <row r="96" customFormat="false" ht="15" hidden="false" customHeight="true" outlineLevel="0" collapsed="false">
      <c r="A96" s="9" t="n">
        <v>86</v>
      </c>
      <c r="B96" s="47" t="s">
        <v>103</v>
      </c>
      <c r="C96" s="47" t="s">
        <v>2313</v>
      </c>
      <c r="D96" s="47" t="s">
        <v>498</v>
      </c>
      <c r="E96" s="47"/>
      <c r="F96" s="45" t="s">
        <v>380</v>
      </c>
      <c r="G96" s="9" t="n">
        <v>13</v>
      </c>
      <c r="H96" s="12" t="n">
        <f aca="false">'Engineering Assumptions'!$C$23*'Engineering Assumptions'!$B$5*U96</f>
        <v>1910</v>
      </c>
      <c r="I96" s="12" t="n">
        <f aca="false">'Engineering Assumptions'!$B$8</f>
        <v>650</v>
      </c>
      <c r="J96" s="12" t="n">
        <f aca="false">'Engineering Assumptions'!$D$23*S96*U96</f>
        <v>279</v>
      </c>
      <c r="K96" s="12" t="n">
        <f aca="false">'Engineering Assumptions'!$E$23*T96*U96</f>
        <v>324</v>
      </c>
      <c r="L96" s="13" t="n">
        <f aca="false">H96+I96+J96+K96</f>
        <v>3163</v>
      </c>
      <c r="M96" s="12" t="n">
        <f aca="false">L96*'Engineering Assumptions'!$B$10</f>
        <v>474.45</v>
      </c>
      <c r="N96" s="13" t="n">
        <f aca="false">L96+M96</f>
        <v>3637.45</v>
      </c>
      <c r="O96" s="12" t="n">
        <f aca="false">N96*'Engineering Assumptions'!$B$11</f>
        <v>727.49</v>
      </c>
      <c r="P96" s="183" t="n">
        <f aca="false">MROUND(N96+O96,10)</f>
        <v>4360</v>
      </c>
      <c r="Q96" s="12" t="n">
        <f aca="false">'Fleet Pricing'!H96</f>
        <v>3200</v>
      </c>
      <c r="R96" s="41" t="n">
        <v>13</v>
      </c>
      <c r="S96" s="46" t="n">
        <v>1.55</v>
      </c>
      <c r="T96" s="46" t="n">
        <v>1.35</v>
      </c>
      <c r="U96" s="46" t="n">
        <v>1</v>
      </c>
    </row>
    <row r="97" customFormat="false" ht="15" hidden="false" customHeight="true" outlineLevel="0" collapsed="false">
      <c r="A97" s="9" t="n">
        <v>87</v>
      </c>
      <c r="B97" s="47" t="s">
        <v>103</v>
      </c>
      <c r="C97" s="47" t="s">
        <v>2324</v>
      </c>
      <c r="D97" s="47" t="s">
        <v>532</v>
      </c>
      <c r="E97" s="47"/>
      <c r="F97" s="45" t="s">
        <v>380</v>
      </c>
      <c r="G97" s="9" t="n">
        <v>13</v>
      </c>
      <c r="H97" s="12" t="n">
        <f aca="false">'Engineering Assumptions'!$C$23*'Engineering Assumptions'!$B$5*U97</f>
        <v>1910</v>
      </c>
      <c r="I97" s="12" t="n">
        <f aca="false">'Engineering Assumptions'!$B$8</f>
        <v>650</v>
      </c>
      <c r="J97" s="12" t="n">
        <f aca="false">'Engineering Assumptions'!$D$23*S97*U97</f>
        <v>279</v>
      </c>
      <c r="K97" s="12" t="n">
        <f aca="false">'Engineering Assumptions'!$E$23*T97*U97</f>
        <v>324</v>
      </c>
      <c r="L97" s="13" t="n">
        <f aca="false">H97+I97+J97+K97</f>
        <v>3163</v>
      </c>
      <c r="M97" s="12" t="n">
        <f aca="false">L97*'Engineering Assumptions'!$B$10</f>
        <v>474.45</v>
      </c>
      <c r="N97" s="13" t="n">
        <f aca="false">L97+M97</f>
        <v>3637.45</v>
      </c>
      <c r="O97" s="12" t="n">
        <f aca="false">N97*'Engineering Assumptions'!$B$11</f>
        <v>727.49</v>
      </c>
      <c r="P97" s="183" t="n">
        <f aca="false">MROUND(N97+O97,10)</f>
        <v>4360</v>
      </c>
      <c r="Q97" s="12" t="n">
        <f aca="false">'Fleet Pricing'!H97</f>
        <v>3200</v>
      </c>
      <c r="R97" s="41" t="n">
        <v>13</v>
      </c>
      <c r="S97" s="46" t="n">
        <v>1.55</v>
      </c>
      <c r="T97" s="46" t="n">
        <v>1.35</v>
      </c>
      <c r="U97" s="46" t="n">
        <v>1</v>
      </c>
    </row>
    <row r="98" customFormat="false" ht="15" hidden="false" customHeight="true" outlineLevel="0" collapsed="false">
      <c r="A98" s="9" t="n">
        <v>88</v>
      </c>
      <c r="B98" s="47" t="s">
        <v>103</v>
      </c>
      <c r="C98" s="47" t="s">
        <v>2325</v>
      </c>
      <c r="D98" s="47" t="s">
        <v>518</v>
      </c>
      <c r="E98" s="47"/>
      <c r="F98" s="45" t="s">
        <v>380</v>
      </c>
      <c r="G98" s="9" t="n">
        <v>13</v>
      </c>
      <c r="H98" s="12" t="n">
        <f aca="false">'Engineering Assumptions'!$C$23*'Engineering Assumptions'!$B$5*U98</f>
        <v>1910</v>
      </c>
      <c r="I98" s="12" t="n">
        <f aca="false">'Engineering Assumptions'!$B$8</f>
        <v>650</v>
      </c>
      <c r="J98" s="12" t="n">
        <f aca="false">'Engineering Assumptions'!$D$23*S98*U98</f>
        <v>279</v>
      </c>
      <c r="K98" s="12" t="n">
        <f aca="false">'Engineering Assumptions'!$E$23*T98*U98</f>
        <v>324</v>
      </c>
      <c r="L98" s="13" t="n">
        <f aca="false">H98+I98+J98+K98</f>
        <v>3163</v>
      </c>
      <c r="M98" s="12" t="n">
        <f aca="false">L98*'Engineering Assumptions'!$B$10</f>
        <v>474.45</v>
      </c>
      <c r="N98" s="13" t="n">
        <f aca="false">L98+M98</f>
        <v>3637.45</v>
      </c>
      <c r="O98" s="12" t="n">
        <f aca="false">N98*'Engineering Assumptions'!$B$11</f>
        <v>727.49</v>
      </c>
      <c r="P98" s="183" t="n">
        <f aca="false">MROUND(N98+O98,10)</f>
        <v>4360</v>
      </c>
      <c r="Q98" s="12" t="n">
        <f aca="false">'Fleet Pricing'!H98</f>
        <v>3200</v>
      </c>
      <c r="R98" s="41" t="n">
        <v>13</v>
      </c>
      <c r="S98" s="46" t="n">
        <v>1.55</v>
      </c>
      <c r="T98" s="46" t="n">
        <v>1.35</v>
      </c>
      <c r="U98" s="46" t="n">
        <v>1</v>
      </c>
    </row>
    <row r="99" customFormat="false" ht="15" hidden="false" customHeight="true" outlineLevel="0" collapsed="false">
      <c r="A99" s="9" t="n">
        <v>89</v>
      </c>
      <c r="B99" s="47" t="s">
        <v>103</v>
      </c>
      <c r="C99" s="47" t="s">
        <v>2325</v>
      </c>
      <c r="D99" s="47" t="s">
        <v>533</v>
      </c>
      <c r="E99" s="47"/>
      <c r="F99" s="45" t="s">
        <v>380</v>
      </c>
      <c r="G99" s="9" t="n">
        <v>13</v>
      </c>
      <c r="H99" s="12" t="n">
        <f aca="false">'Engineering Assumptions'!$C$23*'Engineering Assumptions'!$B$5*U99</f>
        <v>1910</v>
      </c>
      <c r="I99" s="12" t="n">
        <f aca="false">'Engineering Assumptions'!$B$8</f>
        <v>650</v>
      </c>
      <c r="J99" s="12" t="n">
        <f aca="false">'Engineering Assumptions'!$D$23*S99*U99</f>
        <v>279</v>
      </c>
      <c r="K99" s="12" t="n">
        <f aca="false">'Engineering Assumptions'!$E$23*T99*U99</f>
        <v>324</v>
      </c>
      <c r="L99" s="13" t="n">
        <f aca="false">H99+I99+J99+K99</f>
        <v>3163</v>
      </c>
      <c r="M99" s="12" t="n">
        <f aca="false">L99*'Engineering Assumptions'!$B$10</f>
        <v>474.45</v>
      </c>
      <c r="N99" s="13" t="n">
        <f aca="false">L99+M99</f>
        <v>3637.45</v>
      </c>
      <c r="O99" s="12" t="n">
        <f aca="false">N99*'Engineering Assumptions'!$B$11</f>
        <v>727.49</v>
      </c>
      <c r="P99" s="183" t="n">
        <f aca="false">MROUND(N99+O99,10)</f>
        <v>4360</v>
      </c>
      <c r="Q99" s="12" t="n">
        <f aca="false">'Fleet Pricing'!H99</f>
        <v>3200</v>
      </c>
      <c r="R99" s="41" t="n">
        <v>13</v>
      </c>
      <c r="S99" s="46" t="n">
        <v>1.55</v>
      </c>
      <c r="T99" s="46" t="n">
        <v>1.35</v>
      </c>
      <c r="U99" s="46" t="n">
        <v>1</v>
      </c>
    </row>
    <row r="100" customFormat="false" ht="15" hidden="false" customHeight="true" outlineLevel="0" collapsed="false">
      <c r="A100" s="9" t="n">
        <v>90</v>
      </c>
      <c r="B100" s="47" t="s">
        <v>103</v>
      </c>
      <c r="C100" s="47" t="s">
        <v>2321</v>
      </c>
      <c r="D100" s="47" t="s">
        <v>521</v>
      </c>
      <c r="E100" s="47"/>
      <c r="F100" s="45" t="s">
        <v>380</v>
      </c>
      <c r="G100" s="9" t="n">
        <v>13</v>
      </c>
      <c r="H100" s="12" t="n">
        <f aca="false">'Engineering Assumptions'!$C$23*'Engineering Assumptions'!$B$5*U100</f>
        <v>1910</v>
      </c>
      <c r="I100" s="12" t="n">
        <f aca="false">'Engineering Assumptions'!$B$8</f>
        <v>650</v>
      </c>
      <c r="J100" s="12" t="n">
        <f aca="false">'Engineering Assumptions'!$D$23*S100*U100</f>
        <v>279</v>
      </c>
      <c r="K100" s="12" t="n">
        <f aca="false">'Engineering Assumptions'!$E$23*T100*U100</f>
        <v>324</v>
      </c>
      <c r="L100" s="13" t="n">
        <f aca="false">H100+I100+J100+K100</f>
        <v>3163</v>
      </c>
      <c r="M100" s="12" t="n">
        <f aca="false">L100*'Engineering Assumptions'!$B$10</f>
        <v>474.45</v>
      </c>
      <c r="N100" s="13" t="n">
        <f aca="false">L100+M100</f>
        <v>3637.45</v>
      </c>
      <c r="O100" s="12" t="n">
        <f aca="false">N100*'Engineering Assumptions'!$B$11</f>
        <v>727.49</v>
      </c>
      <c r="P100" s="183" t="n">
        <f aca="false">MROUND(N100+O100,10)</f>
        <v>4360</v>
      </c>
      <c r="Q100" s="12" t="n">
        <f aca="false">'Fleet Pricing'!H100</f>
        <v>3200</v>
      </c>
      <c r="R100" s="41" t="n">
        <v>13</v>
      </c>
      <c r="S100" s="46" t="n">
        <v>1.55</v>
      </c>
      <c r="T100" s="46" t="n">
        <v>1.35</v>
      </c>
      <c r="U100" s="46" t="n">
        <v>1</v>
      </c>
    </row>
    <row r="101" customFormat="false" ht="15" hidden="false" customHeight="true" outlineLevel="0" collapsed="false">
      <c r="A101" s="9" t="n">
        <v>91</v>
      </c>
      <c r="B101" s="47" t="s">
        <v>103</v>
      </c>
      <c r="C101" s="47" t="s">
        <v>2321</v>
      </c>
      <c r="D101" s="47" t="s">
        <v>541</v>
      </c>
      <c r="E101" s="47"/>
      <c r="F101" s="45" t="s">
        <v>380</v>
      </c>
      <c r="G101" s="9" t="n">
        <v>13</v>
      </c>
      <c r="H101" s="12" t="n">
        <f aca="false">'Engineering Assumptions'!$C$23*'Engineering Assumptions'!$B$5*U101</f>
        <v>1910</v>
      </c>
      <c r="I101" s="12" t="n">
        <f aca="false">'Engineering Assumptions'!$B$8</f>
        <v>650</v>
      </c>
      <c r="J101" s="12" t="n">
        <f aca="false">'Engineering Assumptions'!$D$23*S101*U101</f>
        <v>279</v>
      </c>
      <c r="K101" s="12" t="n">
        <f aca="false">'Engineering Assumptions'!$E$23*T101*U101</f>
        <v>324</v>
      </c>
      <c r="L101" s="13" t="n">
        <f aca="false">H101+I101+J101+K101</f>
        <v>3163</v>
      </c>
      <c r="M101" s="12" t="n">
        <f aca="false">L101*'Engineering Assumptions'!$B$10</f>
        <v>474.45</v>
      </c>
      <c r="N101" s="13" t="n">
        <f aca="false">L101+M101</f>
        <v>3637.45</v>
      </c>
      <c r="O101" s="12" t="n">
        <f aca="false">N101*'Engineering Assumptions'!$B$11</f>
        <v>727.49</v>
      </c>
      <c r="P101" s="183" t="n">
        <f aca="false">MROUND(N101+O101,10)</f>
        <v>4360</v>
      </c>
      <c r="Q101" s="12" t="n">
        <f aca="false">'Fleet Pricing'!H101</f>
        <v>3200</v>
      </c>
      <c r="R101" s="41" t="n">
        <v>13</v>
      </c>
      <c r="S101" s="46" t="n">
        <v>1.55</v>
      </c>
      <c r="T101" s="46" t="n">
        <v>1.35</v>
      </c>
      <c r="U101" s="46" t="n">
        <v>1</v>
      </c>
    </row>
    <row r="102" customFormat="false" ht="15" hidden="false" customHeight="true" outlineLevel="0" collapsed="false">
      <c r="A102" s="9" t="n">
        <v>92</v>
      </c>
      <c r="B102" s="47" t="s">
        <v>103</v>
      </c>
      <c r="C102" s="47" t="s">
        <v>2326</v>
      </c>
      <c r="D102" s="47" t="s">
        <v>523</v>
      </c>
      <c r="E102" s="47"/>
      <c r="F102" s="45" t="s">
        <v>380</v>
      </c>
      <c r="G102" s="9" t="n">
        <v>13</v>
      </c>
      <c r="H102" s="12" t="n">
        <f aca="false">'Engineering Assumptions'!$C$23*'Engineering Assumptions'!$B$5*U102</f>
        <v>1910</v>
      </c>
      <c r="I102" s="12" t="n">
        <f aca="false">'Engineering Assumptions'!$B$8</f>
        <v>650</v>
      </c>
      <c r="J102" s="12" t="n">
        <f aca="false">'Engineering Assumptions'!$D$23*S102*U102</f>
        <v>279</v>
      </c>
      <c r="K102" s="12" t="n">
        <f aca="false">'Engineering Assumptions'!$E$23*T102*U102</f>
        <v>324</v>
      </c>
      <c r="L102" s="13" t="n">
        <f aca="false">H102+I102+J102+K102</f>
        <v>3163</v>
      </c>
      <c r="M102" s="12" t="n">
        <f aca="false">L102*'Engineering Assumptions'!$B$10</f>
        <v>474.45</v>
      </c>
      <c r="N102" s="13" t="n">
        <f aca="false">L102+M102</f>
        <v>3637.45</v>
      </c>
      <c r="O102" s="12" t="n">
        <f aca="false">N102*'Engineering Assumptions'!$B$11</f>
        <v>727.49</v>
      </c>
      <c r="P102" s="183" t="n">
        <f aca="false">MROUND(N102+O102,10)</f>
        <v>4360</v>
      </c>
      <c r="Q102" s="12" t="n">
        <f aca="false">'Fleet Pricing'!H102</f>
        <v>3200</v>
      </c>
      <c r="R102" s="41" t="n">
        <v>13</v>
      </c>
      <c r="S102" s="46" t="n">
        <v>1.55</v>
      </c>
      <c r="T102" s="46" t="n">
        <v>1.35</v>
      </c>
      <c r="U102" s="46" t="n">
        <v>1</v>
      </c>
    </row>
    <row r="103" customFormat="false" ht="15" hidden="false" customHeight="true" outlineLevel="0" collapsed="false">
      <c r="A103" s="9" t="n">
        <v>93</v>
      </c>
      <c r="B103" s="47" t="s">
        <v>103</v>
      </c>
      <c r="C103" s="47" t="s">
        <v>2327</v>
      </c>
      <c r="D103" s="47" t="s">
        <v>525</v>
      </c>
      <c r="E103" s="47"/>
      <c r="F103" s="45" t="s">
        <v>380</v>
      </c>
      <c r="G103" s="9" t="n">
        <v>13</v>
      </c>
      <c r="H103" s="12" t="n">
        <f aca="false">'Engineering Assumptions'!$C$23*'Engineering Assumptions'!$B$5*U103</f>
        <v>1910</v>
      </c>
      <c r="I103" s="12" t="n">
        <f aca="false">'Engineering Assumptions'!$B$8</f>
        <v>650</v>
      </c>
      <c r="J103" s="12" t="n">
        <f aca="false">'Engineering Assumptions'!$D$23*S103*U103</f>
        <v>279</v>
      </c>
      <c r="K103" s="12" t="n">
        <f aca="false">'Engineering Assumptions'!$E$23*T103*U103</f>
        <v>324</v>
      </c>
      <c r="L103" s="13" t="n">
        <f aca="false">H103+I103+J103+K103</f>
        <v>3163</v>
      </c>
      <c r="M103" s="12" t="n">
        <f aca="false">L103*'Engineering Assumptions'!$B$10</f>
        <v>474.45</v>
      </c>
      <c r="N103" s="13" t="n">
        <f aca="false">L103+M103</f>
        <v>3637.45</v>
      </c>
      <c r="O103" s="12" t="n">
        <f aca="false">N103*'Engineering Assumptions'!$B$11</f>
        <v>727.49</v>
      </c>
      <c r="P103" s="183" t="n">
        <f aca="false">MROUND(N103+O103,10)</f>
        <v>4360</v>
      </c>
      <c r="Q103" s="12" t="n">
        <f aca="false">'Fleet Pricing'!H103</f>
        <v>3200</v>
      </c>
      <c r="R103" s="41" t="n">
        <v>13</v>
      </c>
      <c r="S103" s="46" t="n">
        <v>1.55</v>
      </c>
      <c r="T103" s="46" t="n">
        <v>1.35</v>
      </c>
      <c r="U103" s="46" t="n">
        <v>1</v>
      </c>
    </row>
    <row r="104" customFormat="false" ht="15" hidden="false" customHeight="true" outlineLevel="0" collapsed="false">
      <c r="A104" s="9" t="n">
        <v>94</v>
      </c>
      <c r="B104" s="47" t="s">
        <v>103</v>
      </c>
      <c r="C104" s="47" t="s">
        <v>2328</v>
      </c>
      <c r="D104" s="47" t="s">
        <v>527</v>
      </c>
      <c r="E104" s="47"/>
      <c r="F104" s="45" t="s">
        <v>380</v>
      </c>
      <c r="G104" s="9" t="n">
        <v>13</v>
      </c>
      <c r="H104" s="12" t="n">
        <f aca="false">'Engineering Assumptions'!$C$23*'Engineering Assumptions'!$B$5*U104</f>
        <v>1910</v>
      </c>
      <c r="I104" s="12" t="n">
        <f aca="false">'Engineering Assumptions'!$B$8</f>
        <v>650</v>
      </c>
      <c r="J104" s="12" t="n">
        <f aca="false">'Engineering Assumptions'!$D$23*S104*U104</f>
        <v>279</v>
      </c>
      <c r="K104" s="12" t="n">
        <f aca="false">'Engineering Assumptions'!$E$23*T104*U104</f>
        <v>324</v>
      </c>
      <c r="L104" s="13" t="n">
        <f aca="false">H104+I104+J104+K104</f>
        <v>3163</v>
      </c>
      <c r="M104" s="12" t="n">
        <f aca="false">L104*'Engineering Assumptions'!$B$10</f>
        <v>474.45</v>
      </c>
      <c r="N104" s="13" t="n">
        <f aca="false">L104+M104</f>
        <v>3637.45</v>
      </c>
      <c r="O104" s="12" t="n">
        <f aca="false">N104*'Engineering Assumptions'!$B$11</f>
        <v>727.49</v>
      </c>
      <c r="P104" s="183" t="n">
        <f aca="false">MROUND(N104+O104,10)</f>
        <v>4360</v>
      </c>
      <c r="Q104" s="12" t="n">
        <f aca="false">'Fleet Pricing'!H104</f>
        <v>3200</v>
      </c>
      <c r="R104" s="41" t="n">
        <v>13</v>
      </c>
      <c r="S104" s="46" t="n">
        <v>1.55</v>
      </c>
      <c r="T104" s="46" t="n">
        <v>1.35</v>
      </c>
      <c r="U104" s="46" t="n">
        <v>1</v>
      </c>
    </row>
    <row r="105" customFormat="false" ht="15" hidden="false" customHeight="true" outlineLevel="0" collapsed="false">
      <c r="A105" s="9" t="n">
        <v>95</v>
      </c>
      <c r="B105" s="47" t="s">
        <v>103</v>
      </c>
      <c r="C105" s="47" t="s">
        <v>2329</v>
      </c>
      <c r="D105" s="47" t="s">
        <v>529</v>
      </c>
      <c r="E105" s="47"/>
      <c r="F105" s="45" t="s">
        <v>380</v>
      </c>
      <c r="G105" s="9" t="n">
        <v>13</v>
      </c>
      <c r="H105" s="12" t="n">
        <f aca="false">'Engineering Assumptions'!$C$23*'Engineering Assumptions'!$B$5*U105</f>
        <v>1910</v>
      </c>
      <c r="I105" s="12" t="n">
        <f aca="false">'Engineering Assumptions'!$B$8</f>
        <v>650</v>
      </c>
      <c r="J105" s="12" t="n">
        <f aca="false">'Engineering Assumptions'!$D$23*S105*U105</f>
        <v>279</v>
      </c>
      <c r="K105" s="12" t="n">
        <f aca="false">'Engineering Assumptions'!$E$23*T105*U105</f>
        <v>324</v>
      </c>
      <c r="L105" s="13" t="n">
        <f aca="false">H105+I105+J105+K105</f>
        <v>3163</v>
      </c>
      <c r="M105" s="12" t="n">
        <f aca="false">L105*'Engineering Assumptions'!$B$10</f>
        <v>474.45</v>
      </c>
      <c r="N105" s="13" t="n">
        <f aca="false">L105+M105</f>
        <v>3637.45</v>
      </c>
      <c r="O105" s="12" t="n">
        <f aca="false">N105*'Engineering Assumptions'!$B$11</f>
        <v>727.49</v>
      </c>
      <c r="P105" s="183" t="n">
        <f aca="false">MROUND(N105+O105,10)</f>
        <v>4360</v>
      </c>
      <c r="Q105" s="12" t="n">
        <f aca="false">'Fleet Pricing'!H105</f>
        <v>3200</v>
      </c>
      <c r="R105" s="41" t="n">
        <v>13</v>
      </c>
      <c r="S105" s="46" t="n">
        <v>1.55</v>
      </c>
      <c r="T105" s="46" t="n">
        <v>1.35</v>
      </c>
      <c r="U105" s="46" t="n">
        <v>1</v>
      </c>
    </row>
    <row r="106" customFormat="false" ht="15" hidden="false" customHeight="true" outlineLevel="0" collapsed="false">
      <c r="A106" s="9" t="n">
        <v>96</v>
      </c>
      <c r="B106" s="47" t="s">
        <v>103</v>
      </c>
      <c r="C106" s="47" t="s">
        <v>2313</v>
      </c>
      <c r="D106" s="47" t="s">
        <v>516</v>
      </c>
      <c r="E106" s="47"/>
      <c r="F106" s="45" t="s">
        <v>310</v>
      </c>
      <c r="G106" s="9" t="n">
        <v>14</v>
      </c>
      <c r="H106" s="12" t="n">
        <f aca="false">'Engineering Assumptions'!$C$23*'Engineering Assumptions'!$B$5*U106</f>
        <v>1910</v>
      </c>
      <c r="I106" s="12" t="n">
        <f aca="false">'Engineering Assumptions'!$B$8</f>
        <v>650</v>
      </c>
      <c r="J106" s="12" t="n">
        <f aca="false">'Engineering Assumptions'!$D$23*S106*U106</f>
        <v>279</v>
      </c>
      <c r="K106" s="12" t="n">
        <f aca="false">'Engineering Assumptions'!$E$23*T106*U106</f>
        <v>324</v>
      </c>
      <c r="L106" s="13" t="n">
        <f aca="false">H106+I106+J106+K106</f>
        <v>3163</v>
      </c>
      <c r="M106" s="12" t="n">
        <f aca="false">L106*'Engineering Assumptions'!$B$10</f>
        <v>474.45</v>
      </c>
      <c r="N106" s="13" t="n">
        <f aca="false">L106+M106</f>
        <v>3637.45</v>
      </c>
      <c r="O106" s="12" t="n">
        <f aca="false">N106*'Engineering Assumptions'!$B$11</f>
        <v>727.49</v>
      </c>
      <c r="P106" s="183" t="n">
        <f aca="false">MROUND(N106+O106,10)</f>
        <v>4360</v>
      </c>
      <c r="Q106" s="12" t="n">
        <f aca="false">'Fleet Pricing'!H106</f>
        <v>3200</v>
      </c>
      <c r="R106" s="41" t="n">
        <v>14</v>
      </c>
      <c r="S106" s="46" t="n">
        <v>1.55</v>
      </c>
      <c r="T106" s="46" t="n">
        <v>1.35</v>
      </c>
      <c r="U106" s="46" t="n">
        <v>1</v>
      </c>
    </row>
    <row r="107" customFormat="false" ht="15" hidden="false" customHeight="true" outlineLevel="0" collapsed="false">
      <c r="A107" s="9" t="n">
        <v>97</v>
      </c>
      <c r="B107" s="47" t="s">
        <v>103</v>
      </c>
      <c r="C107" s="47" t="s">
        <v>2313</v>
      </c>
      <c r="D107" s="47" t="s">
        <v>542</v>
      </c>
      <c r="E107" s="47"/>
      <c r="F107" s="45" t="s">
        <v>310</v>
      </c>
      <c r="G107" s="9" t="n">
        <v>14</v>
      </c>
      <c r="H107" s="12" t="n">
        <f aca="false">'Engineering Assumptions'!$C$23*'Engineering Assumptions'!$B$5*U107</f>
        <v>1910</v>
      </c>
      <c r="I107" s="12" t="n">
        <f aca="false">'Engineering Assumptions'!$B$8</f>
        <v>650</v>
      </c>
      <c r="J107" s="12" t="n">
        <f aca="false">'Engineering Assumptions'!$D$23*S107*U107</f>
        <v>279</v>
      </c>
      <c r="K107" s="12" t="n">
        <f aca="false">'Engineering Assumptions'!$E$23*T107*U107</f>
        <v>324</v>
      </c>
      <c r="L107" s="13" t="n">
        <f aca="false">H107+I107+J107+K107</f>
        <v>3163</v>
      </c>
      <c r="M107" s="12" t="n">
        <f aca="false">L107*'Engineering Assumptions'!$B$10</f>
        <v>474.45</v>
      </c>
      <c r="N107" s="13" t="n">
        <f aca="false">L107+M107</f>
        <v>3637.45</v>
      </c>
      <c r="O107" s="12" t="n">
        <f aca="false">N107*'Engineering Assumptions'!$B$11</f>
        <v>727.49</v>
      </c>
      <c r="P107" s="183" t="n">
        <f aca="false">MROUND(N107+O107,10)</f>
        <v>4360</v>
      </c>
      <c r="Q107" s="12" t="n">
        <f aca="false">'Fleet Pricing'!H107</f>
        <v>3200</v>
      </c>
      <c r="R107" s="41" t="n">
        <v>14</v>
      </c>
      <c r="S107" s="46" t="n">
        <v>1.55</v>
      </c>
      <c r="T107" s="46" t="n">
        <v>1.35</v>
      </c>
      <c r="U107" s="46" t="n">
        <v>1</v>
      </c>
    </row>
    <row r="108" customFormat="false" ht="15" hidden="false" customHeight="true" outlineLevel="0" collapsed="false">
      <c r="A108" s="9" t="n">
        <v>98</v>
      </c>
      <c r="B108" s="47" t="s">
        <v>103</v>
      </c>
      <c r="C108" s="47" t="s">
        <v>2330</v>
      </c>
      <c r="D108" s="47" t="s">
        <v>534</v>
      </c>
      <c r="E108" s="47"/>
      <c r="F108" s="45" t="s">
        <v>310</v>
      </c>
      <c r="G108" s="9" t="n">
        <v>14</v>
      </c>
      <c r="H108" s="12" t="n">
        <f aca="false">'Engineering Assumptions'!$C$23*'Engineering Assumptions'!$B$5*U108</f>
        <v>1910</v>
      </c>
      <c r="I108" s="12" t="n">
        <f aca="false">'Engineering Assumptions'!$B$8</f>
        <v>650</v>
      </c>
      <c r="J108" s="12" t="n">
        <f aca="false">'Engineering Assumptions'!$D$23*S108*U108</f>
        <v>279</v>
      </c>
      <c r="K108" s="12" t="n">
        <f aca="false">'Engineering Assumptions'!$E$23*T108*U108</f>
        <v>324</v>
      </c>
      <c r="L108" s="13" t="n">
        <f aca="false">H108+I108+J108+K108</f>
        <v>3163</v>
      </c>
      <c r="M108" s="12" t="n">
        <f aca="false">L108*'Engineering Assumptions'!$B$10</f>
        <v>474.45</v>
      </c>
      <c r="N108" s="13" t="n">
        <f aca="false">L108+M108</f>
        <v>3637.45</v>
      </c>
      <c r="O108" s="12" t="n">
        <f aca="false">N108*'Engineering Assumptions'!$B$11</f>
        <v>727.49</v>
      </c>
      <c r="P108" s="183" t="n">
        <f aca="false">MROUND(N108+O108,10)</f>
        <v>4360</v>
      </c>
      <c r="Q108" s="12" t="n">
        <f aca="false">'Fleet Pricing'!H108</f>
        <v>3200</v>
      </c>
      <c r="R108" s="41" t="n">
        <v>14</v>
      </c>
      <c r="S108" s="46" t="n">
        <v>1.55</v>
      </c>
      <c r="T108" s="46" t="n">
        <v>1.35</v>
      </c>
      <c r="U108" s="46" t="n">
        <v>1</v>
      </c>
    </row>
    <row r="109" customFormat="false" ht="15" hidden="false" customHeight="true" outlineLevel="0" collapsed="false">
      <c r="A109" s="9" t="n">
        <v>99</v>
      </c>
      <c r="B109" s="47" t="s">
        <v>103</v>
      </c>
      <c r="C109" s="47" t="s">
        <v>2331</v>
      </c>
      <c r="D109" s="47" t="s">
        <v>496</v>
      </c>
      <c r="E109" s="47"/>
      <c r="F109" s="45" t="s">
        <v>310</v>
      </c>
      <c r="G109" s="9" t="n">
        <v>14</v>
      </c>
      <c r="H109" s="12" t="n">
        <f aca="false">'Engineering Assumptions'!$C$23*'Engineering Assumptions'!$B$5*U109</f>
        <v>1910</v>
      </c>
      <c r="I109" s="12" t="n">
        <f aca="false">'Engineering Assumptions'!$B$8</f>
        <v>650</v>
      </c>
      <c r="J109" s="12" t="n">
        <f aca="false">'Engineering Assumptions'!$D$23*S109*U109</f>
        <v>279</v>
      </c>
      <c r="K109" s="12" t="n">
        <f aca="false">'Engineering Assumptions'!$E$23*T109*U109</f>
        <v>324</v>
      </c>
      <c r="L109" s="13" t="n">
        <f aca="false">H109+I109+J109+K109</f>
        <v>3163</v>
      </c>
      <c r="M109" s="12" t="n">
        <f aca="false">L109*'Engineering Assumptions'!$B$10</f>
        <v>474.45</v>
      </c>
      <c r="N109" s="13" t="n">
        <f aca="false">L109+M109</f>
        <v>3637.45</v>
      </c>
      <c r="O109" s="12" t="n">
        <f aca="false">N109*'Engineering Assumptions'!$B$11</f>
        <v>727.49</v>
      </c>
      <c r="P109" s="183" t="n">
        <f aca="false">MROUND(N109+O109,10)</f>
        <v>4360</v>
      </c>
      <c r="Q109" s="12" t="n">
        <f aca="false">'Fleet Pricing'!H109</f>
        <v>3200</v>
      </c>
      <c r="R109" s="41" t="n">
        <v>14</v>
      </c>
      <c r="S109" s="46" t="n">
        <v>1.55</v>
      </c>
      <c r="T109" s="46" t="n">
        <v>1.35</v>
      </c>
      <c r="U109" s="46" t="n">
        <v>1</v>
      </c>
    </row>
    <row r="110" customFormat="false" ht="15" hidden="false" customHeight="true" outlineLevel="0" collapsed="false">
      <c r="A110" s="9" t="n">
        <v>100</v>
      </c>
      <c r="B110" s="47" t="s">
        <v>103</v>
      </c>
      <c r="C110" s="47" t="s">
        <v>2313</v>
      </c>
      <c r="D110" s="47" t="s">
        <v>495</v>
      </c>
      <c r="E110" s="47"/>
      <c r="F110" s="45" t="s">
        <v>389</v>
      </c>
      <c r="G110" s="9" t="n">
        <v>16</v>
      </c>
      <c r="H110" s="12" t="n">
        <f aca="false">'Engineering Assumptions'!$C$23*'Engineering Assumptions'!$B$5*U110</f>
        <v>1910</v>
      </c>
      <c r="I110" s="12" t="n">
        <f aca="false">'Engineering Assumptions'!$B$8</f>
        <v>650</v>
      </c>
      <c r="J110" s="12" t="n">
        <f aca="false">'Engineering Assumptions'!$D$23*S110*U110</f>
        <v>351</v>
      </c>
      <c r="K110" s="12" t="n">
        <f aca="false">'Engineering Assumptions'!$E$23*T110*U110</f>
        <v>504</v>
      </c>
      <c r="L110" s="13" t="n">
        <f aca="false">H110+I110+J110+K110</f>
        <v>3415</v>
      </c>
      <c r="M110" s="12" t="n">
        <f aca="false">L110*'Engineering Assumptions'!$B$10</f>
        <v>512.25</v>
      </c>
      <c r="N110" s="13" t="n">
        <f aca="false">L110+M110</f>
        <v>3927.25</v>
      </c>
      <c r="O110" s="12" t="n">
        <f aca="false">N110*'Engineering Assumptions'!$B$11</f>
        <v>785.45</v>
      </c>
      <c r="P110" s="183" t="n">
        <f aca="false">MROUND(N110+O110,10)</f>
        <v>4710</v>
      </c>
      <c r="Q110" s="12" t="n">
        <f aca="false">'Fleet Pricing'!H110</f>
        <v>3200</v>
      </c>
      <c r="R110" s="41" t="n">
        <v>16</v>
      </c>
      <c r="S110" s="46" t="n">
        <v>1.95</v>
      </c>
      <c r="T110" s="46" t="n">
        <v>2.1</v>
      </c>
      <c r="U110" s="46" t="n">
        <v>1</v>
      </c>
    </row>
    <row r="111" customFormat="false" ht="15" hidden="false" customHeight="true" outlineLevel="0" collapsed="false">
      <c r="A111" s="9" t="n">
        <v>101</v>
      </c>
      <c r="B111" s="47" t="s">
        <v>103</v>
      </c>
      <c r="C111" s="47" t="s">
        <v>2313</v>
      </c>
      <c r="D111" s="47" t="s">
        <v>511</v>
      </c>
      <c r="E111" s="47"/>
      <c r="F111" s="45" t="s">
        <v>389</v>
      </c>
      <c r="G111" s="9" t="n">
        <v>16</v>
      </c>
      <c r="H111" s="12" t="n">
        <f aca="false">'Engineering Assumptions'!$C$23*'Engineering Assumptions'!$B$5*U111</f>
        <v>1910</v>
      </c>
      <c r="I111" s="12" t="n">
        <f aca="false">'Engineering Assumptions'!$B$8</f>
        <v>650</v>
      </c>
      <c r="J111" s="12" t="n">
        <f aca="false">'Engineering Assumptions'!$D$23*S111*U111</f>
        <v>351</v>
      </c>
      <c r="K111" s="12" t="n">
        <f aca="false">'Engineering Assumptions'!$E$23*T111*U111</f>
        <v>504</v>
      </c>
      <c r="L111" s="13" t="n">
        <f aca="false">H111+I111+J111+K111</f>
        <v>3415</v>
      </c>
      <c r="M111" s="12" t="n">
        <f aca="false">L111*'Engineering Assumptions'!$B$10</f>
        <v>512.25</v>
      </c>
      <c r="N111" s="13" t="n">
        <f aca="false">L111+M111</f>
        <v>3927.25</v>
      </c>
      <c r="O111" s="12" t="n">
        <f aca="false">N111*'Engineering Assumptions'!$B$11</f>
        <v>785.45</v>
      </c>
      <c r="P111" s="183" t="n">
        <f aca="false">MROUND(N111+O111,10)</f>
        <v>4710</v>
      </c>
      <c r="Q111" s="12" t="n">
        <f aca="false">'Fleet Pricing'!H111</f>
        <v>3200</v>
      </c>
      <c r="R111" s="41" t="n">
        <v>16</v>
      </c>
      <c r="S111" s="46" t="n">
        <v>1.95</v>
      </c>
      <c r="T111" s="46" t="n">
        <v>2.1</v>
      </c>
      <c r="U111" s="46" t="n">
        <v>1</v>
      </c>
    </row>
    <row r="112" customFormat="false" ht="15" hidden="false" customHeight="true" outlineLevel="0" collapsed="false">
      <c r="A112" s="9" t="n">
        <v>102</v>
      </c>
      <c r="B112" s="47" t="s">
        <v>103</v>
      </c>
      <c r="C112" s="47" t="s">
        <v>2313</v>
      </c>
      <c r="D112" s="47" t="s">
        <v>535</v>
      </c>
      <c r="E112" s="47"/>
      <c r="F112" s="45" t="s">
        <v>472</v>
      </c>
      <c r="G112" s="9" t="n">
        <v>30</v>
      </c>
      <c r="H112" s="12" t="n">
        <f aca="false">'Engineering Assumptions'!$C$23*'Engineering Assumptions'!$B$5*U112</f>
        <v>1910</v>
      </c>
      <c r="I112" s="12" t="n">
        <f aca="false">'Engineering Assumptions'!$B$8</f>
        <v>650</v>
      </c>
      <c r="J112" s="12" t="n">
        <f aca="false">'Engineering Assumptions'!$D$23*S112*U112</f>
        <v>432</v>
      </c>
      <c r="K112" s="12" t="n">
        <f aca="false">'Engineering Assumptions'!$E$23*T112*U112</f>
        <v>720</v>
      </c>
      <c r="L112" s="13" t="n">
        <f aca="false">H112+I112+J112+K112</f>
        <v>3712</v>
      </c>
      <c r="M112" s="12" t="n">
        <f aca="false">L112*'Engineering Assumptions'!$B$10</f>
        <v>556.8</v>
      </c>
      <c r="N112" s="13" t="n">
        <f aca="false">L112+M112</f>
        <v>4268.8</v>
      </c>
      <c r="O112" s="12" t="n">
        <f aca="false">N112*'Engineering Assumptions'!$B$11</f>
        <v>853.76</v>
      </c>
      <c r="P112" s="183" t="n">
        <f aca="false">MROUND(N112+O112,10)</f>
        <v>5120</v>
      </c>
      <c r="Q112" s="12" t="n">
        <f aca="false">'Fleet Pricing'!H112</f>
        <v>2260</v>
      </c>
      <c r="R112" s="41" t="n">
        <v>30</v>
      </c>
      <c r="S112" s="46" t="n">
        <v>2.4</v>
      </c>
      <c r="T112" s="46" t="n">
        <v>3</v>
      </c>
      <c r="U112" s="46" t="n">
        <v>1</v>
      </c>
    </row>
    <row r="113" customFormat="false" ht="15" hidden="false" customHeight="true" outlineLevel="0" collapsed="false">
      <c r="A113" s="9" t="n">
        <v>103</v>
      </c>
      <c r="B113" s="47" t="s">
        <v>103</v>
      </c>
      <c r="C113" s="47" t="s">
        <v>2313</v>
      </c>
      <c r="D113" s="47" t="s">
        <v>536</v>
      </c>
      <c r="E113" s="47"/>
      <c r="F113" s="45" t="s">
        <v>472</v>
      </c>
      <c r="G113" s="9" t="n">
        <v>30</v>
      </c>
      <c r="H113" s="12" t="n">
        <f aca="false">'Engineering Assumptions'!$C$23*'Engineering Assumptions'!$B$5*U113</f>
        <v>1910</v>
      </c>
      <c r="I113" s="12" t="n">
        <f aca="false">'Engineering Assumptions'!$B$8</f>
        <v>650</v>
      </c>
      <c r="J113" s="12" t="n">
        <f aca="false">'Engineering Assumptions'!$D$23*S113*U113</f>
        <v>432</v>
      </c>
      <c r="K113" s="12" t="n">
        <f aca="false">'Engineering Assumptions'!$E$23*T113*U113</f>
        <v>720</v>
      </c>
      <c r="L113" s="13" t="n">
        <f aca="false">H113+I113+J113+K113</f>
        <v>3712</v>
      </c>
      <c r="M113" s="12" t="n">
        <f aca="false">L113*'Engineering Assumptions'!$B$10</f>
        <v>556.8</v>
      </c>
      <c r="N113" s="13" t="n">
        <f aca="false">L113+M113</f>
        <v>4268.8</v>
      </c>
      <c r="O113" s="12" t="n">
        <f aca="false">N113*'Engineering Assumptions'!$B$11</f>
        <v>853.76</v>
      </c>
      <c r="P113" s="183" t="n">
        <f aca="false">MROUND(N113+O113,10)</f>
        <v>5120</v>
      </c>
      <c r="Q113" s="12" t="n">
        <f aca="false">'Fleet Pricing'!H113</f>
        <v>2260</v>
      </c>
      <c r="R113" s="41" t="n">
        <v>30</v>
      </c>
      <c r="S113" s="46" t="n">
        <v>2.4</v>
      </c>
      <c r="T113" s="46" t="n">
        <v>3</v>
      </c>
      <c r="U113" s="46" t="n">
        <v>1</v>
      </c>
    </row>
    <row r="114" customFormat="false" ht="15" hidden="false" customHeight="true" outlineLevel="0" collapsed="false">
      <c r="A114" s="9" t="n">
        <v>104</v>
      </c>
      <c r="B114" s="47" t="s">
        <v>103</v>
      </c>
      <c r="C114" s="47" t="s">
        <v>2313</v>
      </c>
      <c r="D114" s="47" t="s">
        <v>537</v>
      </c>
      <c r="E114" s="47"/>
      <c r="F114" s="45" t="s">
        <v>472</v>
      </c>
      <c r="G114" s="9" t="n">
        <v>30</v>
      </c>
      <c r="H114" s="12" t="n">
        <f aca="false">'Engineering Assumptions'!$C$23*'Engineering Assumptions'!$B$5*U114</f>
        <v>1910</v>
      </c>
      <c r="I114" s="12" t="n">
        <f aca="false">'Engineering Assumptions'!$B$8</f>
        <v>650</v>
      </c>
      <c r="J114" s="12" t="n">
        <f aca="false">'Engineering Assumptions'!$D$23*S114*U114</f>
        <v>432</v>
      </c>
      <c r="K114" s="12" t="n">
        <f aca="false">'Engineering Assumptions'!$E$23*T114*U114</f>
        <v>720</v>
      </c>
      <c r="L114" s="13" t="n">
        <f aca="false">H114+I114+J114+K114</f>
        <v>3712</v>
      </c>
      <c r="M114" s="12" t="n">
        <f aca="false">L114*'Engineering Assumptions'!$B$10</f>
        <v>556.8</v>
      </c>
      <c r="N114" s="13" t="n">
        <f aca="false">L114+M114</f>
        <v>4268.8</v>
      </c>
      <c r="O114" s="12" t="n">
        <f aca="false">N114*'Engineering Assumptions'!$B$11</f>
        <v>853.76</v>
      </c>
      <c r="P114" s="183" t="n">
        <f aca="false">MROUND(N114+O114,10)</f>
        <v>5120</v>
      </c>
      <c r="Q114" s="12" t="n">
        <f aca="false">'Fleet Pricing'!H114</f>
        <v>2260</v>
      </c>
      <c r="R114" s="41" t="n">
        <v>30</v>
      </c>
      <c r="S114" s="46" t="n">
        <v>2.4</v>
      </c>
      <c r="T114" s="46" t="n">
        <v>3</v>
      </c>
      <c r="U114" s="46" t="n">
        <v>1</v>
      </c>
    </row>
    <row r="115" customFormat="false" ht="15" hidden="false" customHeight="true" outlineLevel="0" collapsed="false">
      <c r="A115" s="9" t="n">
        <v>105</v>
      </c>
      <c r="B115" s="47" t="s">
        <v>103</v>
      </c>
      <c r="C115" s="47" t="s">
        <v>2313</v>
      </c>
      <c r="D115" s="47" t="s">
        <v>544</v>
      </c>
      <c r="E115" s="47"/>
      <c r="F115" s="45" t="s">
        <v>472</v>
      </c>
      <c r="G115" s="9" t="n">
        <v>30</v>
      </c>
      <c r="H115" s="12" t="n">
        <f aca="false">'Engineering Assumptions'!$C$23*'Engineering Assumptions'!$B$5*U115</f>
        <v>1910</v>
      </c>
      <c r="I115" s="12" t="n">
        <f aca="false">'Engineering Assumptions'!$B$8</f>
        <v>650</v>
      </c>
      <c r="J115" s="12" t="n">
        <f aca="false">'Engineering Assumptions'!$D$23*S115*U115</f>
        <v>432</v>
      </c>
      <c r="K115" s="12" t="n">
        <f aca="false">'Engineering Assumptions'!$E$23*T115*U115</f>
        <v>720</v>
      </c>
      <c r="L115" s="13" t="n">
        <f aca="false">H115+I115+J115+K115</f>
        <v>3712</v>
      </c>
      <c r="M115" s="12" t="n">
        <f aca="false">L115*'Engineering Assumptions'!$B$10</f>
        <v>556.8</v>
      </c>
      <c r="N115" s="13" t="n">
        <f aca="false">L115+M115</f>
        <v>4268.8</v>
      </c>
      <c r="O115" s="12" t="n">
        <f aca="false">N115*'Engineering Assumptions'!$B$11</f>
        <v>853.76</v>
      </c>
      <c r="P115" s="183" t="n">
        <f aca="false">MROUND(N115+O115,10)</f>
        <v>5120</v>
      </c>
      <c r="Q115" s="12" t="n">
        <f aca="false">'Fleet Pricing'!H115</f>
        <v>2260</v>
      </c>
      <c r="R115" s="41" t="n">
        <v>30</v>
      </c>
      <c r="S115" s="46" t="n">
        <v>2.4</v>
      </c>
      <c r="T115" s="46" t="n">
        <v>3</v>
      </c>
      <c r="U115" s="46" t="n">
        <v>1</v>
      </c>
    </row>
    <row r="116" customFormat="false" ht="15" hidden="false" customHeight="true" outlineLevel="0" collapsed="false">
      <c r="A116" s="9" t="n">
        <v>106</v>
      </c>
      <c r="B116" s="47" t="s">
        <v>103</v>
      </c>
      <c r="C116" s="47" t="s">
        <v>2313</v>
      </c>
      <c r="D116" s="47" t="s">
        <v>545</v>
      </c>
      <c r="E116" s="47"/>
      <c r="F116" s="45" t="s">
        <v>472</v>
      </c>
      <c r="G116" s="9" t="n">
        <v>30</v>
      </c>
      <c r="H116" s="12" t="n">
        <f aca="false">'Engineering Assumptions'!$C$23*'Engineering Assumptions'!$B$5*U116</f>
        <v>1910</v>
      </c>
      <c r="I116" s="12" t="n">
        <f aca="false">'Engineering Assumptions'!$B$8</f>
        <v>650</v>
      </c>
      <c r="J116" s="12" t="n">
        <f aca="false">'Engineering Assumptions'!$D$23*S116*U116</f>
        <v>432</v>
      </c>
      <c r="K116" s="12" t="n">
        <f aca="false">'Engineering Assumptions'!$E$23*T116*U116</f>
        <v>720</v>
      </c>
      <c r="L116" s="13" t="n">
        <f aca="false">H116+I116+J116+K116</f>
        <v>3712</v>
      </c>
      <c r="M116" s="12" t="n">
        <f aca="false">L116*'Engineering Assumptions'!$B$10</f>
        <v>556.8</v>
      </c>
      <c r="N116" s="13" t="n">
        <f aca="false">L116+M116</f>
        <v>4268.8</v>
      </c>
      <c r="O116" s="12" t="n">
        <f aca="false">N116*'Engineering Assumptions'!$B$11</f>
        <v>853.76</v>
      </c>
      <c r="P116" s="183" t="n">
        <f aca="false">MROUND(N116+O116,10)</f>
        <v>5120</v>
      </c>
      <c r="Q116" s="12" t="n">
        <f aca="false">'Fleet Pricing'!H116</f>
        <v>2260</v>
      </c>
      <c r="R116" s="41" t="n">
        <v>30</v>
      </c>
      <c r="S116" s="46" t="n">
        <v>2.4</v>
      </c>
      <c r="T116" s="46" t="n">
        <v>3</v>
      </c>
      <c r="U116" s="46" t="n">
        <v>1</v>
      </c>
    </row>
    <row r="117" customFormat="false" ht="15" hidden="false" customHeight="true" outlineLevel="0" collapsed="false">
      <c r="A117" s="9" t="n">
        <v>107</v>
      </c>
      <c r="B117" s="47" t="s">
        <v>103</v>
      </c>
      <c r="C117" s="47" t="s">
        <v>2313</v>
      </c>
      <c r="D117" s="47" t="s">
        <v>546</v>
      </c>
      <c r="E117" s="47"/>
      <c r="F117" s="45" t="s">
        <v>472</v>
      </c>
      <c r="G117" s="9" t="n">
        <v>30</v>
      </c>
      <c r="H117" s="12" t="n">
        <f aca="false">'Engineering Assumptions'!$C$23*'Engineering Assumptions'!$B$5*U117</f>
        <v>1910</v>
      </c>
      <c r="I117" s="12" t="n">
        <f aca="false">'Engineering Assumptions'!$B$8</f>
        <v>650</v>
      </c>
      <c r="J117" s="12" t="n">
        <f aca="false">'Engineering Assumptions'!$D$23*S117*U117</f>
        <v>432</v>
      </c>
      <c r="K117" s="12" t="n">
        <f aca="false">'Engineering Assumptions'!$E$23*T117*U117</f>
        <v>720</v>
      </c>
      <c r="L117" s="13" t="n">
        <f aca="false">H117+I117+J117+K117</f>
        <v>3712</v>
      </c>
      <c r="M117" s="12" t="n">
        <f aca="false">L117*'Engineering Assumptions'!$B$10</f>
        <v>556.8</v>
      </c>
      <c r="N117" s="13" t="n">
        <f aca="false">L117+M117</f>
        <v>4268.8</v>
      </c>
      <c r="O117" s="12" t="n">
        <f aca="false">N117*'Engineering Assumptions'!$B$11</f>
        <v>853.76</v>
      </c>
      <c r="P117" s="183" t="n">
        <f aca="false">MROUND(N117+O117,10)</f>
        <v>5120</v>
      </c>
      <c r="Q117" s="12" t="n">
        <f aca="false">'Fleet Pricing'!H117</f>
        <v>2260</v>
      </c>
      <c r="R117" s="41" t="n">
        <v>30</v>
      </c>
      <c r="S117" s="46" t="n">
        <v>2.4</v>
      </c>
      <c r="T117" s="46" t="n">
        <v>3</v>
      </c>
      <c r="U117" s="46" t="n">
        <v>1</v>
      </c>
    </row>
    <row r="118" customFormat="false" ht="15" hidden="false" customHeight="true" outlineLevel="0" collapsed="false">
      <c r="A118" s="9" t="n">
        <v>108</v>
      </c>
      <c r="B118" s="47" t="s">
        <v>103</v>
      </c>
      <c r="C118" s="47" t="s">
        <v>2313</v>
      </c>
      <c r="D118" s="47" t="s">
        <v>548</v>
      </c>
      <c r="E118" s="47"/>
      <c r="F118" s="45" t="s">
        <v>472</v>
      </c>
      <c r="G118" s="9" t="n">
        <v>30</v>
      </c>
      <c r="H118" s="12" t="n">
        <f aca="false">'Engineering Assumptions'!$C$23*'Engineering Assumptions'!$B$5*U118</f>
        <v>1910</v>
      </c>
      <c r="I118" s="12" t="n">
        <f aca="false">'Engineering Assumptions'!$B$8</f>
        <v>650</v>
      </c>
      <c r="J118" s="12" t="n">
        <f aca="false">'Engineering Assumptions'!$D$23*S118*U118</f>
        <v>432</v>
      </c>
      <c r="K118" s="12" t="n">
        <f aca="false">'Engineering Assumptions'!$E$23*T118*U118</f>
        <v>720</v>
      </c>
      <c r="L118" s="13" t="n">
        <f aca="false">H118+I118+J118+K118</f>
        <v>3712</v>
      </c>
      <c r="M118" s="12" t="n">
        <f aca="false">L118*'Engineering Assumptions'!$B$10</f>
        <v>556.8</v>
      </c>
      <c r="N118" s="13" t="n">
        <f aca="false">L118+M118</f>
        <v>4268.8</v>
      </c>
      <c r="O118" s="12" t="n">
        <f aca="false">N118*'Engineering Assumptions'!$B$11</f>
        <v>853.76</v>
      </c>
      <c r="P118" s="183" t="n">
        <f aca="false">MROUND(N118+O118,10)</f>
        <v>5120</v>
      </c>
      <c r="Q118" s="12" t="n">
        <f aca="false">'Fleet Pricing'!H118</f>
        <v>2260</v>
      </c>
      <c r="R118" s="41" t="n">
        <v>30</v>
      </c>
      <c r="S118" s="46" t="n">
        <v>2.4</v>
      </c>
      <c r="T118" s="46" t="n">
        <v>3</v>
      </c>
      <c r="U118" s="46" t="n">
        <v>1</v>
      </c>
    </row>
    <row r="119" customFormat="false" ht="15" hidden="false" customHeight="true" outlineLevel="0" collapsed="false">
      <c r="A119" s="9" t="n">
        <v>109</v>
      </c>
      <c r="B119" s="47" t="s">
        <v>103</v>
      </c>
      <c r="C119" s="47" t="s">
        <v>2313</v>
      </c>
      <c r="D119" s="47" t="s">
        <v>549</v>
      </c>
      <c r="E119" s="47"/>
      <c r="F119" s="45" t="s">
        <v>472</v>
      </c>
      <c r="G119" s="9" t="n">
        <v>30</v>
      </c>
      <c r="H119" s="12" t="n">
        <f aca="false">'Engineering Assumptions'!$C$23*'Engineering Assumptions'!$B$5*U119</f>
        <v>1910</v>
      </c>
      <c r="I119" s="12" t="n">
        <f aca="false">'Engineering Assumptions'!$B$8</f>
        <v>650</v>
      </c>
      <c r="J119" s="12" t="n">
        <f aca="false">'Engineering Assumptions'!$D$23*S119*U119</f>
        <v>432</v>
      </c>
      <c r="K119" s="12" t="n">
        <f aca="false">'Engineering Assumptions'!$E$23*T119*U119</f>
        <v>720</v>
      </c>
      <c r="L119" s="13" t="n">
        <f aca="false">H119+I119+J119+K119</f>
        <v>3712</v>
      </c>
      <c r="M119" s="12" t="n">
        <f aca="false">L119*'Engineering Assumptions'!$B$10</f>
        <v>556.8</v>
      </c>
      <c r="N119" s="13" t="n">
        <f aca="false">L119+M119</f>
        <v>4268.8</v>
      </c>
      <c r="O119" s="12" t="n">
        <f aca="false">N119*'Engineering Assumptions'!$B$11</f>
        <v>853.76</v>
      </c>
      <c r="P119" s="183" t="n">
        <f aca="false">MROUND(N119+O119,10)</f>
        <v>5120</v>
      </c>
      <c r="Q119" s="12" t="n">
        <f aca="false">'Fleet Pricing'!H119</f>
        <v>2260</v>
      </c>
      <c r="R119" s="41" t="n">
        <v>30</v>
      </c>
      <c r="S119" s="46" t="n">
        <v>2.4</v>
      </c>
      <c r="T119" s="46" t="n">
        <v>3</v>
      </c>
      <c r="U119" s="46" t="n">
        <v>1</v>
      </c>
    </row>
    <row r="120" customFormat="false" ht="15" hidden="false" customHeight="true" outlineLevel="0" collapsed="false">
      <c r="A120" s="9" t="n">
        <v>110</v>
      </c>
      <c r="B120" s="47" t="s">
        <v>103</v>
      </c>
      <c r="C120" s="47" t="s">
        <v>2313</v>
      </c>
      <c r="D120" s="47" t="s">
        <v>550</v>
      </c>
      <c r="E120" s="47"/>
      <c r="F120" s="45" t="s">
        <v>472</v>
      </c>
      <c r="G120" s="9" t="n">
        <v>30</v>
      </c>
      <c r="H120" s="12" t="n">
        <f aca="false">'Engineering Assumptions'!$C$23*'Engineering Assumptions'!$B$5*U120</f>
        <v>1910</v>
      </c>
      <c r="I120" s="12" t="n">
        <f aca="false">'Engineering Assumptions'!$B$8</f>
        <v>650</v>
      </c>
      <c r="J120" s="12" t="n">
        <f aca="false">'Engineering Assumptions'!$D$23*S120*U120</f>
        <v>432</v>
      </c>
      <c r="K120" s="12" t="n">
        <f aca="false">'Engineering Assumptions'!$E$23*T120*U120</f>
        <v>720</v>
      </c>
      <c r="L120" s="13" t="n">
        <f aca="false">H120+I120+J120+K120</f>
        <v>3712</v>
      </c>
      <c r="M120" s="12" t="n">
        <f aca="false">L120*'Engineering Assumptions'!$B$10</f>
        <v>556.8</v>
      </c>
      <c r="N120" s="13" t="n">
        <f aca="false">L120+M120</f>
        <v>4268.8</v>
      </c>
      <c r="O120" s="12" t="n">
        <f aca="false">N120*'Engineering Assumptions'!$B$11</f>
        <v>853.76</v>
      </c>
      <c r="P120" s="183" t="n">
        <f aca="false">MROUND(N120+O120,10)</f>
        <v>5120</v>
      </c>
      <c r="Q120" s="12" t="n">
        <f aca="false">'Fleet Pricing'!H120</f>
        <v>2260</v>
      </c>
      <c r="R120" s="41" t="n">
        <v>30</v>
      </c>
      <c r="S120" s="46" t="n">
        <v>2.4</v>
      </c>
      <c r="T120" s="46" t="n">
        <v>3</v>
      </c>
      <c r="U120" s="46" t="n">
        <v>1</v>
      </c>
    </row>
    <row r="121" customFormat="false" ht="15" hidden="false" customHeight="true" outlineLevel="0" collapsed="false">
      <c r="A121" s="9" t="n">
        <v>111</v>
      </c>
      <c r="B121" s="47" t="s">
        <v>103</v>
      </c>
      <c r="C121" s="47" t="s">
        <v>2313</v>
      </c>
      <c r="D121" s="47" t="s">
        <v>551</v>
      </c>
      <c r="E121" s="47"/>
      <c r="F121" s="45" t="s">
        <v>472</v>
      </c>
      <c r="G121" s="9" t="n">
        <v>30</v>
      </c>
      <c r="H121" s="12" t="n">
        <f aca="false">'Engineering Assumptions'!$C$23*'Engineering Assumptions'!$B$5*U121</f>
        <v>1910</v>
      </c>
      <c r="I121" s="12" t="n">
        <f aca="false">'Engineering Assumptions'!$B$8</f>
        <v>650</v>
      </c>
      <c r="J121" s="12" t="n">
        <f aca="false">'Engineering Assumptions'!$D$23*S121*U121</f>
        <v>432</v>
      </c>
      <c r="K121" s="12" t="n">
        <f aca="false">'Engineering Assumptions'!$E$23*T121*U121</f>
        <v>720</v>
      </c>
      <c r="L121" s="13" t="n">
        <f aca="false">H121+I121+J121+K121</f>
        <v>3712</v>
      </c>
      <c r="M121" s="12" t="n">
        <f aca="false">L121*'Engineering Assumptions'!$B$10</f>
        <v>556.8</v>
      </c>
      <c r="N121" s="13" t="n">
        <f aca="false">L121+M121</f>
        <v>4268.8</v>
      </c>
      <c r="O121" s="12" t="n">
        <f aca="false">N121*'Engineering Assumptions'!$B$11</f>
        <v>853.76</v>
      </c>
      <c r="P121" s="183" t="n">
        <f aca="false">MROUND(N121+O121,10)</f>
        <v>5120</v>
      </c>
      <c r="Q121" s="12" t="n">
        <f aca="false">'Fleet Pricing'!H121</f>
        <v>2260</v>
      </c>
      <c r="R121" s="41" t="n">
        <v>30</v>
      </c>
      <c r="S121" s="46" t="n">
        <v>2.4</v>
      </c>
      <c r="T121" s="46" t="n">
        <v>3</v>
      </c>
      <c r="U121" s="46" t="n">
        <v>1</v>
      </c>
    </row>
    <row r="122" customFormat="false" ht="15" hidden="false" customHeight="true" outlineLevel="0" collapsed="false">
      <c r="A122" s="9" t="n">
        <v>112</v>
      </c>
      <c r="B122" s="47" t="s">
        <v>103</v>
      </c>
      <c r="C122" s="47" t="s">
        <v>2313</v>
      </c>
      <c r="D122" s="47" t="s">
        <v>552</v>
      </c>
      <c r="E122" s="47"/>
      <c r="F122" s="45" t="s">
        <v>472</v>
      </c>
      <c r="G122" s="9" t="n">
        <v>30</v>
      </c>
      <c r="H122" s="12" t="n">
        <f aca="false">'Engineering Assumptions'!$C$23*'Engineering Assumptions'!$B$5*U122</f>
        <v>1910</v>
      </c>
      <c r="I122" s="12" t="n">
        <f aca="false">'Engineering Assumptions'!$B$8</f>
        <v>650</v>
      </c>
      <c r="J122" s="12" t="n">
        <f aca="false">'Engineering Assumptions'!$D$23*S122*U122</f>
        <v>432</v>
      </c>
      <c r="K122" s="12" t="n">
        <f aca="false">'Engineering Assumptions'!$E$23*T122*U122</f>
        <v>720</v>
      </c>
      <c r="L122" s="13" t="n">
        <f aca="false">H122+I122+J122+K122</f>
        <v>3712</v>
      </c>
      <c r="M122" s="12" t="n">
        <f aca="false">L122*'Engineering Assumptions'!$B$10</f>
        <v>556.8</v>
      </c>
      <c r="N122" s="13" t="n">
        <f aca="false">L122+M122</f>
        <v>4268.8</v>
      </c>
      <c r="O122" s="12" t="n">
        <f aca="false">N122*'Engineering Assumptions'!$B$11</f>
        <v>853.76</v>
      </c>
      <c r="P122" s="183" t="n">
        <f aca="false">MROUND(N122+O122,10)</f>
        <v>5120</v>
      </c>
      <c r="Q122" s="12" t="n">
        <f aca="false">'Fleet Pricing'!H122</f>
        <v>2260</v>
      </c>
      <c r="R122" s="41" t="n">
        <v>30</v>
      </c>
      <c r="S122" s="46" t="n">
        <v>2.4</v>
      </c>
      <c r="T122" s="46" t="n">
        <v>3</v>
      </c>
      <c r="U122" s="46" t="n">
        <v>1</v>
      </c>
    </row>
    <row r="123" customFormat="false" ht="15" hidden="false" customHeight="true" outlineLevel="0" collapsed="false">
      <c r="A123" s="9" t="n">
        <v>113</v>
      </c>
      <c r="B123" s="47" t="s">
        <v>103</v>
      </c>
      <c r="C123" s="47" t="s">
        <v>2313</v>
      </c>
      <c r="D123" s="47" t="s">
        <v>554</v>
      </c>
      <c r="E123" s="47"/>
      <c r="F123" s="45" t="s">
        <v>472</v>
      </c>
      <c r="G123" s="9" t="n">
        <v>30</v>
      </c>
      <c r="H123" s="12" t="n">
        <f aca="false">'Engineering Assumptions'!$C$23*'Engineering Assumptions'!$B$5*U123</f>
        <v>1910</v>
      </c>
      <c r="I123" s="12" t="n">
        <f aca="false">'Engineering Assumptions'!$B$8</f>
        <v>650</v>
      </c>
      <c r="J123" s="12" t="n">
        <f aca="false">'Engineering Assumptions'!$D$23*S123*U123</f>
        <v>432</v>
      </c>
      <c r="K123" s="12" t="n">
        <f aca="false">'Engineering Assumptions'!$E$23*T123*U123</f>
        <v>720</v>
      </c>
      <c r="L123" s="13" t="n">
        <f aca="false">H123+I123+J123+K123</f>
        <v>3712</v>
      </c>
      <c r="M123" s="12" t="n">
        <f aca="false">L123*'Engineering Assumptions'!$B$10</f>
        <v>556.8</v>
      </c>
      <c r="N123" s="13" t="n">
        <f aca="false">L123+M123</f>
        <v>4268.8</v>
      </c>
      <c r="O123" s="12" t="n">
        <f aca="false">N123*'Engineering Assumptions'!$B$11</f>
        <v>853.76</v>
      </c>
      <c r="P123" s="183" t="n">
        <f aca="false">MROUND(N123+O123,10)</f>
        <v>5120</v>
      </c>
      <c r="Q123" s="12" t="n">
        <f aca="false">'Fleet Pricing'!H123</f>
        <v>2260</v>
      </c>
      <c r="R123" s="41" t="n">
        <v>30</v>
      </c>
      <c r="S123" s="46" t="n">
        <v>2.4</v>
      </c>
      <c r="T123" s="46" t="n">
        <v>3</v>
      </c>
      <c r="U123" s="46" t="n">
        <v>1</v>
      </c>
    </row>
    <row r="124" customFormat="false" ht="15" hidden="false" customHeight="true" outlineLevel="0" collapsed="false">
      <c r="A124" s="9" t="n">
        <v>114</v>
      </c>
      <c r="B124" s="47" t="s">
        <v>103</v>
      </c>
      <c r="C124" s="47" t="s">
        <v>2313</v>
      </c>
      <c r="D124" s="47" t="s">
        <v>555</v>
      </c>
      <c r="E124" s="47"/>
      <c r="F124" s="45" t="s">
        <v>472</v>
      </c>
      <c r="G124" s="9" t="n">
        <v>30</v>
      </c>
      <c r="H124" s="12" t="n">
        <f aca="false">'Engineering Assumptions'!$C$23*'Engineering Assumptions'!$B$5*U124</f>
        <v>1910</v>
      </c>
      <c r="I124" s="12" t="n">
        <f aca="false">'Engineering Assumptions'!$B$8</f>
        <v>650</v>
      </c>
      <c r="J124" s="12" t="n">
        <f aca="false">'Engineering Assumptions'!$D$23*S124*U124</f>
        <v>432</v>
      </c>
      <c r="K124" s="12" t="n">
        <f aca="false">'Engineering Assumptions'!$E$23*T124*U124</f>
        <v>720</v>
      </c>
      <c r="L124" s="13" t="n">
        <f aca="false">H124+I124+J124+K124</f>
        <v>3712</v>
      </c>
      <c r="M124" s="12" t="n">
        <f aca="false">L124*'Engineering Assumptions'!$B$10</f>
        <v>556.8</v>
      </c>
      <c r="N124" s="13" t="n">
        <f aca="false">L124+M124</f>
        <v>4268.8</v>
      </c>
      <c r="O124" s="12" t="n">
        <f aca="false">N124*'Engineering Assumptions'!$B$11</f>
        <v>853.76</v>
      </c>
      <c r="P124" s="183" t="n">
        <f aca="false">MROUND(N124+O124,10)</f>
        <v>5120</v>
      </c>
      <c r="Q124" s="12" t="n">
        <f aca="false">'Fleet Pricing'!H124</f>
        <v>2260</v>
      </c>
      <c r="R124" s="41" t="n">
        <v>30</v>
      </c>
      <c r="S124" s="46" t="n">
        <v>2.4</v>
      </c>
      <c r="T124" s="46" t="n">
        <v>3</v>
      </c>
      <c r="U124" s="46" t="n">
        <v>1</v>
      </c>
    </row>
    <row r="125" customFormat="false" ht="15" hidden="false" customHeight="true" outlineLevel="0" collapsed="false">
      <c r="A125" s="9" t="n">
        <v>115</v>
      </c>
      <c r="B125" s="47" t="s">
        <v>103</v>
      </c>
      <c r="C125" s="47" t="s">
        <v>2313</v>
      </c>
      <c r="D125" s="47" t="s">
        <v>556</v>
      </c>
      <c r="E125" s="47"/>
      <c r="F125" s="45" t="s">
        <v>472</v>
      </c>
      <c r="G125" s="9" t="n">
        <v>30</v>
      </c>
      <c r="H125" s="12" t="n">
        <f aca="false">'Engineering Assumptions'!$C$23*'Engineering Assumptions'!$B$5*U125</f>
        <v>1910</v>
      </c>
      <c r="I125" s="12" t="n">
        <f aca="false">'Engineering Assumptions'!$B$8</f>
        <v>650</v>
      </c>
      <c r="J125" s="12" t="n">
        <f aca="false">'Engineering Assumptions'!$D$23*S125*U125</f>
        <v>432</v>
      </c>
      <c r="K125" s="12" t="n">
        <f aca="false">'Engineering Assumptions'!$E$23*T125*U125</f>
        <v>720</v>
      </c>
      <c r="L125" s="13" t="n">
        <f aca="false">H125+I125+J125+K125</f>
        <v>3712</v>
      </c>
      <c r="M125" s="12" t="n">
        <f aca="false">L125*'Engineering Assumptions'!$B$10</f>
        <v>556.8</v>
      </c>
      <c r="N125" s="13" t="n">
        <f aca="false">L125+M125</f>
        <v>4268.8</v>
      </c>
      <c r="O125" s="12" t="n">
        <f aca="false">N125*'Engineering Assumptions'!$B$11</f>
        <v>853.76</v>
      </c>
      <c r="P125" s="183" t="n">
        <f aca="false">MROUND(N125+O125,10)</f>
        <v>5120</v>
      </c>
      <c r="Q125" s="12" t="n">
        <f aca="false">'Fleet Pricing'!H125</f>
        <v>2260</v>
      </c>
      <c r="R125" s="41" t="n">
        <v>30</v>
      </c>
      <c r="S125" s="46" t="n">
        <v>2.4</v>
      </c>
      <c r="T125" s="46" t="n">
        <v>3</v>
      </c>
      <c r="U125" s="46" t="n">
        <v>1</v>
      </c>
    </row>
    <row r="126" customFormat="false" ht="15" hidden="false" customHeight="true" outlineLevel="0" collapsed="false">
      <c r="A126" s="9" t="n">
        <v>116</v>
      </c>
      <c r="B126" s="47" t="s">
        <v>103</v>
      </c>
      <c r="C126" s="47" t="s">
        <v>2313</v>
      </c>
      <c r="D126" s="47" t="s">
        <v>557</v>
      </c>
      <c r="E126" s="47"/>
      <c r="F126" s="45" t="s">
        <v>472</v>
      </c>
      <c r="G126" s="9" t="n">
        <v>30</v>
      </c>
      <c r="H126" s="12" t="n">
        <f aca="false">'Engineering Assumptions'!$C$23*'Engineering Assumptions'!$B$5*U126</f>
        <v>1910</v>
      </c>
      <c r="I126" s="12" t="n">
        <f aca="false">'Engineering Assumptions'!$B$8</f>
        <v>650</v>
      </c>
      <c r="J126" s="12" t="n">
        <f aca="false">'Engineering Assumptions'!$D$23*S126*U126</f>
        <v>432</v>
      </c>
      <c r="K126" s="12" t="n">
        <f aca="false">'Engineering Assumptions'!$E$23*T126*U126</f>
        <v>720</v>
      </c>
      <c r="L126" s="13" t="n">
        <f aca="false">H126+I126+J126+K126</f>
        <v>3712</v>
      </c>
      <c r="M126" s="12" t="n">
        <f aca="false">L126*'Engineering Assumptions'!$B$10</f>
        <v>556.8</v>
      </c>
      <c r="N126" s="13" t="n">
        <f aca="false">L126+M126</f>
        <v>4268.8</v>
      </c>
      <c r="O126" s="12" t="n">
        <f aca="false">N126*'Engineering Assumptions'!$B$11</f>
        <v>853.76</v>
      </c>
      <c r="P126" s="183" t="n">
        <f aca="false">MROUND(N126+O126,10)</f>
        <v>5120</v>
      </c>
      <c r="Q126" s="12" t="n">
        <f aca="false">'Fleet Pricing'!H126</f>
        <v>2260</v>
      </c>
      <c r="R126" s="41" t="n">
        <v>30</v>
      </c>
      <c r="S126" s="46" t="n">
        <v>2.4</v>
      </c>
      <c r="T126" s="46" t="n">
        <v>3</v>
      </c>
      <c r="U126" s="46" t="n">
        <v>1</v>
      </c>
    </row>
    <row r="127" customFormat="false" ht="15" hidden="false" customHeight="true" outlineLevel="0" collapsed="false">
      <c r="A127" s="9" t="n">
        <v>117</v>
      </c>
      <c r="B127" s="47" t="s">
        <v>103</v>
      </c>
      <c r="C127" s="47" t="s">
        <v>2313</v>
      </c>
      <c r="D127" s="47" t="s">
        <v>558</v>
      </c>
      <c r="E127" s="47"/>
      <c r="F127" s="45" t="s">
        <v>472</v>
      </c>
      <c r="G127" s="9" t="n">
        <v>30</v>
      </c>
      <c r="H127" s="12" t="n">
        <f aca="false">'Engineering Assumptions'!$C$23*'Engineering Assumptions'!$B$5*U127</f>
        <v>1910</v>
      </c>
      <c r="I127" s="12" t="n">
        <f aca="false">'Engineering Assumptions'!$B$8</f>
        <v>650</v>
      </c>
      <c r="J127" s="12" t="n">
        <f aca="false">'Engineering Assumptions'!$D$23*S127*U127</f>
        <v>432</v>
      </c>
      <c r="K127" s="12" t="n">
        <f aca="false">'Engineering Assumptions'!$E$23*T127*U127</f>
        <v>720</v>
      </c>
      <c r="L127" s="13" t="n">
        <f aca="false">H127+I127+J127+K127</f>
        <v>3712</v>
      </c>
      <c r="M127" s="12" t="n">
        <f aca="false">L127*'Engineering Assumptions'!$B$10</f>
        <v>556.8</v>
      </c>
      <c r="N127" s="13" t="n">
        <f aca="false">L127+M127</f>
        <v>4268.8</v>
      </c>
      <c r="O127" s="12" t="n">
        <f aca="false">N127*'Engineering Assumptions'!$B$11</f>
        <v>853.76</v>
      </c>
      <c r="P127" s="183" t="n">
        <f aca="false">MROUND(N127+O127,10)</f>
        <v>5120</v>
      </c>
      <c r="Q127" s="12" t="n">
        <f aca="false">'Fleet Pricing'!H127</f>
        <v>2260</v>
      </c>
      <c r="R127" s="41" t="n">
        <v>30</v>
      </c>
      <c r="S127" s="46" t="n">
        <v>2.4</v>
      </c>
      <c r="T127" s="46" t="n">
        <v>3</v>
      </c>
      <c r="U127" s="46" t="n">
        <v>1</v>
      </c>
    </row>
    <row r="128" customFormat="false" ht="15" hidden="false" customHeight="true" outlineLevel="0" collapsed="false">
      <c r="A128" s="9" t="n">
        <v>118</v>
      </c>
      <c r="B128" s="47" t="s">
        <v>103</v>
      </c>
      <c r="C128" s="47" t="s">
        <v>2313</v>
      </c>
      <c r="D128" s="47" t="s">
        <v>559</v>
      </c>
      <c r="E128" s="47"/>
      <c r="F128" s="45" t="s">
        <v>472</v>
      </c>
      <c r="G128" s="9" t="n">
        <v>30</v>
      </c>
      <c r="H128" s="12" t="n">
        <f aca="false">'Engineering Assumptions'!$C$23*'Engineering Assumptions'!$B$5*U128</f>
        <v>1910</v>
      </c>
      <c r="I128" s="12" t="n">
        <f aca="false">'Engineering Assumptions'!$B$8</f>
        <v>650</v>
      </c>
      <c r="J128" s="12" t="n">
        <f aca="false">'Engineering Assumptions'!$D$23*S128*U128</f>
        <v>432</v>
      </c>
      <c r="K128" s="12" t="n">
        <f aca="false">'Engineering Assumptions'!$E$23*T128*U128</f>
        <v>720</v>
      </c>
      <c r="L128" s="13" t="n">
        <f aca="false">H128+I128+J128+K128</f>
        <v>3712</v>
      </c>
      <c r="M128" s="12" t="n">
        <f aca="false">L128*'Engineering Assumptions'!$B$10</f>
        <v>556.8</v>
      </c>
      <c r="N128" s="13" t="n">
        <f aca="false">L128+M128</f>
        <v>4268.8</v>
      </c>
      <c r="O128" s="12" t="n">
        <f aca="false">N128*'Engineering Assumptions'!$B$11</f>
        <v>853.76</v>
      </c>
      <c r="P128" s="183" t="n">
        <f aca="false">MROUND(N128+O128,10)</f>
        <v>5120</v>
      </c>
      <c r="Q128" s="12" t="n">
        <f aca="false">'Fleet Pricing'!H128</f>
        <v>2260</v>
      </c>
      <c r="R128" s="41" t="n">
        <v>30</v>
      </c>
      <c r="S128" s="46" t="n">
        <v>2.4</v>
      </c>
      <c r="T128" s="46" t="n">
        <v>3</v>
      </c>
      <c r="U128" s="46" t="n">
        <v>1</v>
      </c>
    </row>
    <row r="129" customFormat="false" ht="15" hidden="false" customHeight="true" outlineLevel="0" collapsed="false">
      <c r="A129" s="9" t="n">
        <v>119</v>
      </c>
      <c r="B129" s="47" t="s">
        <v>103</v>
      </c>
      <c r="C129" s="47" t="s">
        <v>2313</v>
      </c>
      <c r="D129" s="47" t="s">
        <v>560</v>
      </c>
      <c r="E129" s="47"/>
      <c r="F129" s="45" t="s">
        <v>472</v>
      </c>
      <c r="G129" s="9" t="n">
        <v>30</v>
      </c>
      <c r="H129" s="12" t="n">
        <f aca="false">'Engineering Assumptions'!$C$23*'Engineering Assumptions'!$B$5*U129</f>
        <v>1910</v>
      </c>
      <c r="I129" s="12" t="n">
        <f aca="false">'Engineering Assumptions'!$B$8</f>
        <v>650</v>
      </c>
      <c r="J129" s="12" t="n">
        <f aca="false">'Engineering Assumptions'!$D$23*S129*U129</f>
        <v>432</v>
      </c>
      <c r="K129" s="12" t="n">
        <f aca="false">'Engineering Assumptions'!$E$23*T129*U129</f>
        <v>720</v>
      </c>
      <c r="L129" s="13" t="n">
        <f aca="false">H129+I129+J129+K129</f>
        <v>3712</v>
      </c>
      <c r="M129" s="12" t="n">
        <f aca="false">L129*'Engineering Assumptions'!$B$10</f>
        <v>556.8</v>
      </c>
      <c r="N129" s="13" t="n">
        <f aca="false">L129+M129</f>
        <v>4268.8</v>
      </c>
      <c r="O129" s="12" t="n">
        <f aca="false">N129*'Engineering Assumptions'!$B$11</f>
        <v>853.76</v>
      </c>
      <c r="P129" s="183" t="n">
        <f aca="false">MROUND(N129+O129,10)</f>
        <v>5120</v>
      </c>
      <c r="Q129" s="12" t="n">
        <f aca="false">'Fleet Pricing'!H129</f>
        <v>2260</v>
      </c>
      <c r="R129" s="41" t="n">
        <v>30</v>
      </c>
      <c r="S129" s="46" t="n">
        <v>2.4</v>
      </c>
      <c r="T129" s="46" t="n">
        <v>3</v>
      </c>
      <c r="U129" s="46" t="n">
        <v>1</v>
      </c>
    </row>
    <row r="130" customFormat="false" ht="15" hidden="false" customHeight="true" outlineLevel="0" collapsed="false">
      <c r="A130" s="9" t="n">
        <v>120</v>
      </c>
      <c r="B130" s="47" t="s">
        <v>103</v>
      </c>
      <c r="C130" s="47" t="s">
        <v>2313</v>
      </c>
      <c r="D130" s="47" t="s">
        <v>561</v>
      </c>
      <c r="E130" s="47"/>
      <c r="F130" s="45" t="s">
        <v>472</v>
      </c>
      <c r="G130" s="9" t="n">
        <v>30</v>
      </c>
      <c r="H130" s="12" t="n">
        <f aca="false">'Engineering Assumptions'!$C$23*'Engineering Assumptions'!$B$5*U130</f>
        <v>1910</v>
      </c>
      <c r="I130" s="12" t="n">
        <f aca="false">'Engineering Assumptions'!$B$8</f>
        <v>650</v>
      </c>
      <c r="J130" s="12" t="n">
        <f aca="false">'Engineering Assumptions'!$D$23*S130*U130</f>
        <v>432</v>
      </c>
      <c r="K130" s="12" t="n">
        <f aca="false">'Engineering Assumptions'!$E$23*T130*U130</f>
        <v>720</v>
      </c>
      <c r="L130" s="13" t="n">
        <f aca="false">H130+I130+J130+K130</f>
        <v>3712</v>
      </c>
      <c r="M130" s="12" t="n">
        <f aca="false">L130*'Engineering Assumptions'!$B$10</f>
        <v>556.8</v>
      </c>
      <c r="N130" s="13" t="n">
        <f aca="false">L130+M130</f>
        <v>4268.8</v>
      </c>
      <c r="O130" s="12" t="n">
        <f aca="false">N130*'Engineering Assumptions'!$B$11</f>
        <v>853.76</v>
      </c>
      <c r="P130" s="183" t="n">
        <f aca="false">MROUND(N130+O130,10)</f>
        <v>5120</v>
      </c>
      <c r="Q130" s="12" t="n">
        <f aca="false">'Fleet Pricing'!H130</f>
        <v>2260</v>
      </c>
      <c r="R130" s="41" t="n">
        <v>30</v>
      </c>
      <c r="S130" s="46" t="n">
        <v>2.4</v>
      </c>
      <c r="T130" s="46" t="n">
        <v>3</v>
      </c>
      <c r="U130" s="46" t="n">
        <v>1</v>
      </c>
    </row>
    <row r="131" customFormat="false" ht="15" hidden="false" customHeight="true" outlineLevel="0" collapsed="false">
      <c r="A131" s="9" t="n">
        <v>121</v>
      </c>
      <c r="B131" s="47" t="s">
        <v>103</v>
      </c>
      <c r="C131" s="47" t="s">
        <v>2313</v>
      </c>
      <c r="D131" s="47" t="s">
        <v>562</v>
      </c>
      <c r="E131" s="47"/>
      <c r="F131" s="45" t="s">
        <v>472</v>
      </c>
      <c r="G131" s="9" t="n">
        <v>30</v>
      </c>
      <c r="H131" s="12" t="n">
        <f aca="false">'Engineering Assumptions'!$C$23*'Engineering Assumptions'!$B$5*U131</f>
        <v>1910</v>
      </c>
      <c r="I131" s="12" t="n">
        <f aca="false">'Engineering Assumptions'!$B$8</f>
        <v>650</v>
      </c>
      <c r="J131" s="12" t="n">
        <f aca="false">'Engineering Assumptions'!$D$23*S131*U131</f>
        <v>432</v>
      </c>
      <c r="K131" s="12" t="n">
        <f aca="false">'Engineering Assumptions'!$E$23*T131*U131</f>
        <v>720</v>
      </c>
      <c r="L131" s="13" t="n">
        <f aca="false">H131+I131+J131+K131</f>
        <v>3712</v>
      </c>
      <c r="M131" s="12" t="n">
        <f aca="false">L131*'Engineering Assumptions'!$B$10</f>
        <v>556.8</v>
      </c>
      <c r="N131" s="13" t="n">
        <f aca="false">L131+M131</f>
        <v>4268.8</v>
      </c>
      <c r="O131" s="12" t="n">
        <f aca="false">N131*'Engineering Assumptions'!$B$11</f>
        <v>853.76</v>
      </c>
      <c r="P131" s="183" t="n">
        <f aca="false">MROUND(N131+O131,10)</f>
        <v>5120</v>
      </c>
      <c r="Q131" s="12" t="n">
        <f aca="false">'Fleet Pricing'!H131</f>
        <v>2260</v>
      </c>
      <c r="R131" s="41" t="n">
        <v>30</v>
      </c>
      <c r="S131" s="46" t="n">
        <v>2.4</v>
      </c>
      <c r="T131" s="46" t="n">
        <v>3</v>
      </c>
      <c r="U131" s="46" t="n">
        <v>1</v>
      </c>
    </row>
    <row r="132" customFormat="false" ht="15" hidden="false" customHeight="true" outlineLevel="0" collapsed="false">
      <c r="A132" s="9" t="n">
        <v>122</v>
      </c>
      <c r="B132" s="47" t="s">
        <v>103</v>
      </c>
      <c r="C132" s="47" t="s">
        <v>2313</v>
      </c>
      <c r="D132" s="47" t="s">
        <v>563</v>
      </c>
      <c r="E132" s="47"/>
      <c r="F132" s="45" t="s">
        <v>472</v>
      </c>
      <c r="G132" s="9" t="n">
        <v>30</v>
      </c>
      <c r="H132" s="12" t="n">
        <f aca="false">'Engineering Assumptions'!$C$23*'Engineering Assumptions'!$B$5*U132</f>
        <v>1910</v>
      </c>
      <c r="I132" s="12" t="n">
        <f aca="false">'Engineering Assumptions'!$B$8</f>
        <v>650</v>
      </c>
      <c r="J132" s="12" t="n">
        <f aca="false">'Engineering Assumptions'!$D$23*S132*U132</f>
        <v>432</v>
      </c>
      <c r="K132" s="12" t="n">
        <f aca="false">'Engineering Assumptions'!$E$23*T132*U132</f>
        <v>720</v>
      </c>
      <c r="L132" s="13" t="n">
        <f aca="false">H132+I132+J132+K132</f>
        <v>3712</v>
      </c>
      <c r="M132" s="12" t="n">
        <f aca="false">L132*'Engineering Assumptions'!$B$10</f>
        <v>556.8</v>
      </c>
      <c r="N132" s="13" t="n">
        <f aca="false">L132+M132</f>
        <v>4268.8</v>
      </c>
      <c r="O132" s="12" t="n">
        <f aca="false">N132*'Engineering Assumptions'!$B$11</f>
        <v>853.76</v>
      </c>
      <c r="P132" s="183" t="n">
        <f aca="false">MROUND(N132+O132,10)</f>
        <v>5120</v>
      </c>
      <c r="Q132" s="12" t="n">
        <f aca="false">'Fleet Pricing'!H132</f>
        <v>2260</v>
      </c>
      <c r="R132" s="41" t="n">
        <v>30</v>
      </c>
      <c r="S132" s="46" t="n">
        <v>2.4</v>
      </c>
      <c r="T132" s="46" t="n">
        <v>3</v>
      </c>
      <c r="U132" s="46" t="n">
        <v>1</v>
      </c>
    </row>
    <row r="133" customFormat="false" ht="15" hidden="false" customHeight="true" outlineLevel="0" collapsed="false">
      <c r="A133" s="9" t="n">
        <v>123</v>
      </c>
      <c r="B133" s="47" t="s">
        <v>103</v>
      </c>
      <c r="C133" s="47" t="s">
        <v>2313</v>
      </c>
      <c r="D133" s="47" t="s">
        <v>564</v>
      </c>
      <c r="E133" s="47"/>
      <c r="F133" s="45" t="s">
        <v>472</v>
      </c>
      <c r="G133" s="9" t="n">
        <v>30</v>
      </c>
      <c r="H133" s="12" t="n">
        <f aca="false">'Engineering Assumptions'!$C$23*'Engineering Assumptions'!$B$5*U133</f>
        <v>1910</v>
      </c>
      <c r="I133" s="12" t="n">
        <f aca="false">'Engineering Assumptions'!$B$8</f>
        <v>650</v>
      </c>
      <c r="J133" s="12" t="n">
        <f aca="false">'Engineering Assumptions'!$D$23*S133*U133</f>
        <v>432</v>
      </c>
      <c r="K133" s="12" t="n">
        <f aca="false">'Engineering Assumptions'!$E$23*T133*U133</f>
        <v>720</v>
      </c>
      <c r="L133" s="13" t="n">
        <f aca="false">H133+I133+J133+K133</f>
        <v>3712</v>
      </c>
      <c r="M133" s="12" t="n">
        <f aca="false">L133*'Engineering Assumptions'!$B$10</f>
        <v>556.8</v>
      </c>
      <c r="N133" s="13" t="n">
        <f aca="false">L133+M133</f>
        <v>4268.8</v>
      </c>
      <c r="O133" s="12" t="n">
        <f aca="false">N133*'Engineering Assumptions'!$B$11</f>
        <v>853.76</v>
      </c>
      <c r="P133" s="183" t="n">
        <f aca="false">MROUND(N133+O133,10)</f>
        <v>5120</v>
      </c>
      <c r="Q133" s="12" t="n">
        <f aca="false">'Fleet Pricing'!H133</f>
        <v>2260</v>
      </c>
      <c r="R133" s="41" t="n">
        <v>30</v>
      </c>
      <c r="S133" s="46" t="n">
        <v>2.4</v>
      </c>
      <c r="T133" s="46" t="n">
        <v>3</v>
      </c>
      <c r="U133" s="46" t="n">
        <v>1</v>
      </c>
    </row>
    <row r="134" customFormat="false" ht="15" hidden="false" customHeight="true" outlineLevel="0" collapsed="false">
      <c r="A134" s="9" t="n">
        <v>124</v>
      </c>
      <c r="B134" s="47" t="s">
        <v>103</v>
      </c>
      <c r="C134" s="47" t="s">
        <v>2313</v>
      </c>
      <c r="D134" s="47" t="s">
        <v>566</v>
      </c>
      <c r="E134" s="47"/>
      <c r="F134" s="45" t="s">
        <v>472</v>
      </c>
      <c r="G134" s="9" t="n">
        <v>30</v>
      </c>
      <c r="H134" s="12" t="n">
        <f aca="false">'Engineering Assumptions'!$C$23*'Engineering Assumptions'!$B$5*U134</f>
        <v>1910</v>
      </c>
      <c r="I134" s="12" t="n">
        <f aca="false">'Engineering Assumptions'!$B$8</f>
        <v>650</v>
      </c>
      <c r="J134" s="12" t="n">
        <f aca="false">'Engineering Assumptions'!$D$23*S134*U134</f>
        <v>432</v>
      </c>
      <c r="K134" s="12" t="n">
        <f aca="false">'Engineering Assumptions'!$E$23*T134*U134</f>
        <v>720</v>
      </c>
      <c r="L134" s="13" t="n">
        <f aca="false">H134+I134+J134+K134</f>
        <v>3712</v>
      </c>
      <c r="M134" s="12" t="n">
        <f aca="false">L134*'Engineering Assumptions'!$B$10</f>
        <v>556.8</v>
      </c>
      <c r="N134" s="13" t="n">
        <f aca="false">L134+M134</f>
        <v>4268.8</v>
      </c>
      <c r="O134" s="12" t="n">
        <f aca="false">N134*'Engineering Assumptions'!$B$11</f>
        <v>853.76</v>
      </c>
      <c r="P134" s="183" t="n">
        <f aca="false">MROUND(N134+O134,10)</f>
        <v>5120</v>
      </c>
      <c r="Q134" s="12" t="n">
        <f aca="false">'Fleet Pricing'!H134</f>
        <v>2260</v>
      </c>
      <c r="R134" s="41" t="n">
        <v>30</v>
      </c>
      <c r="S134" s="46" t="n">
        <v>2.4</v>
      </c>
      <c r="T134" s="46" t="n">
        <v>3</v>
      </c>
      <c r="U134" s="46" t="n">
        <v>1</v>
      </c>
    </row>
    <row r="135" customFormat="false" ht="15" hidden="false" customHeight="true" outlineLevel="0" collapsed="false">
      <c r="A135" s="9" t="n">
        <v>125</v>
      </c>
      <c r="B135" s="47" t="s">
        <v>103</v>
      </c>
      <c r="C135" s="47" t="s">
        <v>2313</v>
      </c>
      <c r="D135" s="47" t="s">
        <v>567</v>
      </c>
      <c r="E135" s="47"/>
      <c r="F135" s="45" t="s">
        <v>472</v>
      </c>
      <c r="G135" s="9" t="n">
        <v>30</v>
      </c>
      <c r="H135" s="12" t="n">
        <f aca="false">'Engineering Assumptions'!$C$23*'Engineering Assumptions'!$B$5*U135</f>
        <v>1910</v>
      </c>
      <c r="I135" s="12" t="n">
        <f aca="false">'Engineering Assumptions'!$B$8</f>
        <v>650</v>
      </c>
      <c r="J135" s="12" t="n">
        <f aca="false">'Engineering Assumptions'!$D$23*S135*U135</f>
        <v>432</v>
      </c>
      <c r="K135" s="12" t="n">
        <f aca="false">'Engineering Assumptions'!$E$23*T135*U135</f>
        <v>720</v>
      </c>
      <c r="L135" s="13" t="n">
        <f aca="false">H135+I135+J135+K135</f>
        <v>3712</v>
      </c>
      <c r="M135" s="12" t="n">
        <f aca="false">L135*'Engineering Assumptions'!$B$10</f>
        <v>556.8</v>
      </c>
      <c r="N135" s="13" t="n">
        <f aca="false">L135+M135</f>
        <v>4268.8</v>
      </c>
      <c r="O135" s="12" t="n">
        <f aca="false">N135*'Engineering Assumptions'!$B$11</f>
        <v>853.76</v>
      </c>
      <c r="P135" s="183" t="n">
        <f aca="false">MROUND(N135+O135,10)</f>
        <v>5120</v>
      </c>
      <c r="Q135" s="12" t="n">
        <f aca="false">'Fleet Pricing'!H135</f>
        <v>2260</v>
      </c>
      <c r="R135" s="41" t="n">
        <v>30</v>
      </c>
      <c r="S135" s="46" t="n">
        <v>2.4</v>
      </c>
      <c r="T135" s="46" t="n">
        <v>3</v>
      </c>
      <c r="U135" s="46" t="n">
        <v>1</v>
      </c>
    </row>
    <row r="136" customFormat="false" ht="15" hidden="false" customHeight="true" outlineLevel="0" collapsed="false">
      <c r="A136" s="9" t="n">
        <v>126</v>
      </c>
      <c r="B136" s="47" t="s">
        <v>103</v>
      </c>
      <c r="C136" s="47" t="s">
        <v>2313</v>
      </c>
      <c r="D136" s="47" t="s">
        <v>568</v>
      </c>
      <c r="E136" s="47"/>
      <c r="F136" s="45" t="s">
        <v>472</v>
      </c>
      <c r="G136" s="9" t="n">
        <v>30</v>
      </c>
      <c r="H136" s="12" t="n">
        <f aca="false">'Engineering Assumptions'!$C$23*'Engineering Assumptions'!$B$5*U136</f>
        <v>1910</v>
      </c>
      <c r="I136" s="12" t="n">
        <f aca="false">'Engineering Assumptions'!$B$8</f>
        <v>650</v>
      </c>
      <c r="J136" s="12" t="n">
        <f aca="false">'Engineering Assumptions'!$D$23*S136*U136</f>
        <v>432</v>
      </c>
      <c r="K136" s="12" t="n">
        <f aca="false">'Engineering Assumptions'!$E$23*T136*U136</f>
        <v>720</v>
      </c>
      <c r="L136" s="13" t="n">
        <f aca="false">H136+I136+J136+K136</f>
        <v>3712</v>
      </c>
      <c r="M136" s="12" t="n">
        <f aca="false">L136*'Engineering Assumptions'!$B$10</f>
        <v>556.8</v>
      </c>
      <c r="N136" s="13" t="n">
        <f aca="false">L136+M136</f>
        <v>4268.8</v>
      </c>
      <c r="O136" s="12" t="n">
        <f aca="false">N136*'Engineering Assumptions'!$B$11</f>
        <v>853.76</v>
      </c>
      <c r="P136" s="183" t="n">
        <f aca="false">MROUND(N136+O136,10)</f>
        <v>5120</v>
      </c>
      <c r="Q136" s="12" t="n">
        <f aca="false">'Fleet Pricing'!H136</f>
        <v>2260</v>
      </c>
      <c r="R136" s="41" t="n">
        <v>30</v>
      </c>
      <c r="S136" s="46" t="n">
        <v>2.4</v>
      </c>
      <c r="T136" s="46" t="n">
        <v>3</v>
      </c>
      <c r="U136" s="46" t="n">
        <v>1</v>
      </c>
    </row>
    <row r="137" customFormat="false" ht="15" hidden="false" customHeight="true" outlineLevel="0" collapsed="false">
      <c r="A137" s="9" t="n">
        <v>127</v>
      </c>
      <c r="B137" s="47" t="s">
        <v>103</v>
      </c>
      <c r="C137" s="47" t="s">
        <v>2313</v>
      </c>
      <c r="D137" s="47" t="s">
        <v>569</v>
      </c>
      <c r="E137" s="47"/>
      <c r="F137" s="45" t="s">
        <v>472</v>
      </c>
      <c r="G137" s="9" t="n">
        <v>30</v>
      </c>
      <c r="H137" s="12" t="n">
        <f aca="false">'Engineering Assumptions'!$C$23*'Engineering Assumptions'!$B$5*U137</f>
        <v>1910</v>
      </c>
      <c r="I137" s="12" t="n">
        <f aca="false">'Engineering Assumptions'!$B$8</f>
        <v>650</v>
      </c>
      <c r="J137" s="12" t="n">
        <f aca="false">'Engineering Assumptions'!$D$23*S137*U137</f>
        <v>432</v>
      </c>
      <c r="K137" s="12" t="n">
        <f aca="false">'Engineering Assumptions'!$E$23*T137*U137</f>
        <v>720</v>
      </c>
      <c r="L137" s="13" t="n">
        <f aca="false">H137+I137+J137+K137</f>
        <v>3712</v>
      </c>
      <c r="M137" s="12" t="n">
        <f aca="false">L137*'Engineering Assumptions'!$B$10</f>
        <v>556.8</v>
      </c>
      <c r="N137" s="13" t="n">
        <f aca="false">L137+M137</f>
        <v>4268.8</v>
      </c>
      <c r="O137" s="12" t="n">
        <f aca="false">N137*'Engineering Assumptions'!$B$11</f>
        <v>853.76</v>
      </c>
      <c r="P137" s="183" t="n">
        <f aca="false">MROUND(N137+O137,10)</f>
        <v>5120</v>
      </c>
      <c r="Q137" s="12" t="n">
        <f aca="false">'Fleet Pricing'!H137</f>
        <v>2260</v>
      </c>
      <c r="R137" s="41" t="n">
        <v>30</v>
      </c>
      <c r="S137" s="46" t="n">
        <v>2.4</v>
      </c>
      <c r="T137" s="46" t="n">
        <v>3</v>
      </c>
      <c r="U137" s="46" t="n">
        <v>1</v>
      </c>
    </row>
    <row r="138" customFormat="false" ht="15" hidden="false" customHeight="true" outlineLevel="0" collapsed="false">
      <c r="A138" s="9" t="n">
        <v>128</v>
      </c>
      <c r="B138" s="47" t="s">
        <v>103</v>
      </c>
      <c r="C138" s="47" t="s">
        <v>2332</v>
      </c>
      <c r="D138" s="47" t="s">
        <v>570</v>
      </c>
      <c r="E138" s="47"/>
      <c r="F138" s="45" t="s">
        <v>472</v>
      </c>
      <c r="G138" s="9" t="n">
        <v>30</v>
      </c>
      <c r="H138" s="12" t="n">
        <f aca="false">'Engineering Assumptions'!$C$23*'Engineering Assumptions'!$B$5*U138</f>
        <v>1910</v>
      </c>
      <c r="I138" s="12" t="n">
        <f aca="false">'Engineering Assumptions'!$B$8</f>
        <v>650</v>
      </c>
      <c r="J138" s="12" t="n">
        <f aca="false">'Engineering Assumptions'!$D$23*S138*U138</f>
        <v>432</v>
      </c>
      <c r="K138" s="12" t="n">
        <f aca="false">'Engineering Assumptions'!$E$23*T138*U138</f>
        <v>720</v>
      </c>
      <c r="L138" s="13" t="n">
        <f aca="false">H138+I138+J138+K138</f>
        <v>3712</v>
      </c>
      <c r="M138" s="12" t="n">
        <f aca="false">L138*'Engineering Assumptions'!$B$10</f>
        <v>556.8</v>
      </c>
      <c r="N138" s="13" t="n">
        <f aca="false">L138+M138</f>
        <v>4268.8</v>
      </c>
      <c r="O138" s="12" t="n">
        <f aca="false">N138*'Engineering Assumptions'!$B$11</f>
        <v>853.76</v>
      </c>
      <c r="P138" s="183" t="n">
        <f aca="false">MROUND(N138+O138,10)</f>
        <v>5120</v>
      </c>
      <c r="Q138" s="12" t="n">
        <f aca="false">'Fleet Pricing'!H138</f>
        <v>2260</v>
      </c>
      <c r="R138" s="41" t="n">
        <v>30</v>
      </c>
      <c r="S138" s="46" t="n">
        <v>2.4</v>
      </c>
      <c r="T138" s="46" t="n">
        <v>3</v>
      </c>
      <c r="U138" s="46" t="n">
        <v>1</v>
      </c>
    </row>
    <row r="139" customFormat="false" ht="15" hidden="false" customHeight="true" outlineLevel="0" collapsed="false">
      <c r="A139" s="9" t="n">
        <v>129</v>
      </c>
      <c r="B139" s="47" t="s">
        <v>103</v>
      </c>
      <c r="C139" s="47" t="s">
        <v>2332</v>
      </c>
      <c r="D139" s="47" t="s">
        <v>571</v>
      </c>
      <c r="E139" s="47"/>
      <c r="F139" s="45" t="s">
        <v>472</v>
      </c>
      <c r="G139" s="9" t="n">
        <v>30</v>
      </c>
      <c r="H139" s="12" t="n">
        <f aca="false">'Engineering Assumptions'!$C$23*'Engineering Assumptions'!$B$5*U139</f>
        <v>1910</v>
      </c>
      <c r="I139" s="12" t="n">
        <f aca="false">'Engineering Assumptions'!$B$8</f>
        <v>650</v>
      </c>
      <c r="J139" s="12" t="n">
        <f aca="false">'Engineering Assumptions'!$D$23*S139*U139</f>
        <v>432</v>
      </c>
      <c r="K139" s="12" t="n">
        <f aca="false">'Engineering Assumptions'!$E$23*T139*U139</f>
        <v>720</v>
      </c>
      <c r="L139" s="13" t="n">
        <f aca="false">H139+I139+J139+K139</f>
        <v>3712</v>
      </c>
      <c r="M139" s="12" t="n">
        <f aca="false">L139*'Engineering Assumptions'!$B$10</f>
        <v>556.8</v>
      </c>
      <c r="N139" s="13" t="n">
        <f aca="false">L139+M139</f>
        <v>4268.8</v>
      </c>
      <c r="O139" s="12" t="n">
        <f aca="false">N139*'Engineering Assumptions'!$B$11</f>
        <v>853.76</v>
      </c>
      <c r="P139" s="183" t="n">
        <f aca="false">MROUND(N139+O139,10)</f>
        <v>5120</v>
      </c>
      <c r="Q139" s="12" t="n">
        <f aca="false">'Fleet Pricing'!H139</f>
        <v>2260</v>
      </c>
      <c r="R139" s="41" t="n">
        <v>30</v>
      </c>
      <c r="S139" s="46" t="n">
        <v>2.4</v>
      </c>
      <c r="T139" s="46" t="n">
        <v>3</v>
      </c>
      <c r="U139" s="46" t="n">
        <v>1</v>
      </c>
    </row>
    <row r="140" customFormat="false" ht="15" hidden="false" customHeight="true" outlineLevel="0" collapsed="false">
      <c r="A140" s="9" t="n">
        <v>130</v>
      </c>
      <c r="B140" s="47" t="s">
        <v>103</v>
      </c>
      <c r="C140" s="47" t="s">
        <v>2332</v>
      </c>
      <c r="D140" s="47" t="s">
        <v>572</v>
      </c>
      <c r="E140" s="47"/>
      <c r="F140" s="45" t="s">
        <v>472</v>
      </c>
      <c r="G140" s="9" t="n">
        <v>30</v>
      </c>
      <c r="H140" s="12" t="n">
        <f aca="false">'Engineering Assumptions'!$C$23*'Engineering Assumptions'!$B$5*U140</f>
        <v>1910</v>
      </c>
      <c r="I140" s="12" t="n">
        <f aca="false">'Engineering Assumptions'!$B$8</f>
        <v>650</v>
      </c>
      <c r="J140" s="12" t="n">
        <f aca="false">'Engineering Assumptions'!$D$23*S140*U140</f>
        <v>432</v>
      </c>
      <c r="K140" s="12" t="n">
        <f aca="false">'Engineering Assumptions'!$E$23*T140*U140</f>
        <v>720</v>
      </c>
      <c r="L140" s="13" t="n">
        <f aca="false">H140+I140+J140+K140</f>
        <v>3712</v>
      </c>
      <c r="M140" s="12" t="n">
        <f aca="false">L140*'Engineering Assumptions'!$B$10</f>
        <v>556.8</v>
      </c>
      <c r="N140" s="13" t="n">
        <f aca="false">L140+M140</f>
        <v>4268.8</v>
      </c>
      <c r="O140" s="12" t="n">
        <f aca="false">N140*'Engineering Assumptions'!$B$11</f>
        <v>853.76</v>
      </c>
      <c r="P140" s="183" t="n">
        <f aca="false">MROUND(N140+O140,10)</f>
        <v>5120</v>
      </c>
      <c r="Q140" s="12" t="n">
        <f aca="false">'Fleet Pricing'!H140</f>
        <v>2260</v>
      </c>
      <c r="R140" s="41" t="n">
        <v>30</v>
      </c>
      <c r="S140" s="46" t="n">
        <v>2.4</v>
      </c>
      <c r="T140" s="46" t="n">
        <v>3</v>
      </c>
      <c r="U140" s="46" t="n">
        <v>1</v>
      </c>
    </row>
    <row r="141" customFormat="false" ht="15" hidden="false" customHeight="true" outlineLevel="0" collapsed="false">
      <c r="A141" s="9" t="n">
        <v>131</v>
      </c>
      <c r="B141" s="47" t="s">
        <v>103</v>
      </c>
      <c r="C141" s="47" t="s">
        <v>2332</v>
      </c>
      <c r="D141" s="47" t="s">
        <v>573</v>
      </c>
      <c r="E141" s="47"/>
      <c r="F141" s="45" t="s">
        <v>472</v>
      </c>
      <c r="G141" s="9" t="n">
        <v>30</v>
      </c>
      <c r="H141" s="12" t="n">
        <f aca="false">'Engineering Assumptions'!$C$23*'Engineering Assumptions'!$B$5*U141</f>
        <v>1910</v>
      </c>
      <c r="I141" s="12" t="n">
        <f aca="false">'Engineering Assumptions'!$B$8</f>
        <v>650</v>
      </c>
      <c r="J141" s="12" t="n">
        <f aca="false">'Engineering Assumptions'!$D$23*S141*U141</f>
        <v>432</v>
      </c>
      <c r="K141" s="12" t="n">
        <f aca="false">'Engineering Assumptions'!$E$23*T141*U141</f>
        <v>720</v>
      </c>
      <c r="L141" s="13" t="n">
        <f aca="false">H141+I141+J141+K141</f>
        <v>3712</v>
      </c>
      <c r="M141" s="12" t="n">
        <f aca="false">L141*'Engineering Assumptions'!$B$10</f>
        <v>556.8</v>
      </c>
      <c r="N141" s="13" t="n">
        <f aca="false">L141+M141</f>
        <v>4268.8</v>
      </c>
      <c r="O141" s="12" t="n">
        <f aca="false">N141*'Engineering Assumptions'!$B$11</f>
        <v>853.76</v>
      </c>
      <c r="P141" s="183" t="n">
        <f aca="false">MROUND(N141+O141,10)</f>
        <v>5120</v>
      </c>
      <c r="Q141" s="12" t="n">
        <f aca="false">'Fleet Pricing'!H141</f>
        <v>2260</v>
      </c>
      <c r="R141" s="41" t="n">
        <v>30</v>
      </c>
      <c r="S141" s="46" t="n">
        <v>2.4</v>
      </c>
      <c r="T141" s="46" t="n">
        <v>3</v>
      </c>
      <c r="U141" s="46" t="n">
        <v>1</v>
      </c>
    </row>
    <row r="142" customFormat="false" ht="15" hidden="false" customHeight="true" outlineLevel="0" collapsed="false">
      <c r="A142" s="9" t="n">
        <v>132</v>
      </c>
      <c r="B142" s="47" t="s">
        <v>103</v>
      </c>
      <c r="C142" s="47" t="s">
        <v>2332</v>
      </c>
      <c r="D142" s="47" t="s">
        <v>574</v>
      </c>
      <c r="E142" s="47"/>
      <c r="F142" s="45" t="s">
        <v>472</v>
      </c>
      <c r="G142" s="9" t="n">
        <v>30</v>
      </c>
      <c r="H142" s="12" t="n">
        <f aca="false">'Engineering Assumptions'!$C$23*'Engineering Assumptions'!$B$5*U142</f>
        <v>1910</v>
      </c>
      <c r="I142" s="12" t="n">
        <f aca="false">'Engineering Assumptions'!$B$8</f>
        <v>650</v>
      </c>
      <c r="J142" s="12" t="n">
        <f aca="false">'Engineering Assumptions'!$D$23*S142*U142</f>
        <v>432</v>
      </c>
      <c r="K142" s="12" t="n">
        <f aca="false">'Engineering Assumptions'!$E$23*T142*U142</f>
        <v>720</v>
      </c>
      <c r="L142" s="13" t="n">
        <f aca="false">H142+I142+J142+K142</f>
        <v>3712</v>
      </c>
      <c r="M142" s="12" t="n">
        <f aca="false">L142*'Engineering Assumptions'!$B$10</f>
        <v>556.8</v>
      </c>
      <c r="N142" s="13" t="n">
        <f aca="false">L142+M142</f>
        <v>4268.8</v>
      </c>
      <c r="O142" s="12" t="n">
        <f aca="false">N142*'Engineering Assumptions'!$B$11</f>
        <v>853.76</v>
      </c>
      <c r="P142" s="183" t="n">
        <f aca="false">MROUND(N142+O142,10)</f>
        <v>5120</v>
      </c>
      <c r="Q142" s="12" t="n">
        <f aca="false">'Fleet Pricing'!H142</f>
        <v>2260</v>
      </c>
      <c r="R142" s="41" t="n">
        <v>30</v>
      </c>
      <c r="S142" s="46" t="n">
        <v>2.4</v>
      </c>
      <c r="T142" s="46" t="n">
        <v>3</v>
      </c>
      <c r="U142" s="46" t="n">
        <v>1</v>
      </c>
    </row>
    <row r="143" customFormat="false" ht="15" hidden="false" customHeight="true" outlineLevel="0" collapsed="false">
      <c r="A143" s="9" t="n">
        <v>133</v>
      </c>
      <c r="B143" s="47" t="s">
        <v>103</v>
      </c>
      <c r="C143" s="47" t="s">
        <v>2332</v>
      </c>
      <c r="D143" s="47" t="s">
        <v>575</v>
      </c>
      <c r="E143" s="47"/>
      <c r="F143" s="45" t="s">
        <v>472</v>
      </c>
      <c r="G143" s="9" t="n">
        <v>30</v>
      </c>
      <c r="H143" s="12" t="n">
        <f aca="false">'Engineering Assumptions'!$C$23*'Engineering Assumptions'!$B$5*U143</f>
        <v>1910</v>
      </c>
      <c r="I143" s="12" t="n">
        <f aca="false">'Engineering Assumptions'!$B$8</f>
        <v>650</v>
      </c>
      <c r="J143" s="12" t="n">
        <f aca="false">'Engineering Assumptions'!$D$23*S143*U143</f>
        <v>432</v>
      </c>
      <c r="K143" s="12" t="n">
        <f aca="false">'Engineering Assumptions'!$E$23*T143*U143</f>
        <v>720</v>
      </c>
      <c r="L143" s="13" t="n">
        <f aca="false">H143+I143+J143+K143</f>
        <v>3712</v>
      </c>
      <c r="M143" s="12" t="n">
        <f aca="false">L143*'Engineering Assumptions'!$B$10</f>
        <v>556.8</v>
      </c>
      <c r="N143" s="13" t="n">
        <f aca="false">L143+M143</f>
        <v>4268.8</v>
      </c>
      <c r="O143" s="12" t="n">
        <f aca="false">N143*'Engineering Assumptions'!$B$11</f>
        <v>853.76</v>
      </c>
      <c r="P143" s="183" t="n">
        <f aca="false">MROUND(N143+O143,10)</f>
        <v>5120</v>
      </c>
      <c r="Q143" s="12" t="n">
        <f aca="false">'Fleet Pricing'!H143</f>
        <v>2260</v>
      </c>
      <c r="R143" s="41" t="n">
        <v>30</v>
      </c>
      <c r="S143" s="46" t="n">
        <v>2.4</v>
      </c>
      <c r="T143" s="46" t="n">
        <v>3</v>
      </c>
      <c r="U143" s="46" t="n">
        <v>1</v>
      </c>
    </row>
    <row r="144" customFormat="false" ht="15" hidden="false" customHeight="true" outlineLevel="0" collapsed="false">
      <c r="A144" s="9" t="n">
        <v>134</v>
      </c>
      <c r="B144" s="47" t="s">
        <v>103</v>
      </c>
      <c r="C144" s="47" t="s">
        <v>2332</v>
      </c>
      <c r="D144" s="47" t="s">
        <v>576</v>
      </c>
      <c r="E144" s="47"/>
      <c r="F144" s="45" t="s">
        <v>472</v>
      </c>
      <c r="G144" s="9" t="n">
        <v>30</v>
      </c>
      <c r="H144" s="12" t="n">
        <f aca="false">'Engineering Assumptions'!$C$23*'Engineering Assumptions'!$B$5*U144</f>
        <v>1910</v>
      </c>
      <c r="I144" s="12" t="n">
        <f aca="false">'Engineering Assumptions'!$B$8</f>
        <v>650</v>
      </c>
      <c r="J144" s="12" t="n">
        <f aca="false">'Engineering Assumptions'!$D$23*S144*U144</f>
        <v>432</v>
      </c>
      <c r="K144" s="12" t="n">
        <f aca="false">'Engineering Assumptions'!$E$23*T144*U144</f>
        <v>720</v>
      </c>
      <c r="L144" s="13" t="n">
        <f aca="false">H144+I144+J144+K144</f>
        <v>3712</v>
      </c>
      <c r="M144" s="12" t="n">
        <f aca="false">L144*'Engineering Assumptions'!$B$10</f>
        <v>556.8</v>
      </c>
      <c r="N144" s="13" t="n">
        <f aca="false">L144+M144</f>
        <v>4268.8</v>
      </c>
      <c r="O144" s="12" t="n">
        <f aca="false">N144*'Engineering Assumptions'!$B$11</f>
        <v>853.76</v>
      </c>
      <c r="P144" s="183" t="n">
        <f aca="false">MROUND(N144+O144,10)</f>
        <v>5120</v>
      </c>
      <c r="Q144" s="12" t="n">
        <f aca="false">'Fleet Pricing'!H144</f>
        <v>2260</v>
      </c>
      <c r="R144" s="41" t="n">
        <v>30</v>
      </c>
      <c r="S144" s="46" t="n">
        <v>2.4</v>
      </c>
      <c r="T144" s="46" t="n">
        <v>3</v>
      </c>
      <c r="U144" s="46" t="n">
        <v>1</v>
      </c>
    </row>
    <row r="145" customFormat="false" ht="15" hidden="false" customHeight="true" outlineLevel="0" collapsed="false">
      <c r="A145" s="9" t="n">
        <v>135</v>
      </c>
      <c r="B145" s="47" t="s">
        <v>103</v>
      </c>
      <c r="C145" s="47" t="s">
        <v>2332</v>
      </c>
      <c r="D145" s="47" t="s">
        <v>579</v>
      </c>
      <c r="E145" s="47"/>
      <c r="F145" s="45" t="s">
        <v>472</v>
      </c>
      <c r="G145" s="9" t="n">
        <v>30</v>
      </c>
      <c r="H145" s="12" t="n">
        <f aca="false">'Engineering Assumptions'!$C$23*'Engineering Assumptions'!$B$5*U145</f>
        <v>1910</v>
      </c>
      <c r="I145" s="12" t="n">
        <f aca="false">'Engineering Assumptions'!$B$8</f>
        <v>650</v>
      </c>
      <c r="J145" s="12" t="n">
        <f aca="false">'Engineering Assumptions'!$D$23*S145*U145</f>
        <v>432</v>
      </c>
      <c r="K145" s="12" t="n">
        <f aca="false">'Engineering Assumptions'!$E$23*T145*U145</f>
        <v>720</v>
      </c>
      <c r="L145" s="13" t="n">
        <f aca="false">H145+I145+J145+K145</f>
        <v>3712</v>
      </c>
      <c r="M145" s="12" t="n">
        <f aca="false">L145*'Engineering Assumptions'!$B$10</f>
        <v>556.8</v>
      </c>
      <c r="N145" s="13" t="n">
        <f aca="false">L145+M145</f>
        <v>4268.8</v>
      </c>
      <c r="O145" s="12" t="n">
        <f aca="false">N145*'Engineering Assumptions'!$B$11</f>
        <v>853.76</v>
      </c>
      <c r="P145" s="183" t="n">
        <f aca="false">MROUND(N145+O145,10)</f>
        <v>5120</v>
      </c>
      <c r="Q145" s="12" t="n">
        <f aca="false">'Fleet Pricing'!H145</f>
        <v>2260</v>
      </c>
      <c r="R145" s="41" t="n">
        <v>30</v>
      </c>
      <c r="S145" s="46" t="n">
        <v>2.4</v>
      </c>
      <c r="T145" s="46" t="n">
        <v>3</v>
      </c>
      <c r="U145" s="46" t="n">
        <v>1</v>
      </c>
    </row>
    <row r="146" customFormat="false" ht="15" hidden="false" customHeight="true" outlineLevel="0" collapsed="false">
      <c r="A146" s="9" t="n">
        <v>136</v>
      </c>
      <c r="B146" s="47" t="s">
        <v>103</v>
      </c>
      <c r="C146" s="47" t="s">
        <v>2332</v>
      </c>
      <c r="D146" s="47" t="s">
        <v>510</v>
      </c>
      <c r="E146" s="47"/>
      <c r="F146" s="45" t="s">
        <v>472</v>
      </c>
      <c r="G146" s="9" t="n">
        <v>30</v>
      </c>
      <c r="H146" s="12" t="n">
        <f aca="false">'Engineering Assumptions'!$C$23*'Engineering Assumptions'!$B$5*U146</f>
        <v>1910</v>
      </c>
      <c r="I146" s="12" t="n">
        <f aca="false">'Engineering Assumptions'!$B$8</f>
        <v>650</v>
      </c>
      <c r="J146" s="12" t="n">
        <f aca="false">'Engineering Assumptions'!$D$23*S146*U146</f>
        <v>432</v>
      </c>
      <c r="K146" s="12" t="n">
        <f aca="false">'Engineering Assumptions'!$E$23*T146*U146</f>
        <v>720</v>
      </c>
      <c r="L146" s="13" t="n">
        <f aca="false">H146+I146+J146+K146</f>
        <v>3712</v>
      </c>
      <c r="M146" s="12" t="n">
        <f aca="false">L146*'Engineering Assumptions'!$B$10</f>
        <v>556.8</v>
      </c>
      <c r="N146" s="13" t="n">
        <f aca="false">L146+M146</f>
        <v>4268.8</v>
      </c>
      <c r="O146" s="12" t="n">
        <f aca="false">N146*'Engineering Assumptions'!$B$11</f>
        <v>853.76</v>
      </c>
      <c r="P146" s="183" t="n">
        <f aca="false">MROUND(N146+O146,10)</f>
        <v>5120</v>
      </c>
      <c r="Q146" s="12" t="n">
        <f aca="false">'Fleet Pricing'!H146</f>
        <v>2260</v>
      </c>
      <c r="R146" s="41" t="n">
        <v>30</v>
      </c>
      <c r="S146" s="46" t="n">
        <v>2.4</v>
      </c>
      <c r="T146" s="46" t="n">
        <v>3</v>
      </c>
      <c r="U146" s="46" t="n">
        <v>1</v>
      </c>
    </row>
    <row r="147" customFormat="false" ht="15" hidden="false" customHeight="true" outlineLevel="0" collapsed="false">
      <c r="A147" s="9" t="n">
        <v>137</v>
      </c>
      <c r="B147" s="47" t="s">
        <v>103</v>
      </c>
      <c r="C147" s="47" t="s">
        <v>2332</v>
      </c>
      <c r="D147" s="47" t="s">
        <v>520</v>
      </c>
      <c r="E147" s="47"/>
      <c r="F147" s="45" t="s">
        <v>472</v>
      </c>
      <c r="G147" s="9" t="n">
        <v>30</v>
      </c>
      <c r="H147" s="12" t="n">
        <f aca="false">'Engineering Assumptions'!$C$23*'Engineering Assumptions'!$B$5*U147</f>
        <v>1910</v>
      </c>
      <c r="I147" s="12" t="n">
        <f aca="false">'Engineering Assumptions'!$B$8</f>
        <v>650</v>
      </c>
      <c r="J147" s="12" t="n">
        <f aca="false">'Engineering Assumptions'!$D$23*S147*U147</f>
        <v>432</v>
      </c>
      <c r="K147" s="12" t="n">
        <f aca="false">'Engineering Assumptions'!$E$23*T147*U147</f>
        <v>720</v>
      </c>
      <c r="L147" s="13" t="n">
        <f aca="false">H147+I147+J147+K147</f>
        <v>3712</v>
      </c>
      <c r="M147" s="12" t="n">
        <f aca="false">L147*'Engineering Assumptions'!$B$10</f>
        <v>556.8</v>
      </c>
      <c r="N147" s="13" t="n">
        <f aca="false">L147+M147</f>
        <v>4268.8</v>
      </c>
      <c r="O147" s="12" t="n">
        <f aca="false">N147*'Engineering Assumptions'!$B$11</f>
        <v>853.76</v>
      </c>
      <c r="P147" s="183" t="n">
        <f aca="false">MROUND(N147+O147,10)</f>
        <v>5120</v>
      </c>
      <c r="Q147" s="12" t="n">
        <f aca="false">'Fleet Pricing'!H147</f>
        <v>2260</v>
      </c>
      <c r="R147" s="41" t="n">
        <v>30</v>
      </c>
      <c r="S147" s="46" t="n">
        <v>2.4</v>
      </c>
      <c r="T147" s="46" t="n">
        <v>3</v>
      </c>
      <c r="U147" s="46" t="n">
        <v>1</v>
      </c>
    </row>
    <row r="148" customFormat="false" ht="15" hidden="false" customHeight="true" outlineLevel="0" collapsed="false">
      <c r="A148" s="9" t="n">
        <v>138</v>
      </c>
      <c r="B148" s="47" t="s">
        <v>103</v>
      </c>
      <c r="C148" s="47" t="s">
        <v>2332</v>
      </c>
      <c r="D148" s="47" t="s">
        <v>522</v>
      </c>
      <c r="E148" s="47"/>
      <c r="F148" s="45" t="s">
        <v>472</v>
      </c>
      <c r="G148" s="9" t="n">
        <v>30</v>
      </c>
      <c r="H148" s="12" t="n">
        <f aca="false">'Engineering Assumptions'!$C$23*'Engineering Assumptions'!$B$5*U148</f>
        <v>1910</v>
      </c>
      <c r="I148" s="12" t="n">
        <f aca="false">'Engineering Assumptions'!$B$8</f>
        <v>650</v>
      </c>
      <c r="J148" s="12" t="n">
        <f aca="false">'Engineering Assumptions'!$D$23*S148*U148</f>
        <v>432</v>
      </c>
      <c r="K148" s="12" t="n">
        <f aca="false">'Engineering Assumptions'!$E$23*T148*U148</f>
        <v>720</v>
      </c>
      <c r="L148" s="13" t="n">
        <f aca="false">H148+I148+J148+K148</f>
        <v>3712</v>
      </c>
      <c r="M148" s="12" t="n">
        <f aca="false">L148*'Engineering Assumptions'!$B$10</f>
        <v>556.8</v>
      </c>
      <c r="N148" s="13" t="n">
        <f aca="false">L148+M148</f>
        <v>4268.8</v>
      </c>
      <c r="O148" s="12" t="n">
        <f aca="false">N148*'Engineering Assumptions'!$B$11</f>
        <v>853.76</v>
      </c>
      <c r="P148" s="183" t="n">
        <f aca="false">MROUND(N148+O148,10)</f>
        <v>5120</v>
      </c>
      <c r="Q148" s="12" t="n">
        <f aca="false">'Fleet Pricing'!H148</f>
        <v>2260</v>
      </c>
      <c r="R148" s="41" t="n">
        <v>30</v>
      </c>
      <c r="S148" s="46" t="n">
        <v>2.4</v>
      </c>
      <c r="T148" s="46" t="n">
        <v>3</v>
      </c>
      <c r="U148" s="46" t="n">
        <v>1</v>
      </c>
    </row>
    <row r="149" customFormat="false" ht="15" hidden="false" customHeight="true" outlineLevel="0" collapsed="false">
      <c r="A149" s="9" t="n">
        <v>139</v>
      </c>
      <c r="B149" s="47" t="s">
        <v>103</v>
      </c>
      <c r="C149" s="47" t="s">
        <v>2333</v>
      </c>
      <c r="D149" s="47"/>
      <c r="E149" s="47"/>
      <c r="F149" s="45" t="s">
        <v>472</v>
      </c>
      <c r="G149" s="9" t="n">
        <v>30</v>
      </c>
      <c r="H149" s="12" t="n">
        <f aca="false">'Engineering Assumptions'!$C$23*'Engineering Assumptions'!$B$5*U149</f>
        <v>1910</v>
      </c>
      <c r="I149" s="12" t="n">
        <f aca="false">'Engineering Assumptions'!$B$8</f>
        <v>650</v>
      </c>
      <c r="J149" s="12" t="n">
        <f aca="false">'Engineering Assumptions'!$D$23*S149*U149</f>
        <v>432</v>
      </c>
      <c r="K149" s="12" t="n">
        <f aca="false">'Engineering Assumptions'!$E$23*T149*U149</f>
        <v>720</v>
      </c>
      <c r="L149" s="13" t="n">
        <f aca="false">H149+I149+J149+K149</f>
        <v>3712</v>
      </c>
      <c r="M149" s="12" t="n">
        <f aca="false">L149*'Engineering Assumptions'!$B$10</f>
        <v>556.8</v>
      </c>
      <c r="N149" s="13" t="n">
        <f aca="false">L149+M149</f>
        <v>4268.8</v>
      </c>
      <c r="O149" s="12" t="n">
        <f aca="false">N149*'Engineering Assumptions'!$B$11</f>
        <v>853.76</v>
      </c>
      <c r="P149" s="183" t="n">
        <f aca="false">MROUND(N149+O149,10)</f>
        <v>5120</v>
      </c>
      <c r="Q149" s="12" t="n">
        <f aca="false">'Fleet Pricing'!H149</f>
        <v>2260</v>
      </c>
      <c r="R149" s="41" t="n">
        <v>30</v>
      </c>
      <c r="S149" s="46" t="n">
        <v>2.4</v>
      </c>
      <c r="T149" s="46" t="n">
        <v>3</v>
      </c>
      <c r="U149" s="46" t="n">
        <v>1</v>
      </c>
    </row>
    <row r="150" customFormat="false" ht="15" hidden="false" customHeight="true" outlineLevel="0" collapsed="false">
      <c r="A150" s="9" t="n">
        <v>140</v>
      </c>
      <c r="B150" s="47" t="s">
        <v>103</v>
      </c>
      <c r="C150" s="47" t="s">
        <v>2334</v>
      </c>
      <c r="D150" s="47" t="s">
        <v>577</v>
      </c>
      <c r="E150" s="47"/>
      <c r="F150" s="45" t="s">
        <v>472</v>
      </c>
      <c r="G150" s="9" t="n">
        <v>30</v>
      </c>
      <c r="H150" s="12" t="n">
        <f aca="false">'Engineering Assumptions'!$C$23*'Engineering Assumptions'!$B$5*U150</f>
        <v>1910</v>
      </c>
      <c r="I150" s="12" t="n">
        <f aca="false">'Engineering Assumptions'!$B$8</f>
        <v>650</v>
      </c>
      <c r="J150" s="12" t="n">
        <f aca="false">'Engineering Assumptions'!$D$23*S150*U150</f>
        <v>432</v>
      </c>
      <c r="K150" s="12" t="n">
        <f aca="false">'Engineering Assumptions'!$E$23*T150*U150</f>
        <v>720</v>
      </c>
      <c r="L150" s="13" t="n">
        <f aca="false">H150+I150+J150+K150</f>
        <v>3712</v>
      </c>
      <c r="M150" s="12" t="n">
        <f aca="false">L150*'Engineering Assumptions'!$B$10</f>
        <v>556.8</v>
      </c>
      <c r="N150" s="13" t="n">
        <f aca="false">L150+M150</f>
        <v>4268.8</v>
      </c>
      <c r="O150" s="12" t="n">
        <f aca="false">N150*'Engineering Assumptions'!$B$11</f>
        <v>853.76</v>
      </c>
      <c r="P150" s="183" t="n">
        <f aca="false">MROUND(N150+O150,10)</f>
        <v>5120</v>
      </c>
      <c r="Q150" s="12" t="n">
        <f aca="false">'Fleet Pricing'!H150</f>
        <v>2260</v>
      </c>
      <c r="R150" s="41" t="n">
        <v>30</v>
      </c>
      <c r="S150" s="46" t="n">
        <v>2.4</v>
      </c>
      <c r="T150" s="46" t="n">
        <v>3</v>
      </c>
      <c r="U150" s="46" t="n">
        <v>1</v>
      </c>
    </row>
    <row r="151" customFormat="false" ht="15" hidden="false" customHeight="true" outlineLevel="0" collapsed="false">
      <c r="A151" s="9" t="n">
        <v>141</v>
      </c>
      <c r="B151" s="47" t="s">
        <v>103</v>
      </c>
      <c r="C151" s="47" t="s">
        <v>2329</v>
      </c>
      <c r="D151" s="47" t="s">
        <v>547</v>
      </c>
      <c r="E151" s="47"/>
      <c r="F151" s="45" t="s">
        <v>472</v>
      </c>
      <c r="G151" s="9" t="n">
        <v>30</v>
      </c>
      <c r="H151" s="12" t="n">
        <f aca="false">'Engineering Assumptions'!$C$23*'Engineering Assumptions'!$B$5*U151</f>
        <v>1910</v>
      </c>
      <c r="I151" s="12" t="n">
        <f aca="false">'Engineering Assumptions'!$B$8</f>
        <v>650</v>
      </c>
      <c r="J151" s="12" t="n">
        <f aca="false">'Engineering Assumptions'!$D$23*S151*U151</f>
        <v>432</v>
      </c>
      <c r="K151" s="12" t="n">
        <f aca="false">'Engineering Assumptions'!$E$23*T151*U151</f>
        <v>720</v>
      </c>
      <c r="L151" s="13" t="n">
        <f aca="false">H151+I151+J151+K151</f>
        <v>3712</v>
      </c>
      <c r="M151" s="12" t="n">
        <f aca="false">L151*'Engineering Assumptions'!$B$10</f>
        <v>556.8</v>
      </c>
      <c r="N151" s="13" t="n">
        <f aca="false">L151+M151</f>
        <v>4268.8</v>
      </c>
      <c r="O151" s="12" t="n">
        <f aca="false">N151*'Engineering Assumptions'!$B$11</f>
        <v>853.76</v>
      </c>
      <c r="P151" s="183" t="n">
        <f aca="false">MROUND(N151+O151,10)</f>
        <v>5120</v>
      </c>
      <c r="Q151" s="12" t="n">
        <f aca="false">'Fleet Pricing'!H151</f>
        <v>2260</v>
      </c>
      <c r="R151" s="41" t="n">
        <v>30</v>
      </c>
      <c r="S151" s="46" t="n">
        <v>2.4</v>
      </c>
      <c r="T151" s="46" t="n">
        <v>3</v>
      </c>
      <c r="U151" s="46" t="n">
        <v>1</v>
      </c>
    </row>
    <row r="152" customFormat="false" ht="15" hidden="false" customHeight="true" outlineLevel="0" collapsed="false">
      <c r="A152" s="9" t="n">
        <v>142</v>
      </c>
      <c r="B152" s="47" t="s">
        <v>103</v>
      </c>
      <c r="C152" s="47" t="s">
        <v>2335</v>
      </c>
      <c r="D152" s="47" t="s">
        <v>553</v>
      </c>
      <c r="E152" s="47"/>
      <c r="F152" s="45" t="s">
        <v>472</v>
      </c>
      <c r="G152" s="9" t="n">
        <v>30</v>
      </c>
      <c r="H152" s="12" t="n">
        <f aca="false">'Engineering Assumptions'!$C$23*'Engineering Assumptions'!$B$5*U152</f>
        <v>1910</v>
      </c>
      <c r="I152" s="12" t="n">
        <f aca="false">'Engineering Assumptions'!$B$8</f>
        <v>650</v>
      </c>
      <c r="J152" s="12" t="n">
        <f aca="false">'Engineering Assumptions'!$D$23*S152*U152</f>
        <v>432</v>
      </c>
      <c r="K152" s="12" t="n">
        <f aca="false">'Engineering Assumptions'!$E$23*T152*U152</f>
        <v>720</v>
      </c>
      <c r="L152" s="13" t="n">
        <f aca="false">H152+I152+J152+K152</f>
        <v>3712</v>
      </c>
      <c r="M152" s="12" t="n">
        <f aca="false">L152*'Engineering Assumptions'!$B$10</f>
        <v>556.8</v>
      </c>
      <c r="N152" s="13" t="n">
        <f aca="false">L152+M152</f>
        <v>4268.8</v>
      </c>
      <c r="O152" s="12" t="n">
        <f aca="false">N152*'Engineering Assumptions'!$B$11</f>
        <v>853.76</v>
      </c>
      <c r="P152" s="183" t="n">
        <f aca="false">MROUND(N152+O152,10)</f>
        <v>5120</v>
      </c>
      <c r="Q152" s="12" t="n">
        <f aca="false">'Fleet Pricing'!H152</f>
        <v>2260</v>
      </c>
      <c r="R152" s="41" t="n">
        <v>30</v>
      </c>
      <c r="S152" s="46" t="n">
        <v>2.4</v>
      </c>
      <c r="T152" s="46" t="n">
        <v>3</v>
      </c>
      <c r="U152" s="46" t="n">
        <v>1</v>
      </c>
    </row>
    <row r="153" customFormat="false" ht="15" hidden="false" customHeight="true" outlineLevel="0" collapsed="false">
      <c r="A153" s="9" t="n">
        <v>143</v>
      </c>
      <c r="B153" s="47" t="s">
        <v>103</v>
      </c>
      <c r="C153" s="47" t="s">
        <v>2336</v>
      </c>
      <c r="D153" s="47" t="s">
        <v>580</v>
      </c>
      <c r="E153" s="47"/>
      <c r="F153" s="45" t="s">
        <v>472</v>
      </c>
      <c r="G153" s="9" t="n">
        <v>30</v>
      </c>
      <c r="H153" s="12" t="n">
        <f aca="false">'Engineering Assumptions'!$C$23*'Engineering Assumptions'!$B$5*U153</f>
        <v>1910</v>
      </c>
      <c r="I153" s="12" t="n">
        <f aca="false">'Engineering Assumptions'!$B$8</f>
        <v>650</v>
      </c>
      <c r="J153" s="12" t="n">
        <f aca="false">'Engineering Assumptions'!$D$23*S153*U153</f>
        <v>432</v>
      </c>
      <c r="K153" s="12" t="n">
        <f aca="false">'Engineering Assumptions'!$E$23*T153*U153</f>
        <v>720</v>
      </c>
      <c r="L153" s="13" t="n">
        <f aca="false">H153+I153+J153+K153</f>
        <v>3712</v>
      </c>
      <c r="M153" s="12" t="n">
        <f aca="false">L153*'Engineering Assumptions'!$B$10</f>
        <v>556.8</v>
      </c>
      <c r="N153" s="13" t="n">
        <f aca="false">L153+M153</f>
        <v>4268.8</v>
      </c>
      <c r="O153" s="12" t="n">
        <f aca="false">N153*'Engineering Assumptions'!$B$11</f>
        <v>853.76</v>
      </c>
      <c r="P153" s="183" t="n">
        <f aca="false">MROUND(N153+O153,10)</f>
        <v>5120</v>
      </c>
      <c r="Q153" s="12" t="n">
        <f aca="false">'Fleet Pricing'!H153</f>
        <v>2260</v>
      </c>
      <c r="R153" s="41" t="n">
        <v>30</v>
      </c>
      <c r="S153" s="46" t="n">
        <v>2.4</v>
      </c>
      <c r="T153" s="46" t="n">
        <v>3</v>
      </c>
      <c r="U153" s="46" t="n">
        <v>1</v>
      </c>
    </row>
    <row r="154" customFormat="false" ht="15" hidden="false" customHeight="true" outlineLevel="0" collapsed="false">
      <c r="A154" s="42" t="s">
        <v>582</v>
      </c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</row>
    <row r="155" customFormat="false" ht="15" hidden="false" customHeight="true" outlineLevel="0" collapsed="false">
      <c r="A155" s="9" t="n">
        <v>144</v>
      </c>
      <c r="B155" s="47" t="s">
        <v>105</v>
      </c>
      <c r="C155" s="47" t="s">
        <v>2313</v>
      </c>
      <c r="D155" s="47" t="s">
        <v>583</v>
      </c>
      <c r="E155" s="47"/>
      <c r="F155" s="45" t="s">
        <v>310</v>
      </c>
      <c r="G155" s="9" t="n">
        <v>14</v>
      </c>
      <c r="H155" s="12" t="n">
        <f aca="false">'Engineering Assumptions'!$C$24*'Engineering Assumptions'!$B$5*U155</f>
        <v>2674</v>
      </c>
      <c r="I155" s="12" t="n">
        <f aca="false">'Engineering Assumptions'!$B$8</f>
        <v>650</v>
      </c>
      <c r="J155" s="12" t="n">
        <f aca="false">'Engineering Assumptions'!$D$24*S155*U155</f>
        <v>310</v>
      </c>
      <c r="K155" s="12" t="n">
        <f aca="false">'Engineering Assumptions'!$E$24*T155*U155</f>
        <v>364.5</v>
      </c>
      <c r="L155" s="13" t="n">
        <f aca="false">H155+I155+J155+K155</f>
        <v>3998.5</v>
      </c>
      <c r="M155" s="12" t="n">
        <f aca="false">L155*'Engineering Assumptions'!$B$10</f>
        <v>599.775</v>
      </c>
      <c r="N155" s="13" t="n">
        <f aca="false">L155+M155</f>
        <v>4598.275</v>
      </c>
      <c r="O155" s="12" t="n">
        <f aca="false">N155*'Engineering Assumptions'!$B$11</f>
        <v>919.655</v>
      </c>
      <c r="P155" s="183" t="n">
        <f aca="false">MROUND(N155+O155,10)</f>
        <v>5520</v>
      </c>
      <c r="Q155" s="12" t="n">
        <f aca="false">'Fleet Pricing'!H155</f>
        <v>3240</v>
      </c>
      <c r="R155" s="41" t="n">
        <v>14</v>
      </c>
      <c r="S155" s="46" t="n">
        <v>1.55</v>
      </c>
      <c r="T155" s="46" t="n">
        <v>1.35</v>
      </c>
      <c r="U155" s="46" t="n">
        <v>1</v>
      </c>
    </row>
    <row r="156" customFormat="false" ht="15" hidden="false" customHeight="true" outlineLevel="0" collapsed="false">
      <c r="A156" s="9" t="n">
        <v>145</v>
      </c>
      <c r="B156" s="47" t="s">
        <v>105</v>
      </c>
      <c r="C156" s="47" t="s">
        <v>2337</v>
      </c>
      <c r="D156" s="47" t="s">
        <v>584</v>
      </c>
      <c r="E156" s="47"/>
      <c r="F156" s="45" t="s">
        <v>310</v>
      </c>
      <c r="G156" s="9" t="n">
        <v>14</v>
      </c>
      <c r="H156" s="12" t="n">
        <f aca="false">'Engineering Assumptions'!$C$24*'Engineering Assumptions'!$B$5*U156</f>
        <v>2674</v>
      </c>
      <c r="I156" s="12" t="n">
        <f aca="false">'Engineering Assumptions'!$B$8</f>
        <v>650</v>
      </c>
      <c r="J156" s="12" t="n">
        <f aca="false">'Engineering Assumptions'!$D$24*S156*U156</f>
        <v>310</v>
      </c>
      <c r="K156" s="12" t="n">
        <f aca="false">'Engineering Assumptions'!$E$24*T156*U156</f>
        <v>364.5</v>
      </c>
      <c r="L156" s="13" t="n">
        <f aca="false">H156+I156+J156+K156</f>
        <v>3998.5</v>
      </c>
      <c r="M156" s="12" t="n">
        <f aca="false">L156*'Engineering Assumptions'!$B$10</f>
        <v>599.775</v>
      </c>
      <c r="N156" s="13" t="n">
        <f aca="false">L156+M156</f>
        <v>4598.275</v>
      </c>
      <c r="O156" s="12" t="n">
        <f aca="false">N156*'Engineering Assumptions'!$B$11</f>
        <v>919.655</v>
      </c>
      <c r="P156" s="183" t="n">
        <f aca="false">MROUND(N156+O156,10)</f>
        <v>5520</v>
      </c>
      <c r="Q156" s="12" t="n">
        <f aca="false">'Fleet Pricing'!H156</f>
        <v>3240</v>
      </c>
      <c r="R156" s="41" t="n">
        <v>14</v>
      </c>
      <c r="S156" s="46" t="n">
        <v>1.55</v>
      </c>
      <c r="T156" s="46" t="n">
        <v>1.35</v>
      </c>
      <c r="U156" s="46" t="n">
        <v>1</v>
      </c>
    </row>
    <row r="157" customFormat="false" ht="15" hidden="false" customHeight="true" outlineLevel="0" collapsed="false">
      <c r="A157" s="9" t="n">
        <v>146</v>
      </c>
      <c r="B157" s="47" t="s">
        <v>105</v>
      </c>
      <c r="C157" s="47" t="s">
        <v>2337</v>
      </c>
      <c r="D157" s="47" t="s">
        <v>586</v>
      </c>
      <c r="E157" s="47"/>
      <c r="F157" s="45" t="s">
        <v>310</v>
      </c>
      <c r="G157" s="9" t="n">
        <v>14</v>
      </c>
      <c r="H157" s="12" t="n">
        <f aca="false">'Engineering Assumptions'!$C$24*'Engineering Assumptions'!$B$5*U157</f>
        <v>2674</v>
      </c>
      <c r="I157" s="12" t="n">
        <f aca="false">'Engineering Assumptions'!$B$8</f>
        <v>650</v>
      </c>
      <c r="J157" s="12" t="n">
        <f aca="false">'Engineering Assumptions'!$D$24*S157*U157</f>
        <v>310</v>
      </c>
      <c r="K157" s="12" t="n">
        <f aca="false">'Engineering Assumptions'!$E$24*T157*U157</f>
        <v>364.5</v>
      </c>
      <c r="L157" s="13" t="n">
        <f aca="false">H157+I157+J157+K157</f>
        <v>3998.5</v>
      </c>
      <c r="M157" s="12" t="n">
        <f aca="false">L157*'Engineering Assumptions'!$B$10</f>
        <v>599.775</v>
      </c>
      <c r="N157" s="13" t="n">
        <f aca="false">L157+M157</f>
        <v>4598.275</v>
      </c>
      <c r="O157" s="12" t="n">
        <f aca="false">N157*'Engineering Assumptions'!$B$11</f>
        <v>919.655</v>
      </c>
      <c r="P157" s="183" t="n">
        <f aca="false">MROUND(N157+O157,10)</f>
        <v>5520</v>
      </c>
      <c r="Q157" s="12" t="n">
        <f aca="false">'Fleet Pricing'!H157</f>
        <v>3240</v>
      </c>
      <c r="R157" s="41" t="n">
        <v>14</v>
      </c>
      <c r="S157" s="46" t="n">
        <v>1.55</v>
      </c>
      <c r="T157" s="46" t="n">
        <v>1.35</v>
      </c>
      <c r="U157" s="46" t="n">
        <v>1</v>
      </c>
    </row>
    <row r="158" customFormat="false" ht="15" hidden="false" customHeight="true" outlineLevel="0" collapsed="false">
      <c r="A158" s="9" t="n">
        <v>147</v>
      </c>
      <c r="B158" s="47" t="s">
        <v>105</v>
      </c>
      <c r="C158" s="47" t="s">
        <v>2338</v>
      </c>
      <c r="D158" s="47" t="s">
        <v>588</v>
      </c>
      <c r="E158" s="47"/>
      <c r="F158" s="45" t="s">
        <v>310</v>
      </c>
      <c r="G158" s="9" t="n">
        <v>14</v>
      </c>
      <c r="H158" s="12" t="n">
        <f aca="false">'Engineering Assumptions'!$C$24*'Engineering Assumptions'!$B$5*U158</f>
        <v>2674</v>
      </c>
      <c r="I158" s="12" t="n">
        <f aca="false">'Engineering Assumptions'!$B$8</f>
        <v>650</v>
      </c>
      <c r="J158" s="12" t="n">
        <f aca="false">'Engineering Assumptions'!$D$24*S158*U158</f>
        <v>310</v>
      </c>
      <c r="K158" s="12" t="n">
        <f aca="false">'Engineering Assumptions'!$E$24*T158*U158</f>
        <v>364.5</v>
      </c>
      <c r="L158" s="13" t="n">
        <f aca="false">H158+I158+J158+K158</f>
        <v>3998.5</v>
      </c>
      <c r="M158" s="12" t="n">
        <f aca="false">L158*'Engineering Assumptions'!$B$10</f>
        <v>599.775</v>
      </c>
      <c r="N158" s="13" t="n">
        <f aca="false">L158+M158</f>
        <v>4598.275</v>
      </c>
      <c r="O158" s="12" t="n">
        <f aca="false">N158*'Engineering Assumptions'!$B$11</f>
        <v>919.655</v>
      </c>
      <c r="P158" s="183" t="n">
        <f aca="false">MROUND(N158+O158,10)</f>
        <v>5520</v>
      </c>
      <c r="Q158" s="12" t="n">
        <f aca="false">'Fleet Pricing'!H158</f>
        <v>3240</v>
      </c>
      <c r="R158" s="41" t="n">
        <v>14</v>
      </c>
      <c r="S158" s="46" t="n">
        <v>1.55</v>
      </c>
      <c r="T158" s="46" t="n">
        <v>1.35</v>
      </c>
      <c r="U158" s="46" t="n">
        <v>1</v>
      </c>
    </row>
    <row r="159" customFormat="false" ht="15" hidden="false" customHeight="true" outlineLevel="0" collapsed="false">
      <c r="A159" s="9" t="n">
        <v>148</v>
      </c>
      <c r="B159" s="47" t="s">
        <v>105</v>
      </c>
      <c r="C159" s="47" t="s">
        <v>2339</v>
      </c>
      <c r="D159" s="47" t="s">
        <v>591</v>
      </c>
      <c r="E159" s="47"/>
      <c r="F159" s="45" t="s">
        <v>310</v>
      </c>
      <c r="G159" s="9" t="n">
        <v>14</v>
      </c>
      <c r="H159" s="12" t="n">
        <f aca="false">'Engineering Assumptions'!$C$24*'Engineering Assumptions'!$B$5*U159</f>
        <v>2674</v>
      </c>
      <c r="I159" s="12" t="n">
        <f aca="false">'Engineering Assumptions'!$B$8</f>
        <v>650</v>
      </c>
      <c r="J159" s="12" t="n">
        <f aca="false">'Engineering Assumptions'!$D$24*S159*U159</f>
        <v>310</v>
      </c>
      <c r="K159" s="12" t="n">
        <f aca="false">'Engineering Assumptions'!$E$24*T159*U159</f>
        <v>364.5</v>
      </c>
      <c r="L159" s="13" t="n">
        <f aca="false">H159+I159+J159+K159</f>
        <v>3998.5</v>
      </c>
      <c r="M159" s="12" t="n">
        <f aca="false">L159*'Engineering Assumptions'!$B$10</f>
        <v>599.775</v>
      </c>
      <c r="N159" s="13" t="n">
        <f aca="false">L159+M159</f>
        <v>4598.275</v>
      </c>
      <c r="O159" s="12" t="n">
        <f aca="false">N159*'Engineering Assumptions'!$B$11</f>
        <v>919.655</v>
      </c>
      <c r="P159" s="183" t="n">
        <f aca="false">MROUND(N159+O159,10)</f>
        <v>5520</v>
      </c>
      <c r="Q159" s="12" t="n">
        <f aca="false">'Fleet Pricing'!H159</f>
        <v>3240</v>
      </c>
      <c r="R159" s="41" t="n">
        <v>14</v>
      </c>
      <c r="S159" s="46" t="n">
        <v>1.55</v>
      </c>
      <c r="T159" s="46" t="n">
        <v>1.35</v>
      </c>
      <c r="U159" s="46" t="n">
        <v>1</v>
      </c>
    </row>
    <row r="160" customFormat="false" ht="15" hidden="false" customHeight="true" outlineLevel="0" collapsed="false">
      <c r="A160" s="9" t="n">
        <v>149</v>
      </c>
      <c r="B160" s="47" t="s">
        <v>105</v>
      </c>
      <c r="C160" s="47" t="s">
        <v>2340</v>
      </c>
      <c r="D160" s="47" t="s">
        <v>594</v>
      </c>
      <c r="E160" s="47"/>
      <c r="F160" s="45" t="s">
        <v>310</v>
      </c>
      <c r="G160" s="9" t="n">
        <v>14</v>
      </c>
      <c r="H160" s="12" t="n">
        <f aca="false">'Engineering Assumptions'!$C$24*'Engineering Assumptions'!$B$5*U160</f>
        <v>2674</v>
      </c>
      <c r="I160" s="12" t="n">
        <f aca="false">'Engineering Assumptions'!$B$8</f>
        <v>650</v>
      </c>
      <c r="J160" s="12" t="n">
        <f aca="false">'Engineering Assumptions'!$D$24*S160*U160</f>
        <v>310</v>
      </c>
      <c r="K160" s="12" t="n">
        <f aca="false">'Engineering Assumptions'!$E$24*T160*U160</f>
        <v>364.5</v>
      </c>
      <c r="L160" s="13" t="n">
        <f aca="false">H160+I160+J160+K160</f>
        <v>3998.5</v>
      </c>
      <c r="M160" s="12" t="n">
        <f aca="false">L160*'Engineering Assumptions'!$B$10</f>
        <v>599.775</v>
      </c>
      <c r="N160" s="13" t="n">
        <f aca="false">L160+M160</f>
        <v>4598.275</v>
      </c>
      <c r="O160" s="12" t="n">
        <f aca="false">N160*'Engineering Assumptions'!$B$11</f>
        <v>919.655</v>
      </c>
      <c r="P160" s="183" t="n">
        <f aca="false">MROUND(N160+O160,10)</f>
        <v>5520</v>
      </c>
      <c r="Q160" s="12" t="n">
        <f aca="false">'Fleet Pricing'!H160</f>
        <v>3240</v>
      </c>
      <c r="R160" s="41" t="n">
        <v>14</v>
      </c>
      <c r="S160" s="46" t="n">
        <v>1.55</v>
      </c>
      <c r="T160" s="46" t="n">
        <v>1.35</v>
      </c>
      <c r="U160" s="46" t="n">
        <v>1</v>
      </c>
    </row>
    <row r="161" customFormat="false" ht="15" hidden="false" customHeight="true" outlineLevel="0" collapsed="false">
      <c r="A161" s="9" t="n">
        <v>150</v>
      </c>
      <c r="B161" s="47" t="s">
        <v>105</v>
      </c>
      <c r="C161" s="47" t="s">
        <v>2341</v>
      </c>
      <c r="D161" s="47" t="s">
        <v>596</v>
      </c>
      <c r="E161" s="47"/>
      <c r="F161" s="45" t="s">
        <v>310</v>
      </c>
      <c r="G161" s="9" t="n">
        <v>14</v>
      </c>
      <c r="H161" s="12" t="n">
        <f aca="false">'Engineering Assumptions'!$C$24*'Engineering Assumptions'!$B$5*U161</f>
        <v>2674</v>
      </c>
      <c r="I161" s="12" t="n">
        <f aca="false">'Engineering Assumptions'!$B$8</f>
        <v>650</v>
      </c>
      <c r="J161" s="12" t="n">
        <f aca="false">'Engineering Assumptions'!$D$24*S161*U161</f>
        <v>310</v>
      </c>
      <c r="K161" s="12" t="n">
        <f aca="false">'Engineering Assumptions'!$E$24*T161*U161</f>
        <v>364.5</v>
      </c>
      <c r="L161" s="13" t="n">
        <f aca="false">H161+I161+J161+K161</f>
        <v>3998.5</v>
      </c>
      <c r="M161" s="12" t="n">
        <f aca="false">L161*'Engineering Assumptions'!$B$10</f>
        <v>599.775</v>
      </c>
      <c r="N161" s="13" t="n">
        <f aca="false">L161+M161</f>
        <v>4598.275</v>
      </c>
      <c r="O161" s="12" t="n">
        <f aca="false">N161*'Engineering Assumptions'!$B$11</f>
        <v>919.655</v>
      </c>
      <c r="P161" s="183" t="n">
        <f aca="false">MROUND(N161+O161,10)</f>
        <v>5520</v>
      </c>
      <c r="Q161" s="12" t="n">
        <f aca="false">'Fleet Pricing'!H161</f>
        <v>3240</v>
      </c>
      <c r="R161" s="41" t="n">
        <v>14</v>
      </c>
      <c r="S161" s="46" t="n">
        <v>1.55</v>
      </c>
      <c r="T161" s="46" t="n">
        <v>1.35</v>
      </c>
      <c r="U161" s="46" t="n">
        <v>1</v>
      </c>
    </row>
    <row r="162" customFormat="false" ht="15" hidden="false" customHeight="true" outlineLevel="0" collapsed="false">
      <c r="A162" s="9" t="n">
        <v>151</v>
      </c>
      <c r="B162" s="47" t="s">
        <v>105</v>
      </c>
      <c r="C162" s="47" t="s">
        <v>2342</v>
      </c>
      <c r="D162" s="47" t="s">
        <v>598</v>
      </c>
      <c r="E162" s="47"/>
      <c r="F162" s="45" t="s">
        <v>428</v>
      </c>
      <c r="G162" s="9" t="n">
        <v>26</v>
      </c>
      <c r="H162" s="12" t="n">
        <f aca="false">'Engineering Assumptions'!$C$24*'Engineering Assumptions'!$B$5*U162</f>
        <v>2674</v>
      </c>
      <c r="I162" s="12" t="n">
        <f aca="false">'Engineering Assumptions'!$B$8</f>
        <v>650</v>
      </c>
      <c r="J162" s="12" t="n">
        <f aca="false">'Engineering Assumptions'!$D$24*S162*U162</f>
        <v>480</v>
      </c>
      <c r="K162" s="12" t="n">
        <f aca="false">'Engineering Assumptions'!$E$24*T162*U162</f>
        <v>810</v>
      </c>
      <c r="L162" s="13" t="n">
        <f aca="false">H162+I162+J162+K162</f>
        <v>4614</v>
      </c>
      <c r="M162" s="12" t="n">
        <f aca="false">L162*'Engineering Assumptions'!$B$10</f>
        <v>692.1</v>
      </c>
      <c r="N162" s="13" t="n">
        <f aca="false">L162+M162</f>
        <v>5306.1</v>
      </c>
      <c r="O162" s="12" t="n">
        <f aca="false">N162*'Engineering Assumptions'!$B$11</f>
        <v>1061.22</v>
      </c>
      <c r="P162" s="183" t="n">
        <f aca="false">MROUND(N162+O162,10)</f>
        <v>6370</v>
      </c>
      <c r="Q162" s="12" t="n">
        <f aca="false">'Fleet Pricing'!H162</f>
        <v>2570</v>
      </c>
      <c r="R162" s="41" t="n">
        <v>26</v>
      </c>
      <c r="S162" s="46" t="n">
        <v>2.4</v>
      </c>
      <c r="T162" s="46" t="n">
        <v>3</v>
      </c>
      <c r="U162" s="46" t="n">
        <v>1</v>
      </c>
    </row>
    <row r="163" customFormat="false" ht="15" hidden="false" customHeight="true" outlineLevel="0" collapsed="false">
      <c r="A163" s="9" t="n">
        <v>152</v>
      </c>
      <c r="B163" s="47" t="s">
        <v>105</v>
      </c>
      <c r="C163" s="47" t="s">
        <v>2343</v>
      </c>
      <c r="D163" s="47" t="s">
        <v>600</v>
      </c>
      <c r="E163" s="47"/>
      <c r="F163" s="45" t="s">
        <v>602</v>
      </c>
      <c r="G163" s="9" t="n">
        <v>36</v>
      </c>
      <c r="H163" s="12" t="n">
        <f aca="false">'Engineering Assumptions'!$C$24*'Engineering Assumptions'!$B$5*U163</f>
        <v>2674</v>
      </c>
      <c r="I163" s="12" t="n">
        <f aca="false">'Engineering Assumptions'!$B$8</f>
        <v>650</v>
      </c>
      <c r="J163" s="12" t="n">
        <f aca="false">'Engineering Assumptions'!$D$24*S163*U163</f>
        <v>480</v>
      </c>
      <c r="K163" s="12" t="n">
        <f aca="false">'Engineering Assumptions'!$E$24*T163*U163</f>
        <v>810</v>
      </c>
      <c r="L163" s="13" t="n">
        <f aca="false">H163+I163+J163+K163</f>
        <v>4614</v>
      </c>
      <c r="M163" s="12" t="n">
        <f aca="false">L163*'Engineering Assumptions'!$B$10</f>
        <v>692.1</v>
      </c>
      <c r="N163" s="13" t="n">
        <f aca="false">L163+M163</f>
        <v>5306.1</v>
      </c>
      <c r="O163" s="12" t="n">
        <f aca="false">N163*'Engineering Assumptions'!$B$11</f>
        <v>1061.22</v>
      </c>
      <c r="P163" s="183" t="n">
        <f aca="false">MROUND(N163+O163,10)</f>
        <v>6370</v>
      </c>
      <c r="Q163" s="12" t="n">
        <f aca="false">'Fleet Pricing'!H163</f>
        <v>2290</v>
      </c>
      <c r="R163" s="41" t="n">
        <v>36</v>
      </c>
      <c r="S163" s="46" t="n">
        <v>2.4</v>
      </c>
      <c r="T163" s="46" t="n">
        <v>3</v>
      </c>
      <c r="U163" s="46" t="n">
        <v>1</v>
      </c>
    </row>
    <row r="164" customFormat="false" ht="15" hidden="false" customHeight="true" outlineLevel="0" collapsed="false">
      <c r="A164" s="9" t="n">
        <v>153</v>
      </c>
      <c r="B164" s="47" t="s">
        <v>105</v>
      </c>
      <c r="C164" s="47" t="s">
        <v>2344</v>
      </c>
      <c r="D164" s="47" t="s">
        <v>603</v>
      </c>
      <c r="E164" s="47"/>
      <c r="F164" s="45" t="s">
        <v>472</v>
      </c>
      <c r="G164" s="9" t="n">
        <v>30</v>
      </c>
      <c r="H164" s="12" t="n">
        <f aca="false">'Engineering Assumptions'!$C$24*'Engineering Assumptions'!$B$5*U164</f>
        <v>2674</v>
      </c>
      <c r="I164" s="12" t="n">
        <f aca="false">'Engineering Assumptions'!$B$8</f>
        <v>650</v>
      </c>
      <c r="J164" s="12" t="n">
        <f aca="false">'Engineering Assumptions'!$D$24*S164*U164</f>
        <v>480</v>
      </c>
      <c r="K164" s="12" t="n">
        <f aca="false">'Engineering Assumptions'!$E$24*T164*U164</f>
        <v>810</v>
      </c>
      <c r="L164" s="13" t="n">
        <f aca="false">H164+I164+J164+K164</f>
        <v>4614</v>
      </c>
      <c r="M164" s="12" t="n">
        <f aca="false">L164*'Engineering Assumptions'!$B$10</f>
        <v>692.1</v>
      </c>
      <c r="N164" s="13" t="n">
        <f aca="false">L164+M164</f>
        <v>5306.1</v>
      </c>
      <c r="O164" s="12" t="n">
        <f aca="false">N164*'Engineering Assumptions'!$B$11</f>
        <v>1061.22</v>
      </c>
      <c r="P164" s="183" t="n">
        <f aca="false">MROUND(N164+O164,10)</f>
        <v>6370</v>
      </c>
      <c r="Q164" s="12" t="n">
        <f aca="false">'Fleet Pricing'!H164</f>
        <v>2290</v>
      </c>
      <c r="R164" s="41" t="n">
        <v>30</v>
      </c>
      <c r="S164" s="46" t="n">
        <v>2.4</v>
      </c>
      <c r="T164" s="46" t="n">
        <v>3</v>
      </c>
      <c r="U164" s="46" t="n">
        <v>1</v>
      </c>
    </row>
    <row r="165" customFormat="false" ht="15" hidden="false" customHeight="true" outlineLevel="0" collapsed="false">
      <c r="A165" s="42" t="s">
        <v>605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 customFormat="false" ht="15" hidden="false" customHeight="true" outlineLevel="0" collapsed="false">
      <c r="A166" s="9" t="n">
        <v>154</v>
      </c>
      <c r="B166" s="47" t="s">
        <v>107</v>
      </c>
      <c r="C166" s="47" t="s">
        <v>2345</v>
      </c>
      <c r="D166" s="47" t="s">
        <v>607</v>
      </c>
      <c r="E166" s="47" t="s">
        <v>609</v>
      </c>
      <c r="F166" s="45" t="s">
        <v>297</v>
      </c>
      <c r="G166" s="9" t="n">
        <v>5</v>
      </c>
      <c r="H166" s="12" t="n">
        <f aca="false">'Engineering Assumptions'!$C$25*'Engineering Assumptions'!$B$5*U166</f>
        <v>5730</v>
      </c>
      <c r="I166" s="12" t="n">
        <f aca="false">'Engineering Assumptions'!$B$8</f>
        <v>650</v>
      </c>
      <c r="J166" s="12" t="n">
        <f aca="false">'Engineering Assumptions'!$D$25*S166*U166</f>
        <v>420</v>
      </c>
      <c r="K166" s="12" t="n">
        <f aca="false">'Engineering Assumptions'!$E$25*T166*U166</f>
        <v>180</v>
      </c>
      <c r="L166" s="13" t="n">
        <f aca="false">H166+I166+J166+K166</f>
        <v>6980</v>
      </c>
      <c r="M166" s="12" t="n">
        <f aca="false">L166*'Engineering Assumptions'!$B$10</f>
        <v>1047</v>
      </c>
      <c r="N166" s="13" t="n">
        <f aca="false">L166+M166</f>
        <v>8027</v>
      </c>
      <c r="O166" s="12" t="n">
        <f aca="false">N166*'Engineering Assumptions'!$B$11</f>
        <v>1605.4</v>
      </c>
      <c r="P166" s="183" t="n">
        <f aca="false">MROUND(N166+O166,10)</f>
        <v>9630</v>
      </c>
      <c r="Q166" s="12" t="n">
        <f aca="false">'Fleet Pricing'!H166</f>
        <v>9650</v>
      </c>
      <c r="R166" s="41" t="n">
        <v>5</v>
      </c>
      <c r="S166" s="46" t="n">
        <v>1</v>
      </c>
      <c r="T166" s="46" t="n">
        <v>0.3</v>
      </c>
      <c r="U166" s="46" t="n">
        <v>1</v>
      </c>
    </row>
    <row r="167" customFormat="false" ht="15" hidden="false" customHeight="true" outlineLevel="0" collapsed="false">
      <c r="A167" s="9" t="n">
        <v>155</v>
      </c>
      <c r="B167" s="47" t="s">
        <v>107</v>
      </c>
      <c r="C167" s="47" t="s">
        <v>2346</v>
      </c>
      <c r="D167" s="47" t="s">
        <v>610</v>
      </c>
      <c r="E167" s="47" t="s">
        <v>612</v>
      </c>
      <c r="F167" s="45" t="s">
        <v>297</v>
      </c>
      <c r="G167" s="9" t="n">
        <v>5</v>
      </c>
      <c r="H167" s="12" t="n">
        <f aca="false">'Engineering Assumptions'!$C$25*'Engineering Assumptions'!$B$5*U167</f>
        <v>5730</v>
      </c>
      <c r="I167" s="12" t="n">
        <f aca="false">'Engineering Assumptions'!$B$8</f>
        <v>650</v>
      </c>
      <c r="J167" s="12" t="n">
        <f aca="false">'Engineering Assumptions'!$D$25*S167*U167</f>
        <v>420</v>
      </c>
      <c r="K167" s="12" t="n">
        <f aca="false">'Engineering Assumptions'!$E$25*T167*U167</f>
        <v>180</v>
      </c>
      <c r="L167" s="13" t="n">
        <f aca="false">H167+I167+J167+K167</f>
        <v>6980</v>
      </c>
      <c r="M167" s="12" t="n">
        <f aca="false">L167*'Engineering Assumptions'!$B$10</f>
        <v>1047</v>
      </c>
      <c r="N167" s="13" t="n">
        <f aca="false">L167+M167</f>
        <v>8027</v>
      </c>
      <c r="O167" s="12" t="n">
        <f aca="false">N167*'Engineering Assumptions'!$B$11</f>
        <v>1605.4</v>
      </c>
      <c r="P167" s="183" t="n">
        <f aca="false">MROUND(N167+O167,10)</f>
        <v>9630</v>
      </c>
      <c r="Q167" s="12" t="n">
        <f aca="false">'Fleet Pricing'!H167</f>
        <v>9650</v>
      </c>
      <c r="R167" s="41" t="n">
        <v>5</v>
      </c>
      <c r="S167" s="46" t="n">
        <v>1</v>
      </c>
      <c r="T167" s="46" t="n">
        <v>0.3</v>
      </c>
      <c r="U167" s="46" t="n">
        <v>1</v>
      </c>
    </row>
    <row r="168" customFormat="false" ht="15" hidden="false" customHeight="true" outlineLevel="0" collapsed="false">
      <c r="A168" s="9" t="n">
        <v>156</v>
      </c>
      <c r="B168" s="47" t="s">
        <v>107</v>
      </c>
      <c r="C168" s="47" t="s">
        <v>2345</v>
      </c>
      <c r="D168" s="47" t="s">
        <v>615</v>
      </c>
      <c r="E168" s="47" t="s">
        <v>616</v>
      </c>
      <c r="F168" s="45" t="s">
        <v>306</v>
      </c>
      <c r="G168" s="9" t="n">
        <v>6</v>
      </c>
      <c r="H168" s="12" t="n">
        <f aca="false">'Engineering Assumptions'!$C$25*'Engineering Assumptions'!$B$5*U168</f>
        <v>5730</v>
      </c>
      <c r="I168" s="12" t="n">
        <f aca="false">'Engineering Assumptions'!$B$8</f>
        <v>650</v>
      </c>
      <c r="J168" s="12" t="n">
        <f aca="false">'Engineering Assumptions'!$D$25*S168*U168</f>
        <v>525</v>
      </c>
      <c r="K168" s="12" t="n">
        <f aca="false">'Engineering Assumptions'!$E$25*T168*U168</f>
        <v>450</v>
      </c>
      <c r="L168" s="13" t="n">
        <f aca="false">H168+I168+J168+K168</f>
        <v>7355</v>
      </c>
      <c r="M168" s="12" t="n">
        <f aca="false">L168*'Engineering Assumptions'!$B$10</f>
        <v>1103.25</v>
      </c>
      <c r="N168" s="13" t="n">
        <f aca="false">L168+M168</f>
        <v>8458.25</v>
      </c>
      <c r="O168" s="12" t="n">
        <f aca="false">N168*'Engineering Assumptions'!$B$11</f>
        <v>1691.65</v>
      </c>
      <c r="P168" s="183" t="n">
        <f aca="false">MROUND(N168+O168,10)</f>
        <v>10150</v>
      </c>
      <c r="Q168" s="12" t="n">
        <f aca="false">'Fleet Pricing'!H168</f>
        <v>9650</v>
      </c>
      <c r="R168" s="41" t="n">
        <v>6</v>
      </c>
      <c r="S168" s="46" t="n">
        <v>1.25</v>
      </c>
      <c r="T168" s="46" t="n">
        <v>0.75</v>
      </c>
      <c r="U168" s="46" t="n">
        <v>1</v>
      </c>
    </row>
    <row r="169" customFormat="false" ht="15" hidden="false" customHeight="true" outlineLevel="0" collapsed="false">
      <c r="A169" s="9" t="n">
        <v>157</v>
      </c>
      <c r="B169" s="47" t="s">
        <v>107</v>
      </c>
      <c r="C169" s="47" t="s">
        <v>2345</v>
      </c>
      <c r="D169" s="47" t="s">
        <v>613</v>
      </c>
      <c r="E169" s="47" t="s">
        <v>614</v>
      </c>
      <c r="F169" s="45" t="s">
        <v>306</v>
      </c>
      <c r="G169" s="9" t="n">
        <v>6</v>
      </c>
      <c r="H169" s="12" t="n">
        <f aca="false">'Engineering Assumptions'!$C$25*'Engineering Assumptions'!$B$5*U169</f>
        <v>5730</v>
      </c>
      <c r="I169" s="12" t="n">
        <f aca="false">'Engineering Assumptions'!$B$8</f>
        <v>650</v>
      </c>
      <c r="J169" s="12" t="n">
        <f aca="false">'Engineering Assumptions'!$D$25*S169*U169</f>
        <v>525</v>
      </c>
      <c r="K169" s="12" t="n">
        <f aca="false">'Engineering Assumptions'!$E$25*T169*U169</f>
        <v>450</v>
      </c>
      <c r="L169" s="13" t="n">
        <f aca="false">H169+I169+J169+K169</f>
        <v>7355</v>
      </c>
      <c r="M169" s="12" t="n">
        <f aca="false">L169*'Engineering Assumptions'!$B$10</f>
        <v>1103.25</v>
      </c>
      <c r="N169" s="13" t="n">
        <f aca="false">L169+M169</f>
        <v>8458.25</v>
      </c>
      <c r="O169" s="12" t="n">
        <f aca="false">N169*'Engineering Assumptions'!$B$11</f>
        <v>1691.65</v>
      </c>
      <c r="P169" s="183" t="n">
        <f aca="false">MROUND(N169+O169,10)</f>
        <v>10150</v>
      </c>
      <c r="Q169" s="12" t="n">
        <f aca="false">'Fleet Pricing'!H169</f>
        <v>9650</v>
      </c>
      <c r="R169" s="41" t="n">
        <v>6</v>
      </c>
      <c r="S169" s="46" t="n">
        <v>1.25</v>
      </c>
      <c r="T169" s="46" t="n">
        <v>0.75</v>
      </c>
      <c r="U169" s="46" t="n">
        <v>1</v>
      </c>
    </row>
    <row r="170" customFormat="false" ht="15" hidden="false" customHeight="true" outlineLevel="0" collapsed="false">
      <c r="A170" s="9" t="n">
        <v>158</v>
      </c>
      <c r="B170" s="47" t="s">
        <v>107</v>
      </c>
      <c r="C170" s="47" t="s">
        <v>2345</v>
      </c>
      <c r="D170" s="47" t="s">
        <v>617</v>
      </c>
      <c r="E170" s="47" t="s">
        <v>618</v>
      </c>
      <c r="F170" s="45" t="s">
        <v>306</v>
      </c>
      <c r="G170" s="9" t="n">
        <v>6</v>
      </c>
      <c r="H170" s="12" t="n">
        <f aca="false">'Engineering Assumptions'!$C$25*'Engineering Assumptions'!$B$5*U170</f>
        <v>5730</v>
      </c>
      <c r="I170" s="12" t="n">
        <f aca="false">'Engineering Assumptions'!$B$8</f>
        <v>650</v>
      </c>
      <c r="J170" s="12" t="n">
        <f aca="false">'Engineering Assumptions'!$D$25*S170*U170</f>
        <v>525</v>
      </c>
      <c r="K170" s="12" t="n">
        <f aca="false">'Engineering Assumptions'!$E$25*T170*U170</f>
        <v>450</v>
      </c>
      <c r="L170" s="13" t="n">
        <f aca="false">H170+I170+J170+K170</f>
        <v>7355</v>
      </c>
      <c r="M170" s="12" t="n">
        <f aca="false">L170*'Engineering Assumptions'!$B$10</f>
        <v>1103.25</v>
      </c>
      <c r="N170" s="13" t="n">
        <f aca="false">L170+M170</f>
        <v>8458.25</v>
      </c>
      <c r="O170" s="12" t="n">
        <f aca="false">N170*'Engineering Assumptions'!$B$11</f>
        <v>1691.65</v>
      </c>
      <c r="P170" s="183" t="n">
        <f aca="false">MROUND(N170+O170,10)</f>
        <v>10150</v>
      </c>
      <c r="Q170" s="12" t="n">
        <f aca="false">'Fleet Pricing'!H170</f>
        <v>9650</v>
      </c>
      <c r="R170" s="41" t="n">
        <v>6</v>
      </c>
      <c r="S170" s="46" t="n">
        <v>1.25</v>
      </c>
      <c r="T170" s="46" t="n">
        <v>0.75</v>
      </c>
      <c r="U170" s="46" t="n">
        <v>1</v>
      </c>
    </row>
    <row r="171" customFormat="false" ht="15" hidden="false" customHeight="true" outlineLevel="0" collapsed="false">
      <c r="A171" s="9" t="n">
        <v>159</v>
      </c>
      <c r="B171" s="47" t="s">
        <v>107</v>
      </c>
      <c r="C171" s="47" t="s">
        <v>2347</v>
      </c>
      <c r="D171" s="47" t="s">
        <v>619</v>
      </c>
      <c r="E171" s="47"/>
      <c r="F171" s="45" t="s">
        <v>374</v>
      </c>
      <c r="G171" s="9" t="n">
        <v>12</v>
      </c>
      <c r="H171" s="12" t="n">
        <f aca="false">'Engineering Assumptions'!$C$25*'Engineering Assumptions'!$B$5*U171</f>
        <v>5730</v>
      </c>
      <c r="I171" s="12" t="n">
        <f aca="false">'Engineering Assumptions'!$B$8</f>
        <v>650</v>
      </c>
      <c r="J171" s="12" t="n">
        <f aca="false">'Engineering Assumptions'!$D$25*S171*U171</f>
        <v>651</v>
      </c>
      <c r="K171" s="12" t="n">
        <f aca="false">'Engineering Assumptions'!$E$25*T171*U171</f>
        <v>810</v>
      </c>
      <c r="L171" s="13" t="n">
        <f aca="false">H171+I171+J171+K171</f>
        <v>7841</v>
      </c>
      <c r="M171" s="12" t="n">
        <f aca="false">L171*'Engineering Assumptions'!$B$10</f>
        <v>1176.15</v>
      </c>
      <c r="N171" s="13" t="n">
        <f aca="false">L171+M171</f>
        <v>9017.15</v>
      </c>
      <c r="O171" s="12" t="n">
        <f aca="false">N171*'Engineering Assumptions'!$B$11</f>
        <v>1803.43</v>
      </c>
      <c r="P171" s="183" t="n">
        <f aca="false">MROUND(N171+O171,10)</f>
        <v>10820</v>
      </c>
      <c r="Q171" s="12" t="n">
        <f aca="false">'Fleet Pricing'!H171</f>
        <v>7910</v>
      </c>
      <c r="R171" s="41" t="n">
        <v>12</v>
      </c>
      <c r="S171" s="46" t="n">
        <v>1.55</v>
      </c>
      <c r="T171" s="46" t="n">
        <v>1.35</v>
      </c>
      <c r="U171" s="46" t="n">
        <v>1</v>
      </c>
    </row>
    <row r="172" customFormat="false" ht="15" hidden="false" customHeight="true" outlineLevel="0" collapsed="false">
      <c r="A172" s="9" t="n">
        <v>160</v>
      </c>
      <c r="B172" s="47" t="s">
        <v>107</v>
      </c>
      <c r="C172" s="47" t="s">
        <v>2348</v>
      </c>
      <c r="D172" s="47" t="s">
        <v>621</v>
      </c>
      <c r="E172" s="47"/>
      <c r="F172" s="45" t="s">
        <v>623</v>
      </c>
      <c r="G172" s="9" t="n">
        <v>18</v>
      </c>
      <c r="H172" s="12" t="n">
        <f aca="false">'Engineering Assumptions'!$C$25*'Engineering Assumptions'!$B$5*U172</f>
        <v>5730</v>
      </c>
      <c r="I172" s="12" t="n">
        <f aca="false">'Engineering Assumptions'!$B$8</f>
        <v>650</v>
      </c>
      <c r="J172" s="12" t="n">
        <f aca="false">'Engineering Assumptions'!$D$25*S172*U172</f>
        <v>819</v>
      </c>
      <c r="K172" s="12" t="n">
        <f aca="false">'Engineering Assumptions'!$E$25*T172*U172</f>
        <v>1260</v>
      </c>
      <c r="L172" s="13" t="n">
        <f aca="false">H172+I172+J172+K172</f>
        <v>8459</v>
      </c>
      <c r="M172" s="12" t="n">
        <f aca="false">L172*'Engineering Assumptions'!$B$10</f>
        <v>1268.85</v>
      </c>
      <c r="N172" s="13" t="n">
        <f aca="false">L172+M172</f>
        <v>9727.85</v>
      </c>
      <c r="O172" s="12" t="n">
        <f aca="false">N172*'Engineering Assumptions'!$B$11</f>
        <v>1945.57</v>
      </c>
      <c r="P172" s="183" t="n">
        <f aca="false">MROUND(N172+O172,10)</f>
        <v>11670</v>
      </c>
      <c r="Q172" s="12" t="n">
        <f aca="false">'Fleet Pricing'!H172</f>
        <v>6950</v>
      </c>
      <c r="R172" s="41" t="n">
        <v>18</v>
      </c>
      <c r="S172" s="46" t="n">
        <v>1.95</v>
      </c>
      <c r="T172" s="46" t="n">
        <v>2.1</v>
      </c>
      <c r="U172" s="46" t="n">
        <v>1</v>
      </c>
    </row>
    <row r="173" customFormat="false" ht="15" hidden="false" customHeight="true" outlineLevel="0" collapsed="false">
      <c r="A173" s="9" t="n">
        <v>161</v>
      </c>
      <c r="B173" s="47" t="s">
        <v>107</v>
      </c>
      <c r="C173" s="47" t="s">
        <v>2313</v>
      </c>
      <c r="D173" s="47" t="s">
        <v>625</v>
      </c>
      <c r="E173" s="47"/>
      <c r="F173" s="45" t="s">
        <v>472</v>
      </c>
      <c r="G173" s="9" t="n">
        <v>30</v>
      </c>
      <c r="H173" s="12" t="n">
        <f aca="false">'Engineering Assumptions'!$C$25*'Engineering Assumptions'!$B$5*U173</f>
        <v>5730</v>
      </c>
      <c r="I173" s="12" t="n">
        <f aca="false">'Engineering Assumptions'!$B$8</f>
        <v>650</v>
      </c>
      <c r="J173" s="12" t="n">
        <f aca="false">'Engineering Assumptions'!$D$25*S173*U173</f>
        <v>1008</v>
      </c>
      <c r="K173" s="12" t="n">
        <f aca="false">'Engineering Assumptions'!$E$25*T173*U173</f>
        <v>1800</v>
      </c>
      <c r="L173" s="13" t="n">
        <f aca="false">H173+I173+J173+K173</f>
        <v>9188</v>
      </c>
      <c r="M173" s="12" t="n">
        <f aca="false">L173*'Engineering Assumptions'!$B$10</f>
        <v>1378.2</v>
      </c>
      <c r="N173" s="13" t="n">
        <f aca="false">L173+M173</f>
        <v>10566.2</v>
      </c>
      <c r="O173" s="12" t="n">
        <f aca="false">N173*'Engineering Assumptions'!$B$11</f>
        <v>2113.24</v>
      </c>
      <c r="P173" s="183" t="n">
        <f aca="false">MROUND(N173+O173,10)</f>
        <v>12680</v>
      </c>
      <c r="Q173" s="12" t="n">
        <f aca="false">'Fleet Pricing'!H173</f>
        <v>5600</v>
      </c>
      <c r="R173" s="41" t="n">
        <v>30</v>
      </c>
      <c r="S173" s="46" t="n">
        <v>2.4</v>
      </c>
      <c r="T173" s="46" t="n">
        <v>3</v>
      </c>
      <c r="U173" s="46" t="n">
        <v>1</v>
      </c>
    </row>
    <row r="174" customFormat="false" ht="15" hidden="false" customHeight="true" outlineLevel="0" collapsed="false">
      <c r="A174" s="9" t="n">
        <v>162</v>
      </c>
      <c r="B174" s="47" t="s">
        <v>107</v>
      </c>
      <c r="C174" s="47" t="s">
        <v>2313</v>
      </c>
      <c r="D174" s="47" t="s">
        <v>629</v>
      </c>
      <c r="E174" s="47"/>
      <c r="F174" s="45" t="s">
        <v>472</v>
      </c>
      <c r="G174" s="9" t="n">
        <v>30</v>
      </c>
      <c r="H174" s="12" t="n">
        <f aca="false">'Engineering Assumptions'!$C$25*'Engineering Assumptions'!$B$5*U174</f>
        <v>5730</v>
      </c>
      <c r="I174" s="12" t="n">
        <f aca="false">'Engineering Assumptions'!$B$8</f>
        <v>650</v>
      </c>
      <c r="J174" s="12" t="n">
        <f aca="false">'Engineering Assumptions'!$D$25*S174*U174</f>
        <v>1008</v>
      </c>
      <c r="K174" s="12" t="n">
        <f aca="false">'Engineering Assumptions'!$E$25*T174*U174</f>
        <v>1800</v>
      </c>
      <c r="L174" s="13" t="n">
        <f aca="false">H174+I174+J174+K174</f>
        <v>9188</v>
      </c>
      <c r="M174" s="12" t="n">
        <f aca="false">L174*'Engineering Assumptions'!$B$10</f>
        <v>1378.2</v>
      </c>
      <c r="N174" s="13" t="n">
        <f aca="false">L174+M174</f>
        <v>10566.2</v>
      </c>
      <c r="O174" s="12" t="n">
        <f aca="false">N174*'Engineering Assumptions'!$B$11</f>
        <v>2113.24</v>
      </c>
      <c r="P174" s="183" t="n">
        <f aca="false">MROUND(N174+O174,10)</f>
        <v>12680</v>
      </c>
      <c r="Q174" s="12" t="n">
        <f aca="false">'Fleet Pricing'!H174</f>
        <v>5600</v>
      </c>
      <c r="R174" s="41" t="n">
        <v>30</v>
      </c>
      <c r="S174" s="46" t="n">
        <v>2.4</v>
      </c>
      <c r="T174" s="46" t="n">
        <v>3</v>
      </c>
      <c r="U174" s="46" t="n">
        <v>1</v>
      </c>
    </row>
    <row r="175" customFormat="false" ht="23.25" hidden="false" customHeight="true" outlineLevel="0" collapsed="false">
      <c r="A175" s="9" t="n">
        <v>163</v>
      </c>
      <c r="B175" s="47" t="s">
        <v>107</v>
      </c>
      <c r="C175" s="47" t="s">
        <v>2349</v>
      </c>
      <c r="D175" s="47" t="s">
        <v>627</v>
      </c>
      <c r="E175" s="47"/>
      <c r="F175" s="45" t="s">
        <v>472</v>
      </c>
      <c r="G175" s="9" t="n">
        <v>30</v>
      </c>
      <c r="H175" s="12" t="n">
        <f aca="false">'Engineering Assumptions'!$C$25*'Engineering Assumptions'!$B$5*U175</f>
        <v>5730</v>
      </c>
      <c r="I175" s="12" t="n">
        <f aca="false">'Engineering Assumptions'!$B$8</f>
        <v>650</v>
      </c>
      <c r="J175" s="12" t="n">
        <f aca="false">'Engineering Assumptions'!$D$25*S175*U175</f>
        <v>1008</v>
      </c>
      <c r="K175" s="12" t="n">
        <f aca="false">'Engineering Assumptions'!$E$25*T175*U175</f>
        <v>1800</v>
      </c>
      <c r="L175" s="13" t="n">
        <f aca="false">H175+I175+J175+K175</f>
        <v>9188</v>
      </c>
      <c r="M175" s="12" t="n">
        <f aca="false">L175*'Engineering Assumptions'!$B$10</f>
        <v>1378.2</v>
      </c>
      <c r="N175" s="13" t="n">
        <f aca="false">L175+M175</f>
        <v>10566.2</v>
      </c>
      <c r="O175" s="12" t="n">
        <f aca="false">N175*'Engineering Assumptions'!$B$11</f>
        <v>2113.24</v>
      </c>
      <c r="P175" s="183" t="n">
        <f aca="false">MROUND(N175+O175,10)</f>
        <v>12680</v>
      </c>
      <c r="Q175" s="12" t="n">
        <f aca="false">'Fleet Pricing'!H175</f>
        <v>5600</v>
      </c>
      <c r="R175" s="41" t="n">
        <v>30</v>
      </c>
      <c r="S175" s="46" t="n">
        <v>2.4</v>
      </c>
      <c r="T175" s="46" t="n">
        <v>3</v>
      </c>
      <c r="U175" s="46" t="n">
        <v>1</v>
      </c>
    </row>
    <row r="176" customFormat="false" ht="15" hidden="false" customHeight="true" outlineLevel="0" collapsed="false">
      <c r="A176" s="9" t="n">
        <v>164</v>
      </c>
      <c r="B176" s="47" t="s">
        <v>107</v>
      </c>
      <c r="C176" s="47" t="s">
        <v>2331</v>
      </c>
      <c r="D176" s="47" t="s">
        <v>624</v>
      </c>
      <c r="E176" s="47"/>
      <c r="F176" s="45" t="s">
        <v>472</v>
      </c>
      <c r="G176" s="9" t="n">
        <v>30</v>
      </c>
      <c r="H176" s="12" t="n">
        <f aca="false">'Engineering Assumptions'!$C$25*'Engineering Assumptions'!$B$5*U176</f>
        <v>5730</v>
      </c>
      <c r="I176" s="12" t="n">
        <f aca="false">'Engineering Assumptions'!$B$8</f>
        <v>650</v>
      </c>
      <c r="J176" s="12" t="n">
        <f aca="false">'Engineering Assumptions'!$D$25*S176*U176</f>
        <v>1008</v>
      </c>
      <c r="K176" s="12" t="n">
        <f aca="false">'Engineering Assumptions'!$E$25*T176*U176</f>
        <v>1800</v>
      </c>
      <c r="L176" s="13" t="n">
        <f aca="false">H176+I176+J176+K176</f>
        <v>9188</v>
      </c>
      <c r="M176" s="12" t="n">
        <f aca="false">L176*'Engineering Assumptions'!$B$10</f>
        <v>1378.2</v>
      </c>
      <c r="N176" s="13" t="n">
        <f aca="false">L176+M176</f>
        <v>10566.2</v>
      </c>
      <c r="O176" s="12" t="n">
        <f aca="false">N176*'Engineering Assumptions'!$B$11</f>
        <v>2113.24</v>
      </c>
      <c r="P176" s="183" t="n">
        <f aca="false">MROUND(N176+O176,10)</f>
        <v>12680</v>
      </c>
      <c r="Q176" s="12" t="n">
        <f aca="false">'Fleet Pricing'!H176</f>
        <v>5600</v>
      </c>
      <c r="R176" s="41" t="n">
        <v>30</v>
      </c>
      <c r="S176" s="46" t="n">
        <v>2.4</v>
      </c>
      <c r="T176" s="46" t="n">
        <v>3</v>
      </c>
      <c r="U176" s="46" t="n">
        <v>1</v>
      </c>
    </row>
    <row r="177" customFormat="false" ht="15" hidden="false" customHeight="true" outlineLevel="0" collapsed="false">
      <c r="A177" s="9" t="n">
        <v>165</v>
      </c>
      <c r="B177" s="47" t="s">
        <v>107</v>
      </c>
      <c r="C177" s="47" t="s">
        <v>2350</v>
      </c>
      <c r="D177" s="47" t="s">
        <v>630</v>
      </c>
      <c r="E177" s="47"/>
      <c r="F177" s="45" t="s">
        <v>472</v>
      </c>
      <c r="G177" s="9" t="n">
        <v>30</v>
      </c>
      <c r="H177" s="12" t="n">
        <f aca="false">'Engineering Assumptions'!$C$25*'Engineering Assumptions'!$B$5*U177</f>
        <v>5730</v>
      </c>
      <c r="I177" s="12" t="n">
        <f aca="false">'Engineering Assumptions'!$B$8</f>
        <v>650</v>
      </c>
      <c r="J177" s="12" t="n">
        <f aca="false">'Engineering Assumptions'!$D$25*S177*U177</f>
        <v>1008</v>
      </c>
      <c r="K177" s="12" t="n">
        <f aca="false">'Engineering Assumptions'!$E$25*T177*U177</f>
        <v>1800</v>
      </c>
      <c r="L177" s="13" t="n">
        <f aca="false">H177+I177+J177+K177</f>
        <v>9188</v>
      </c>
      <c r="M177" s="12" t="n">
        <f aca="false">L177*'Engineering Assumptions'!$B$10</f>
        <v>1378.2</v>
      </c>
      <c r="N177" s="13" t="n">
        <f aca="false">L177+M177</f>
        <v>10566.2</v>
      </c>
      <c r="O177" s="12" t="n">
        <f aca="false">N177*'Engineering Assumptions'!$B$11</f>
        <v>2113.24</v>
      </c>
      <c r="P177" s="183" t="n">
        <f aca="false">MROUND(N177+O177,10)</f>
        <v>12680</v>
      </c>
      <c r="Q177" s="12" t="n">
        <f aca="false">'Fleet Pricing'!H177</f>
        <v>5600</v>
      </c>
      <c r="R177" s="41" t="n">
        <v>30</v>
      </c>
      <c r="S177" s="46" t="n">
        <v>2.4</v>
      </c>
      <c r="T177" s="46" t="n">
        <v>3</v>
      </c>
      <c r="U177" s="46" t="n">
        <v>1</v>
      </c>
    </row>
    <row r="178" customFormat="false" ht="15" hidden="false" customHeight="true" outlineLevel="0" collapsed="false">
      <c r="A178" s="9" t="n">
        <v>166</v>
      </c>
      <c r="B178" s="47" t="s">
        <v>107</v>
      </c>
      <c r="C178" s="47" t="s">
        <v>2331</v>
      </c>
      <c r="D178" s="47" t="s">
        <v>632</v>
      </c>
      <c r="E178" s="47" t="s">
        <v>633</v>
      </c>
      <c r="F178" s="45" t="s">
        <v>472</v>
      </c>
      <c r="G178" s="9" t="n">
        <v>30</v>
      </c>
      <c r="H178" s="12" t="n">
        <f aca="false">'Engineering Assumptions'!$C$25*'Engineering Assumptions'!$B$5*U178</f>
        <v>5730</v>
      </c>
      <c r="I178" s="12" t="n">
        <f aca="false">'Engineering Assumptions'!$B$8</f>
        <v>650</v>
      </c>
      <c r="J178" s="12" t="n">
        <f aca="false">'Engineering Assumptions'!$D$25*S178*U178</f>
        <v>1008</v>
      </c>
      <c r="K178" s="12" t="n">
        <f aca="false">'Engineering Assumptions'!$E$25*T178*U178</f>
        <v>1800</v>
      </c>
      <c r="L178" s="13" t="n">
        <f aca="false">H178+I178+J178+K178</f>
        <v>9188</v>
      </c>
      <c r="M178" s="12" t="n">
        <f aca="false">L178*'Engineering Assumptions'!$B$10</f>
        <v>1378.2</v>
      </c>
      <c r="N178" s="13" t="n">
        <f aca="false">L178+M178</f>
        <v>10566.2</v>
      </c>
      <c r="O178" s="12" t="n">
        <f aca="false">N178*'Engineering Assumptions'!$B$11</f>
        <v>2113.24</v>
      </c>
      <c r="P178" s="183" t="n">
        <f aca="false">MROUND(N178+O178,10)</f>
        <v>12680</v>
      </c>
      <c r="Q178" s="12" t="n">
        <f aca="false">'Fleet Pricing'!H178</f>
        <v>5600</v>
      </c>
      <c r="R178" s="41" t="n">
        <v>30</v>
      </c>
      <c r="S178" s="46" t="n">
        <v>2.4</v>
      </c>
      <c r="T178" s="46" t="n">
        <v>3</v>
      </c>
      <c r="U178" s="46" t="n">
        <v>1</v>
      </c>
    </row>
    <row r="179" customFormat="false" ht="15" hidden="false" customHeight="true" outlineLevel="0" collapsed="false">
      <c r="A179" s="9" t="n">
        <v>167</v>
      </c>
      <c r="B179" s="47" t="s">
        <v>107</v>
      </c>
      <c r="C179" s="47" t="s">
        <v>2351</v>
      </c>
      <c r="D179" s="47" t="s">
        <v>635</v>
      </c>
      <c r="E179" s="47"/>
      <c r="F179" s="45" t="s">
        <v>472</v>
      </c>
      <c r="G179" s="9" t="n">
        <v>30</v>
      </c>
      <c r="H179" s="12" t="n">
        <f aca="false">'Engineering Assumptions'!$C$25*'Engineering Assumptions'!$B$5*U179</f>
        <v>5730</v>
      </c>
      <c r="I179" s="12" t="n">
        <f aca="false">'Engineering Assumptions'!$B$8</f>
        <v>650</v>
      </c>
      <c r="J179" s="12" t="n">
        <f aca="false">'Engineering Assumptions'!$D$25*S179*U179</f>
        <v>1008</v>
      </c>
      <c r="K179" s="12" t="n">
        <f aca="false">'Engineering Assumptions'!$E$25*T179*U179</f>
        <v>1800</v>
      </c>
      <c r="L179" s="13" t="n">
        <f aca="false">H179+I179+J179+K179</f>
        <v>9188</v>
      </c>
      <c r="M179" s="12" t="n">
        <f aca="false">L179*'Engineering Assumptions'!$B$10</f>
        <v>1378.2</v>
      </c>
      <c r="N179" s="13" t="n">
        <f aca="false">L179+M179</f>
        <v>10566.2</v>
      </c>
      <c r="O179" s="12" t="n">
        <f aca="false">N179*'Engineering Assumptions'!$B$11</f>
        <v>2113.24</v>
      </c>
      <c r="P179" s="183" t="n">
        <f aca="false">MROUND(N179+O179,10)</f>
        <v>12680</v>
      </c>
      <c r="Q179" s="12" t="n">
        <f aca="false">'Fleet Pricing'!H179</f>
        <v>5600</v>
      </c>
      <c r="R179" s="41" t="n">
        <v>30</v>
      </c>
      <c r="S179" s="46" t="n">
        <v>2.4</v>
      </c>
      <c r="T179" s="46" t="n">
        <v>3</v>
      </c>
      <c r="U179" s="46" t="n">
        <v>1</v>
      </c>
    </row>
    <row r="180" customFormat="false" ht="15" hidden="false" customHeight="true" outlineLevel="0" collapsed="false">
      <c r="A180" s="9" t="n">
        <v>168</v>
      </c>
      <c r="B180" s="47" t="s">
        <v>107</v>
      </c>
      <c r="C180" s="47" t="s">
        <v>2352</v>
      </c>
      <c r="D180" s="47" t="s">
        <v>637</v>
      </c>
      <c r="E180" s="47"/>
      <c r="F180" s="45" t="s">
        <v>472</v>
      </c>
      <c r="G180" s="9" t="n">
        <v>30</v>
      </c>
      <c r="H180" s="12" t="n">
        <f aca="false">'Engineering Assumptions'!$C$25*'Engineering Assumptions'!$B$5*U180</f>
        <v>5730</v>
      </c>
      <c r="I180" s="12" t="n">
        <f aca="false">'Engineering Assumptions'!$B$8</f>
        <v>650</v>
      </c>
      <c r="J180" s="12" t="n">
        <f aca="false">'Engineering Assumptions'!$D$25*S180*U180</f>
        <v>1008</v>
      </c>
      <c r="K180" s="12" t="n">
        <f aca="false">'Engineering Assumptions'!$E$25*T180*U180</f>
        <v>1800</v>
      </c>
      <c r="L180" s="13" t="n">
        <f aca="false">H180+I180+J180+K180</f>
        <v>9188</v>
      </c>
      <c r="M180" s="12" t="n">
        <f aca="false">L180*'Engineering Assumptions'!$B$10</f>
        <v>1378.2</v>
      </c>
      <c r="N180" s="13" t="n">
        <f aca="false">L180+M180</f>
        <v>10566.2</v>
      </c>
      <c r="O180" s="12" t="n">
        <f aca="false">N180*'Engineering Assumptions'!$B$11</f>
        <v>2113.24</v>
      </c>
      <c r="P180" s="183" t="n">
        <f aca="false">MROUND(N180+O180,10)</f>
        <v>12680</v>
      </c>
      <c r="Q180" s="12" t="n">
        <f aca="false">'Fleet Pricing'!H180</f>
        <v>5600</v>
      </c>
      <c r="R180" s="41" t="n">
        <v>30</v>
      </c>
      <c r="S180" s="46" t="n">
        <v>2.4</v>
      </c>
      <c r="T180" s="46" t="n">
        <v>3</v>
      </c>
      <c r="U180" s="46" t="n">
        <v>1</v>
      </c>
    </row>
    <row r="181" customFormat="false" ht="15" hidden="false" customHeight="true" outlineLevel="0" collapsed="false">
      <c r="A181" s="9" t="n">
        <v>169</v>
      </c>
      <c r="B181" s="47" t="s">
        <v>107</v>
      </c>
      <c r="C181" s="47" t="s">
        <v>2353</v>
      </c>
      <c r="D181" s="47" t="s">
        <v>639</v>
      </c>
      <c r="E181" s="47"/>
      <c r="F181" s="45" t="s">
        <v>472</v>
      </c>
      <c r="G181" s="9" t="n">
        <v>30</v>
      </c>
      <c r="H181" s="12" t="n">
        <f aca="false">'Engineering Assumptions'!$C$25*'Engineering Assumptions'!$B$5*U181</f>
        <v>5730</v>
      </c>
      <c r="I181" s="12" t="n">
        <f aca="false">'Engineering Assumptions'!$B$8</f>
        <v>650</v>
      </c>
      <c r="J181" s="12" t="n">
        <f aca="false">'Engineering Assumptions'!$D$25*S181*U181</f>
        <v>1008</v>
      </c>
      <c r="K181" s="12" t="n">
        <f aca="false">'Engineering Assumptions'!$E$25*T181*U181</f>
        <v>1800</v>
      </c>
      <c r="L181" s="13" t="n">
        <f aca="false">H181+I181+J181+K181</f>
        <v>9188</v>
      </c>
      <c r="M181" s="12" t="n">
        <f aca="false">L181*'Engineering Assumptions'!$B$10</f>
        <v>1378.2</v>
      </c>
      <c r="N181" s="13" t="n">
        <f aca="false">L181+M181</f>
        <v>10566.2</v>
      </c>
      <c r="O181" s="12" t="n">
        <f aca="false">N181*'Engineering Assumptions'!$B$11</f>
        <v>2113.24</v>
      </c>
      <c r="P181" s="183" t="n">
        <f aca="false">MROUND(N181+O181,10)</f>
        <v>12680</v>
      </c>
      <c r="Q181" s="12" t="n">
        <f aca="false">'Fleet Pricing'!H181</f>
        <v>5600</v>
      </c>
      <c r="R181" s="41" t="n">
        <v>30</v>
      </c>
      <c r="S181" s="46" t="n">
        <v>2.4</v>
      </c>
      <c r="T181" s="46" t="n">
        <v>3</v>
      </c>
      <c r="U181" s="46" t="n">
        <v>1</v>
      </c>
    </row>
    <row r="182" customFormat="false" ht="15" hidden="false" customHeight="true" outlineLevel="0" collapsed="false">
      <c r="A182" s="42" t="s">
        <v>641</v>
      </c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</row>
    <row r="183" customFormat="false" ht="15" hidden="false" customHeight="true" outlineLevel="0" collapsed="false">
      <c r="A183" s="9" t="n">
        <v>170</v>
      </c>
      <c r="B183" s="47" t="s">
        <v>109</v>
      </c>
      <c r="C183" s="47" t="s">
        <v>2354</v>
      </c>
      <c r="D183" s="47" t="s">
        <v>642</v>
      </c>
      <c r="E183" s="47"/>
      <c r="F183" s="45" t="s">
        <v>297</v>
      </c>
      <c r="G183" s="9" t="n">
        <v>5</v>
      </c>
      <c r="H183" s="12" t="n">
        <f aca="false">'Engineering Assumptions'!$C$26*'Engineering Assumptions'!$B$5*U183</f>
        <v>1719</v>
      </c>
      <c r="I183" s="12" t="n">
        <f aca="false">'Engineering Assumptions'!$B$8</f>
        <v>650</v>
      </c>
      <c r="J183" s="12" t="n">
        <f aca="false">'Engineering Assumptions'!$D$26*S183*U183</f>
        <v>160</v>
      </c>
      <c r="K183" s="12" t="n">
        <f aca="false">'Engineering Assumptions'!$E$26*T183*U183</f>
        <v>60</v>
      </c>
      <c r="L183" s="13" t="n">
        <f aca="false">H183+I183+J183+K183</f>
        <v>2589</v>
      </c>
      <c r="M183" s="12" t="n">
        <f aca="false">L183*'Engineering Assumptions'!$B$10</f>
        <v>388.35</v>
      </c>
      <c r="N183" s="13" t="n">
        <f aca="false">L183+M183</f>
        <v>2977.35</v>
      </c>
      <c r="O183" s="12" t="n">
        <f aca="false">N183*'Engineering Assumptions'!$B$11</f>
        <v>595.47</v>
      </c>
      <c r="P183" s="183" t="n">
        <f aca="false">MROUND(N183+O183,10)</f>
        <v>3570</v>
      </c>
      <c r="Q183" s="12" t="n">
        <f aca="false">'Fleet Pricing'!H183</f>
        <v>2700</v>
      </c>
      <c r="R183" s="41" t="n">
        <v>5</v>
      </c>
      <c r="S183" s="46" t="n">
        <v>1</v>
      </c>
      <c r="T183" s="46" t="n">
        <v>0.3</v>
      </c>
      <c r="U183" s="46" t="n">
        <v>1</v>
      </c>
    </row>
    <row r="184" customFormat="false" ht="15" hidden="false" customHeight="true" outlineLevel="0" collapsed="false">
      <c r="A184" s="9" t="n">
        <v>171</v>
      </c>
      <c r="B184" s="47" t="s">
        <v>109</v>
      </c>
      <c r="C184" s="47" t="s">
        <v>2354</v>
      </c>
      <c r="D184" s="47" t="s">
        <v>664</v>
      </c>
      <c r="E184" s="47"/>
      <c r="F184" s="45" t="s">
        <v>297</v>
      </c>
      <c r="G184" s="9" t="n">
        <v>5</v>
      </c>
      <c r="H184" s="12" t="n">
        <f aca="false">'Engineering Assumptions'!$C$26*'Engineering Assumptions'!$B$5*U184</f>
        <v>1719</v>
      </c>
      <c r="I184" s="12" t="n">
        <f aca="false">'Engineering Assumptions'!$B$8</f>
        <v>650</v>
      </c>
      <c r="J184" s="12" t="n">
        <f aca="false">'Engineering Assumptions'!$D$26*S184*U184</f>
        <v>160</v>
      </c>
      <c r="K184" s="12" t="n">
        <f aca="false">'Engineering Assumptions'!$E$26*T184*U184</f>
        <v>60</v>
      </c>
      <c r="L184" s="13" t="n">
        <f aca="false">H184+I184+J184+K184</f>
        <v>2589</v>
      </c>
      <c r="M184" s="12" t="n">
        <f aca="false">L184*'Engineering Assumptions'!$B$10</f>
        <v>388.35</v>
      </c>
      <c r="N184" s="13" t="n">
        <f aca="false">L184+M184</f>
        <v>2977.35</v>
      </c>
      <c r="O184" s="12" t="n">
        <f aca="false">N184*'Engineering Assumptions'!$B$11</f>
        <v>595.47</v>
      </c>
      <c r="P184" s="183" t="n">
        <f aca="false">MROUND(N184+O184,10)</f>
        <v>3570</v>
      </c>
      <c r="Q184" s="12" t="n">
        <f aca="false">'Fleet Pricing'!H184</f>
        <v>2700</v>
      </c>
      <c r="R184" s="41" t="n">
        <v>5</v>
      </c>
      <c r="S184" s="46" t="n">
        <v>1</v>
      </c>
      <c r="T184" s="46" t="n">
        <v>0.3</v>
      </c>
      <c r="U184" s="46" t="n">
        <v>1</v>
      </c>
    </row>
    <row r="185" customFormat="false" ht="15" hidden="false" customHeight="true" outlineLevel="0" collapsed="false">
      <c r="A185" s="9" t="n">
        <v>172</v>
      </c>
      <c r="B185" s="47" t="s">
        <v>109</v>
      </c>
      <c r="C185" s="47" t="s">
        <v>2354</v>
      </c>
      <c r="D185" s="47" t="s">
        <v>665</v>
      </c>
      <c r="E185" s="47"/>
      <c r="F185" s="45" t="s">
        <v>297</v>
      </c>
      <c r="G185" s="9" t="n">
        <v>5</v>
      </c>
      <c r="H185" s="12" t="n">
        <f aca="false">'Engineering Assumptions'!$C$26*'Engineering Assumptions'!$B$5*U185</f>
        <v>1719</v>
      </c>
      <c r="I185" s="12" t="n">
        <f aca="false">'Engineering Assumptions'!$B$8</f>
        <v>650</v>
      </c>
      <c r="J185" s="12" t="n">
        <f aca="false">'Engineering Assumptions'!$D$26*S185*U185</f>
        <v>160</v>
      </c>
      <c r="K185" s="12" t="n">
        <f aca="false">'Engineering Assumptions'!$E$26*T185*U185</f>
        <v>60</v>
      </c>
      <c r="L185" s="13" t="n">
        <f aca="false">H185+I185+J185+K185</f>
        <v>2589</v>
      </c>
      <c r="M185" s="12" t="n">
        <f aca="false">L185*'Engineering Assumptions'!$B$10</f>
        <v>388.35</v>
      </c>
      <c r="N185" s="13" t="n">
        <f aca="false">L185+M185</f>
        <v>2977.35</v>
      </c>
      <c r="O185" s="12" t="n">
        <f aca="false">N185*'Engineering Assumptions'!$B$11</f>
        <v>595.47</v>
      </c>
      <c r="P185" s="183" t="n">
        <f aca="false">MROUND(N185+O185,10)</f>
        <v>3570</v>
      </c>
      <c r="Q185" s="12" t="n">
        <f aca="false">'Fleet Pricing'!H185</f>
        <v>2700</v>
      </c>
      <c r="R185" s="41" t="n">
        <v>5</v>
      </c>
      <c r="S185" s="46" t="n">
        <v>1</v>
      </c>
      <c r="T185" s="46" t="n">
        <v>0.3</v>
      </c>
      <c r="U185" s="46" t="n">
        <v>1</v>
      </c>
    </row>
    <row r="186" customFormat="false" ht="15" hidden="false" customHeight="true" outlineLevel="0" collapsed="false">
      <c r="A186" s="9" t="n">
        <v>173</v>
      </c>
      <c r="B186" s="47" t="s">
        <v>109</v>
      </c>
      <c r="C186" s="47" t="s">
        <v>2355</v>
      </c>
      <c r="D186" s="47" t="s">
        <v>647</v>
      </c>
      <c r="E186" s="47"/>
      <c r="F186" s="45" t="s">
        <v>297</v>
      </c>
      <c r="G186" s="9" t="n">
        <v>5</v>
      </c>
      <c r="H186" s="12" t="n">
        <f aca="false">'Engineering Assumptions'!$C$26*'Engineering Assumptions'!$B$5*U186</f>
        <v>1719</v>
      </c>
      <c r="I186" s="12" t="n">
        <f aca="false">'Engineering Assumptions'!$B$8</f>
        <v>650</v>
      </c>
      <c r="J186" s="12" t="n">
        <f aca="false">'Engineering Assumptions'!$D$26*S186*U186</f>
        <v>160</v>
      </c>
      <c r="K186" s="12" t="n">
        <f aca="false">'Engineering Assumptions'!$E$26*T186*U186</f>
        <v>60</v>
      </c>
      <c r="L186" s="13" t="n">
        <f aca="false">H186+I186+J186+K186</f>
        <v>2589</v>
      </c>
      <c r="M186" s="12" t="n">
        <f aca="false">L186*'Engineering Assumptions'!$B$10</f>
        <v>388.35</v>
      </c>
      <c r="N186" s="13" t="n">
        <f aca="false">L186+M186</f>
        <v>2977.35</v>
      </c>
      <c r="O186" s="12" t="n">
        <f aca="false">N186*'Engineering Assumptions'!$B$11</f>
        <v>595.47</v>
      </c>
      <c r="P186" s="183" t="n">
        <f aca="false">MROUND(N186+O186,10)</f>
        <v>3570</v>
      </c>
      <c r="Q186" s="12" t="n">
        <f aca="false">'Fleet Pricing'!H186</f>
        <v>2700</v>
      </c>
      <c r="R186" s="41" t="n">
        <v>5</v>
      </c>
      <c r="S186" s="46" t="n">
        <v>1</v>
      </c>
      <c r="T186" s="46" t="n">
        <v>0.3</v>
      </c>
      <c r="U186" s="46" t="n">
        <v>1</v>
      </c>
    </row>
    <row r="187" customFormat="false" ht="15" hidden="false" customHeight="true" outlineLevel="0" collapsed="false">
      <c r="A187" s="9" t="n">
        <v>174</v>
      </c>
      <c r="B187" s="47" t="s">
        <v>109</v>
      </c>
      <c r="C187" s="47" t="s">
        <v>2355</v>
      </c>
      <c r="D187" s="47" t="s">
        <v>671</v>
      </c>
      <c r="E187" s="47"/>
      <c r="F187" s="45" t="s">
        <v>297</v>
      </c>
      <c r="G187" s="9" t="n">
        <v>5</v>
      </c>
      <c r="H187" s="12" t="n">
        <f aca="false">'Engineering Assumptions'!$C$26*'Engineering Assumptions'!$B$5*U187</f>
        <v>1719</v>
      </c>
      <c r="I187" s="12" t="n">
        <f aca="false">'Engineering Assumptions'!$B$8</f>
        <v>650</v>
      </c>
      <c r="J187" s="12" t="n">
        <f aca="false">'Engineering Assumptions'!$D$26*S187*U187</f>
        <v>160</v>
      </c>
      <c r="K187" s="12" t="n">
        <f aca="false">'Engineering Assumptions'!$E$26*T187*U187</f>
        <v>60</v>
      </c>
      <c r="L187" s="13" t="n">
        <f aca="false">H187+I187+J187+K187</f>
        <v>2589</v>
      </c>
      <c r="M187" s="12" t="n">
        <f aca="false">L187*'Engineering Assumptions'!$B$10</f>
        <v>388.35</v>
      </c>
      <c r="N187" s="13" t="n">
        <f aca="false">L187+M187</f>
        <v>2977.35</v>
      </c>
      <c r="O187" s="12" t="n">
        <f aca="false">N187*'Engineering Assumptions'!$B$11</f>
        <v>595.47</v>
      </c>
      <c r="P187" s="183" t="n">
        <f aca="false">MROUND(N187+O187,10)</f>
        <v>3570</v>
      </c>
      <c r="Q187" s="12" t="n">
        <f aca="false">'Fleet Pricing'!H187</f>
        <v>2700</v>
      </c>
      <c r="R187" s="41" t="n">
        <v>5</v>
      </c>
      <c r="S187" s="46" t="n">
        <v>1</v>
      </c>
      <c r="T187" s="46" t="n">
        <v>0.3</v>
      </c>
      <c r="U187" s="46" t="n">
        <v>1</v>
      </c>
    </row>
    <row r="188" customFormat="false" ht="15" hidden="false" customHeight="true" outlineLevel="0" collapsed="false">
      <c r="A188" s="9" t="n">
        <v>175</v>
      </c>
      <c r="B188" s="47" t="s">
        <v>109</v>
      </c>
      <c r="C188" s="47" t="s">
        <v>2354</v>
      </c>
      <c r="D188" s="47" t="s">
        <v>650</v>
      </c>
      <c r="E188" s="47"/>
      <c r="F188" s="45" t="s">
        <v>306</v>
      </c>
      <c r="G188" s="9" t="n">
        <v>6</v>
      </c>
      <c r="H188" s="12" t="n">
        <f aca="false">'Engineering Assumptions'!$C$26*'Engineering Assumptions'!$B$5*U188</f>
        <v>1719</v>
      </c>
      <c r="I188" s="12" t="n">
        <f aca="false">'Engineering Assumptions'!$B$8</f>
        <v>650</v>
      </c>
      <c r="J188" s="12" t="n">
        <f aca="false">'Engineering Assumptions'!$D$26*S188*U188</f>
        <v>200</v>
      </c>
      <c r="K188" s="12" t="n">
        <f aca="false">'Engineering Assumptions'!$E$26*T188*U188</f>
        <v>150</v>
      </c>
      <c r="L188" s="13" t="n">
        <f aca="false">H188+I188+J188+K188</f>
        <v>2719</v>
      </c>
      <c r="M188" s="12" t="n">
        <f aca="false">L188*'Engineering Assumptions'!$B$10</f>
        <v>407.85</v>
      </c>
      <c r="N188" s="13" t="n">
        <f aca="false">L188+M188</f>
        <v>3126.85</v>
      </c>
      <c r="O188" s="12" t="n">
        <f aca="false">N188*'Engineering Assumptions'!$B$11</f>
        <v>625.37</v>
      </c>
      <c r="P188" s="183" t="n">
        <f aca="false">MROUND(N188+O188,10)</f>
        <v>3750</v>
      </c>
      <c r="Q188" s="12" t="n">
        <f aca="false">'Fleet Pricing'!H188</f>
        <v>2700</v>
      </c>
      <c r="R188" s="41" t="n">
        <v>6</v>
      </c>
      <c r="S188" s="46" t="n">
        <v>1.25</v>
      </c>
      <c r="T188" s="46" t="n">
        <v>0.75</v>
      </c>
      <c r="U188" s="46" t="n">
        <v>1</v>
      </c>
    </row>
    <row r="189" customFormat="false" ht="15" hidden="false" customHeight="true" outlineLevel="0" collapsed="false">
      <c r="A189" s="9" t="n">
        <v>176</v>
      </c>
      <c r="B189" s="47" t="s">
        <v>109</v>
      </c>
      <c r="C189" s="47" t="s">
        <v>2356</v>
      </c>
      <c r="D189" s="47" t="s">
        <v>654</v>
      </c>
      <c r="E189" s="47"/>
      <c r="F189" s="45" t="s">
        <v>397</v>
      </c>
      <c r="G189" s="9" t="n">
        <v>9</v>
      </c>
      <c r="H189" s="12" t="n">
        <f aca="false">'Engineering Assumptions'!$C$26*'Engineering Assumptions'!$B$5*U189</f>
        <v>1719</v>
      </c>
      <c r="I189" s="12" t="n">
        <f aca="false">'Engineering Assumptions'!$B$8</f>
        <v>650</v>
      </c>
      <c r="J189" s="12" t="n">
        <f aca="false">'Engineering Assumptions'!$D$26*S189*U189</f>
        <v>200</v>
      </c>
      <c r="K189" s="12" t="n">
        <f aca="false">'Engineering Assumptions'!$E$26*T189*U189</f>
        <v>150</v>
      </c>
      <c r="L189" s="13" t="n">
        <f aca="false">H189+I189+J189+K189</f>
        <v>2719</v>
      </c>
      <c r="M189" s="12" t="n">
        <f aca="false">L189*'Engineering Assumptions'!$B$10</f>
        <v>407.85</v>
      </c>
      <c r="N189" s="13" t="n">
        <f aca="false">L189+M189</f>
        <v>3126.85</v>
      </c>
      <c r="O189" s="12" t="n">
        <f aca="false">N189*'Engineering Assumptions'!$B$11</f>
        <v>625.37</v>
      </c>
      <c r="P189" s="183" t="n">
        <f aca="false">MROUND(N189+O189,10)</f>
        <v>3750</v>
      </c>
      <c r="Q189" s="12" t="n">
        <f aca="false">'Fleet Pricing'!H189</f>
        <v>2480</v>
      </c>
      <c r="R189" s="41" t="n">
        <v>9</v>
      </c>
      <c r="S189" s="46" t="n">
        <v>1.25</v>
      </c>
      <c r="T189" s="46" t="n">
        <v>0.75</v>
      </c>
      <c r="U189" s="46" t="n">
        <v>1</v>
      </c>
    </row>
    <row r="190" customFormat="false" ht="15" hidden="false" customHeight="true" outlineLevel="0" collapsed="false">
      <c r="A190" s="9" t="n">
        <v>177</v>
      </c>
      <c r="B190" s="47" t="s">
        <v>109</v>
      </c>
      <c r="C190" s="47" t="s">
        <v>2356</v>
      </c>
      <c r="D190" s="47" t="s">
        <v>659</v>
      </c>
      <c r="E190" s="47"/>
      <c r="F190" s="45" t="s">
        <v>397</v>
      </c>
      <c r="G190" s="9" t="n">
        <v>9</v>
      </c>
      <c r="H190" s="12" t="n">
        <f aca="false">'Engineering Assumptions'!$C$26*'Engineering Assumptions'!$B$5*U190</f>
        <v>1719</v>
      </c>
      <c r="I190" s="12" t="n">
        <f aca="false">'Engineering Assumptions'!$B$8</f>
        <v>650</v>
      </c>
      <c r="J190" s="12" t="n">
        <f aca="false">'Engineering Assumptions'!$D$26*S190*U190</f>
        <v>200</v>
      </c>
      <c r="K190" s="12" t="n">
        <f aca="false">'Engineering Assumptions'!$E$26*T190*U190</f>
        <v>150</v>
      </c>
      <c r="L190" s="13" t="n">
        <f aca="false">H190+I190+J190+K190</f>
        <v>2719</v>
      </c>
      <c r="M190" s="12" t="n">
        <f aca="false">L190*'Engineering Assumptions'!$B$10</f>
        <v>407.85</v>
      </c>
      <c r="N190" s="13" t="n">
        <f aca="false">L190+M190</f>
        <v>3126.85</v>
      </c>
      <c r="O190" s="12" t="n">
        <f aca="false">N190*'Engineering Assumptions'!$B$11</f>
        <v>625.37</v>
      </c>
      <c r="P190" s="183" t="n">
        <f aca="false">MROUND(N190+O190,10)</f>
        <v>3750</v>
      </c>
      <c r="Q190" s="12" t="n">
        <f aca="false">'Fleet Pricing'!H190</f>
        <v>2480</v>
      </c>
      <c r="R190" s="41" t="n">
        <v>9</v>
      </c>
      <c r="S190" s="46" t="n">
        <v>1.25</v>
      </c>
      <c r="T190" s="46" t="n">
        <v>0.75</v>
      </c>
      <c r="U190" s="46" t="n">
        <v>1</v>
      </c>
    </row>
    <row r="191" customFormat="false" ht="15" hidden="false" customHeight="true" outlineLevel="0" collapsed="false">
      <c r="A191" s="9" t="n">
        <v>178</v>
      </c>
      <c r="B191" s="47" t="s">
        <v>109</v>
      </c>
      <c r="C191" s="47" t="s">
        <v>2356</v>
      </c>
      <c r="D191" s="47" t="s">
        <v>668</v>
      </c>
      <c r="E191" s="47"/>
      <c r="F191" s="45" t="s">
        <v>397</v>
      </c>
      <c r="G191" s="9" t="n">
        <v>9</v>
      </c>
      <c r="H191" s="12" t="n">
        <f aca="false">'Engineering Assumptions'!$C$26*'Engineering Assumptions'!$B$5*U191</f>
        <v>1719</v>
      </c>
      <c r="I191" s="12" t="n">
        <f aca="false">'Engineering Assumptions'!$B$8</f>
        <v>650</v>
      </c>
      <c r="J191" s="12" t="n">
        <f aca="false">'Engineering Assumptions'!$D$26*S191*U191</f>
        <v>200</v>
      </c>
      <c r="K191" s="12" t="n">
        <f aca="false">'Engineering Assumptions'!$E$26*T191*U191</f>
        <v>150</v>
      </c>
      <c r="L191" s="13" t="n">
        <f aca="false">H191+I191+J191+K191</f>
        <v>2719</v>
      </c>
      <c r="M191" s="12" t="n">
        <f aca="false">L191*'Engineering Assumptions'!$B$10</f>
        <v>407.85</v>
      </c>
      <c r="N191" s="13" t="n">
        <f aca="false">L191+M191</f>
        <v>3126.85</v>
      </c>
      <c r="O191" s="12" t="n">
        <f aca="false">N191*'Engineering Assumptions'!$B$11</f>
        <v>625.37</v>
      </c>
      <c r="P191" s="183" t="n">
        <f aca="false">MROUND(N191+O191,10)</f>
        <v>3750</v>
      </c>
      <c r="Q191" s="12" t="n">
        <f aca="false">'Fleet Pricing'!H191</f>
        <v>2480</v>
      </c>
      <c r="R191" s="41" t="n">
        <v>9</v>
      </c>
      <c r="S191" s="46" t="n">
        <v>1.25</v>
      </c>
      <c r="T191" s="46" t="n">
        <v>0.75</v>
      </c>
      <c r="U191" s="46" t="n">
        <v>1</v>
      </c>
    </row>
    <row r="192" customFormat="false" ht="15" hidden="false" customHeight="true" outlineLevel="0" collapsed="false">
      <c r="A192" s="9" t="n">
        <v>179</v>
      </c>
      <c r="B192" s="47" t="s">
        <v>109</v>
      </c>
      <c r="C192" s="47" t="s">
        <v>2356</v>
      </c>
      <c r="D192" s="47" t="s">
        <v>672</v>
      </c>
      <c r="E192" s="47"/>
      <c r="F192" s="45" t="s">
        <v>397</v>
      </c>
      <c r="G192" s="9" t="n">
        <v>9</v>
      </c>
      <c r="H192" s="12" t="n">
        <f aca="false">'Engineering Assumptions'!$C$26*'Engineering Assumptions'!$B$5*U192</f>
        <v>1719</v>
      </c>
      <c r="I192" s="12" t="n">
        <f aca="false">'Engineering Assumptions'!$B$8</f>
        <v>650</v>
      </c>
      <c r="J192" s="12" t="n">
        <f aca="false">'Engineering Assumptions'!$D$26*S192*U192</f>
        <v>200</v>
      </c>
      <c r="K192" s="12" t="n">
        <f aca="false">'Engineering Assumptions'!$E$26*T192*U192</f>
        <v>150</v>
      </c>
      <c r="L192" s="13" t="n">
        <f aca="false">H192+I192+J192+K192</f>
        <v>2719</v>
      </c>
      <c r="M192" s="12" t="n">
        <f aca="false">L192*'Engineering Assumptions'!$B$10</f>
        <v>407.85</v>
      </c>
      <c r="N192" s="13" t="n">
        <f aca="false">L192+M192</f>
        <v>3126.85</v>
      </c>
      <c r="O192" s="12" t="n">
        <f aca="false">N192*'Engineering Assumptions'!$B$11</f>
        <v>625.37</v>
      </c>
      <c r="P192" s="183" t="n">
        <f aca="false">MROUND(N192+O192,10)</f>
        <v>3750</v>
      </c>
      <c r="Q192" s="12" t="n">
        <f aca="false">'Fleet Pricing'!H192</f>
        <v>2480</v>
      </c>
      <c r="R192" s="41" t="n">
        <v>9</v>
      </c>
      <c r="S192" s="46" t="n">
        <v>1.25</v>
      </c>
      <c r="T192" s="46" t="n">
        <v>0.75</v>
      </c>
      <c r="U192" s="46" t="n">
        <v>1</v>
      </c>
    </row>
    <row r="193" customFormat="false" ht="15" hidden="false" customHeight="true" outlineLevel="0" collapsed="false">
      <c r="A193" s="9" t="n">
        <v>180</v>
      </c>
      <c r="B193" s="47" t="s">
        <v>109</v>
      </c>
      <c r="C193" s="47" t="s">
        <v>2354</v>
      </c>
      <c r="D193" s="47" t="s">
        <v>655</v>
      </c>
      <c r="E193" s="47"/>
      <c r="F193" s="45" t="s">
        <v>397</v>
      </c>
      <c r="G193" s="9" t="n">
        <v>9</v>
      </c>
      <c r="H193" s="12" t="n">
        <f aca="false">'Engineering Assumptions'!$C$26*'Engineering Assumptions'!$B$5*U193</f>
        <v>1719</v>
      </c>
      <c r="I193" s="12" t="n">
        <f aca="false">'Engineering Assumptions'!$B$8</f>
        <v>650</v>
      </c>
      <c r="J193" s="12" t="n">
        <f aca="false">'Engineering Assumptions'!$D$26*S193*U193</f>
        <v>200</v>
      </c>
      <c r="K193" s="12" t="n">
        <f aca="false">'Engineering Assumptions'!$E$26*T193*U193</f>
        <v>150</v>
      </c>
      <c r="L193" s="13" t="n">
        <f aca="false">H193+I193+J193+K193</f>
        <v>2719</v>
      </c>
      <c r="M193" s="12" t="n">
        <f aca="false">L193*'Engineering Assumptions'!$B$10</f>
        <v>407.85</v>
      </c>
      <c r="N193" s="13" t="n">
        <f aca="false">L193+M193</f>
        <v>3126.85</v>
      </c>
      <c r="O193" s="12" t="n">
        <f aca="false">N193*'Engineering Assumptions'!$B$11</f>
        <v>625.37</v>
      </c>
      <c r="P193" s="183" t="n">
        <f aca="false">MROUND(N193+O193,10)</f>
        <v>3750</v>
      </c>
      <c r="Q193" s="12" t="n">
        <f aca="false">'Fleet Pricing'!H193</f>
        <v>2480</v>
      </c>
      <c r="R193" s="41" t="n">
        <v>9</v>
      </c>
      <c r="S193" s="46" t="n">
        <v>1.25</v>
      </c>
      <c r="T193" s="46" t="n">
        <v>0.75</v>
      </c>
      <c r="U193" s="46" t="n">
        <v>1</v>
      </c>
    </row>
    <row r="194" customFormat="false" ht="15" hidden="false" customHeight="true" outlineLevel="0" collapsed="false">
      <c r="A194" s="9" t="n">
        <v>181</v>
      </c>
      <c r="B194" s="47" t="s">
        <v>109</v>
      </c>
      <c r="C194" s="47" t="s">
        <v>2354</v>
      </c>
      <c r="D194" s="47" t="s">
        <v>657</v>
      </c>
      <c r="E194" s="47"/>
      <c r="F194" s="45" t="s">
        <v>397</v>
      </c>
      <c r="G194" s="9" t="n">
        <v>9</v>
      </c>
      <c r="H194" s="12" t="n">
        <f aca="false">'Engineering Assumptions'!$C$26*'Engineering Assumptions'!$B$5*U194</f>
        <v>1719</v>
      </c>
      <c r="I194" s="12" t="n">
        <f aca="false">'Engineering Assumptions'!$B$8</f>
        <v>650</v>
      </c>
      <c r="J194" s="12" t="n">
        <f aca="false">'Engineering Assumptions'!$D$26*S194*U194</f>
        <v>200</v>
      </c>
      <c r="K194" s="12" t="n">
        <f aca="false">'Engineering Assumptions'!$E$26*T194*U194</f>
        <v>150</v>
      </c>
      <c r="L194" s="13" t="n">
        <f aca="false">H194+I194+J194+K194</f>
        <v>2719</v>
      </c>
      <c r="M194" s="12" t="n">
        <f aca="false">L194*'Engineering Assumptions'!$B$10</f>
        <v>407.85</v>
      </c>
      <c r="N194" s="13" t="n">
        <f aca="false">L194+M194</f>
        <v>3126.85</v>
      </c>
      <c r="O194" s="12" t="n">
        <f aca="false">N194*'Engineering Assumptions'!$B$11</f>
        <v>625.37</v>
      </c>
      <c r="P194" s="183" t="n">
        <f aca="false">MROUND(N194+O194,10)</f>
        <v>3750</v>
      </c>
      <c r="Q194" s="12" t="n">
        <f aca="false">'Fleet Pricing'!H194</f>
        <v>2480</v>
      </c>
      <c r="R194" s="41" t="n">
        <v>9</v>
      </c>
      <c r="S194" s="46" t="n">
        <v>1.25</v>
      </c>
      <c r="T194" s="46" t="n">
        <v>0.75</v>
      </c>
      <c r="U194" s="46" t="n">
        <v>1</v>
      </c>
    </row>
    <row r="195" customFormat="false" ht="15" hidden="false" customHeight="true" outlineLevel="0" collapsed="false">
      <c r="A195" s="9" t="n">
        <v>182</v>
      </c>
      <c r="B195" s="47" t="s">
        <v>109</v>
      </c>
      <c r="C195" s="47" t="s">
        <v>2354</v>
      </c>
      <c r="D195" s="47" t="s">
        <v>658</v>
      </c>
      <c r="E195" s="47"/>
      <c r="F195" s="45" t="s">
        <v>397</v>
      </c>
      <c r="G195" s="9" t="n">
        <v>9</v>
      </c>
      <c r="H195" s="12" t="n">
        <f aca="false">'Engineering Assumptions'!$C$26*'Engineering Assumptions'!$B$5*U195</f>
        <v>1719</v>
      </c>
      <c r="I195" s="12" t="n">
        <f aca="false">'Engineering Assumptions'!$B$8</f>
        <v>650</v>
      </c>
      <c r="J195" s="12" t="n">
        <f aca="false">'Engineering Assumptions'!$D$26*S195*U195</f>
        <v>200</v>
      </c>
      <c r="K195" s="12" t="n">
        <f aca="false">'Engineering Assumptions'!$E$26*T195*U195</f>
        <v>150</v>
      </c>
      <c r="L195" s="13" t="n">
        <f aca="false">H195+I195+J195+K195</f>
        <v>2719</v>
      </c>
      <c r="M195" s="12" t="n">
        <f aca="false">L195*'Engineering Assumptions'!$B$10</f>
        <v>407.85</v>
      </c>
      <c r="N195" s="13" t="n">
        <f aca="false">L195+M195</f>
        <v>3126.85</v>
      </c>
      <c r="O195" s="12" t="n">
        <f aca="false">N195*'Engineering Assumptions'!$B$11</f>
        <v>625.37</v>
      </c>
      <c r="P195" s="183" t="n">
        <f aca="false">MROUND(N195+O195,10)</f>
        <v>3750</v>
      </c>
      <c r="Q195" s="12" t="n">
        <f aca="false">'Fleet Pricing'!H195</f>
        <v>2480</v>
      </c>
      <c r="R195" s="41" t="n">
        <v>9</v>
      </c>
      <c r="S195" s="46" t="n">
        <v>1.25</v>
      </c>
      <c r="T195" s="46" t="n">
        <v>0.75</v>
      </c>
      <c r="U195" s="46" t="n">
        <v>1</v>
      </c>
    </row>
    <row r="196" customFormat="false" ht="15" hidden="false" customHeight="true" outlineLevel="0" collapsed="false">
      <c r="A196" s="9" t="n">
        <v>183</v>
      </c>
      <c r="B196" s="47" t="s">
        <v>109</v>
      </c>
      <c r="C196" s="47" t="s">
        <v>2354</v>
      </c>
      <c r="D196" s="47" t="s">
        <v>663</v>
      </c>
      <c r="E196" s="47"/>
      <c r="F196" s="45" t="s">
        <v>397</v>
      </c>
      <c r="G196" s="9" t="n">
        <v>9</v>
      </c>
      <c r="H196" s="12" t="n">
        <f aca="false">'Engineering Assumptions'!$C$26*'Engineering Assumptions'!$B$5*U196</f>
        <v>1719</v>
      </c>
      <c r="I196" s="12" t="n">
        <f aca="false">'Engineering Assumptions'!$B$8</f>
        <v>650</v>
      </c>
      <c r="J196" s="12" t="n">
        <f aca="false">'Engineering Assumptions'!$D$26*S196*U196</f>
        <v>200</v>
      </c>
      <c r="K196" s="12" t="n">
        <f aca="false">'Engineering Assumptions'!$E$26*T196*U196</f>
        <v>150</v>
      </c>
      <c r="L196" s="13" t="n">
        <f aca="false">H196+I196+J196+K196</f>
        <v>2719</v>
      </c>
      <c r="M196" s="12" t="n">
        <f aca="false">L196*'Engineering Assumptions'!$B$10</f>
        <v>407.85</v>
      </c>
      <c r="N196" s="13" t="n">
        <f aca="false">L196+M196</f>
        <v>3126.85</v>
      </c>
      <c r="O196" s="12" t="n">
        <f aca="false">N196*'Engineering Assumptions'!$B$11</f>
        <v>625.37</v>
      </c>
      <c r="P196" s="183" t="n">
        <f aca="false">MROUND(N196+O196,10)</f>
        <v>3750</v>
      </c>
      <c r="Q196" s="12" t="n">
        <f aca="false">'Fleet Pricing'!H196</f>
        <v>2480</v>
      </c>
      <c r="R196" s="41" t="n">
        <v>9</v>
      </c>
      <c r="S196" s="46" t="n">
        <v>1.25</v>
      </c>
      <c r="T196" s="46" t="n">
        <v>0.75</v>
      </c>
      <c r="U196" s="46" t="n">
        <v>1</v>
      </c>
    </row>
    <row r="197" customFormat="false" ht="15" hidden="false" customHeight="true" outlineLevel="0" collapsed="false">
      <c r="A197" s="9" t="n">
        <v>184</v>
      </c>
      <c r="B197" s="47" t="s">
        <v>109</v>
      </c>
      <c r="C197" s="47" t="s">
        <v>2357</v>
      </c>
      <c r="D197" s="47" t="s">
        <v>645</v>
      </c>
      <c r="E197" s="47"/>
      <c r="F197" s="45" t="s">
        <v>397</v>
      </c>
      <c r="G197" s="9" t="n">
        <v>9</v>
      </c>
      <c r="H197" s="12" t="n">
        <f aca="false">'Engineering Assumptions'!$C$26*'Engineering Assumptions'!$B$5*U197</f>
        <v>1719</v>
      </c>
      <c r="I197" s="12" t="n">
        <f aca="false">'Engineering Assumptions'!$B$8</f>
        <v>650</v>
      </c>
      <c r="J197" s="12" t="n">
        <f aca="false">'Engineering Assumptions'!$D$26*S197*U197</f>
        <v>200</v>
      </c>
      <c r="K197" s="12" t="n">
        <f aca="false">'Engineering Assumptions'!$E$26*T197*U197</f>
        <v>150</v>
      </c>
      <c r="L197" s="13" t="n">
        <f aca="false">H197+I197+J197+K197</f>
        <v>2719</v>
      </c>
      <c r="M197" s="12" t="n">
        <f aca="false">L197*'Engineering Assumptions'!$B$10</f>
        <v>407.85</v>
      </c>
      <c r="N197" s="13" t="n">
        <f aca="false">L197+M197</f>
        <v>3126.85</v>
      </c>
      <c r="O197" s="12" t="n">
        <f aca="false">N197*'Engineering Assumptions'!$B$11</f>
        <v>625.37</v>
      </c>
      <c r="P197" s="183" t="n">
        <f aca="false">MROUND(N197+O197,10)</f>
        <v>3750</v>
      </c>
      <c r="Q197" s="12" t="n">
        <f aca="false">'Fleet Pricing'!H197</f>
        <v>2480</v>
      </c>
      <c r="R197" s="41" t="n">
        <v>9</v>
      </c>
      <c r="S197" s="46" t="n">
        <v>1.25</v>
      </c>
      <c r="T197" s="46" t="n">
        <v>0.75</v>
      </c>
      <c r="U197" s="46" t="n">
        <v>1</v>
      </c>
    </row>
    <row r="198" customFormat="false" ht="15" hidden="false" customHeight="true" outlineLevel="0" collapsed="false">
      <c r="A198" s="9" t="n">
        <v>185</v>
      </c>
      <c r="B198" s="47" t="s">
        <v>109</v>
      </c>
      <c r="C198" s="47" t="s">
        <v>2358</v>
      </c>
      <c r="D198" s="47" t="s">
        <v>660</v>
      </c>
      <c r="E198" s="47"/>
      <c r="F198" s="45" t="s">
        <v>397</v>
      </c>
      <c r="G198" s="9" t="n">
        <v>9</v>
      </c>
      <c r="H198" s="12" t="n">
        <f aca="false">'Engineering Assumptions'!$C$26*'Engineering Assumptions'!$B$5*U198</f>
        <v>1719</v>
      </c>
      <c r="I198" s="12" t="n">
        <f aca="false">'Engineering Assumptions'!$B$8</f>
        <v>650</v>
      </c>
      <c r="J198" s="12" t="n">
        <f aca="false">'Engineering Assumptions'!$D$26*S198*U198</f>
        <v>200</v>
      </c>
      <c r="K198" s="12" t="n">
        <f aca="false">'Engineering Assumptions'!$E$26*T198*U198</f>
        <v>150</v>
      </c>
      <c r="L198" s="13" t="n">
        <f aca="false">H198+I198+J198+K198</f>
        <v>2719</v>
      </c>
      <c r="M198" s="12" t="n">
        <f aca="false">L198*'Engineering Assumptions'!$B$10</f>
        <v>407.85</v>
      </c>
      <c r="N198" s="13" t="n">
        <f aca="false">L198+M198</f>
        <v>3126.85</v>
      </c>
      <c r="O198" s="12" t="n">
        <f aca="false">N198*'Engineering Assumptions'!$B$11</f>
        <v>625.37</v>
      </c>
      <c r="P198" s="183" t="n">
        <f aca="false">MROUND(N198+O198,10)</f>
        <v>3750</v>
      </c>
      <c r="Q198" s="12" t="n">
        <f aca="false">'Fleet Pricing'!H198</f>
        <v>2480</v>
      </c>
      <c r="R198" s="41" t="n">
        <v>9</v>
      </c>
      <c r="S198" s="46" t="n">
        <v>1.25</v>
      </c>
      <c r="T198" s="46" t="n">
        <v>0.75</v>
      </c>
      <c r="U198" s="46" t="n">
        <v>1</v>
      </c>
    </row>
    <row r="199" customFormat="false" ht="15" hidden="false" customHeight="true" outlineLevel="0" collapsed="false">
      <c r="A199" s="9" t="n">
        <v>186</v>
      </c>
      <c r="B199" s="47" t="s">
        <v>109</v>
      </c>
      <c r="C199" s="47" t="s">
        <v>2354</v>
      </c>
      <c r="D199" s="47" t="s">
        <v>662</v>
      </c>
      <c r="E199" s="47"/>
      <c r="F199" s="45" t="s">
        <v>318</v>
      </c>
      <c r="G199" s="9" t="n">
        <v>10</v>
      </c>
      <c r="H199" s="12" t="n">
        <f aca="false">'Engineering Assumptions'!$C$26*'Engineering Assumptions'!$B$5*U199</f>
        <v>1719</v>
      </c>
      <c r="I199" s="12" t="n">
        <f aca="false">'Engineering Assumptions'!$B$8</f>
        <v>650</v>
      </c>
      <c r="J199" s="12" t="n">
        <f aca="false">'Engineering Assumptions'!$D$26*S199*U199</f>
        <v>200</v>
      </c>
      <c r="K199" s="12" t="n">
        <f aca="false">'Engineering Assumptions'!$E$26*T199*U199</f>
        <v>150</v>
      </c>
      <c r="L199" s="13" t="n">
        <f aca="false">H199+I199+J199+K199</f>
        <v>2719</v>
      </c>
      <c r="M199" s="12" t="n">
        <f aca="false">L199*'Engineering Assumptions'!$B$10</f>
        <v>407.85</v>
      </c>
      <c r="N199" s="13" t="n">
        <f aca="false">L199+M199</f>
        <v>3126.85</v>
      </c>
      <c r="O199" s="12" t="n">
        <f aca="false">N199*'Engineering Assumptions'!$B$11</f>
        <v>625.37</v>
      </c>
      <c r="P199" s="183" t="n">
        <f aca="false">MROUND(N199+O199,10)</f>
        <v>3750</v>
      </c>
      <c r="Q199" s="12" t="n">
        <f aca="false">'Fleet Pricing'!H199</f>
        <v>2480</v>
      </c>
      <c r="R199" s="41" t="n">
        <v>10</v>
      </c>
      <c r="S199" s="46" t="n">
        <v>1.25</v>
      </c>
      <c r="T199" s="46" t="n">
        <v>0.75</v>
      </c>
      <c r="U199" s="46" t="n">
        <v>1</v>
      </c>
    </row>
    <row r="200" customFormat="false" ht="15" hidden="false" customHeight="true" outlineLevel="0" collapsed="false">
      <c r="A200" s="9" t="n">
        <v>187</v>
      </c>
      <c r="B200" s="47" t="s">
        <v>109</v>
      </c>
      <c r="C200" s="47" t="s">
        <v>2354</v>
      </c>
      <c r="D200" s="47" t="s">
        <v>646</v>
      </c>
      <c r="E200" s="47"/>
      <c r="F200" s="45" t="s">
        <v>318</v>
      </c>
      <c r="G200" s="9" t="n">
        <v>10</v>
      </c>
      <c r="H200" s="12" t="n">
        <f aca="false">'Engineering Assumptions'!$C$26*'Engineering Assumptions'!$B$5*U200</f>
        <v>1719</v>
      </c>
      <c r="I200" s="12" t="n">
        <f aca="false">'Engineering Assumptions'!$B$8</f>
        <v>650</v>
      </c>
      <c r="J200" s="12" t="n">
        <f aca="false">'Engineering Assumptions'!$D$26*S200*U200</f>
        <v>200</v>
      </c>
      <c r="K200" s="12" t="n">
        <f aca="false">'Engineering Assumptions'!$E$26*T200*U200</f>
        <v>150</v>
      </c>
      <c r="L200" s="13" t="n">
        <f aca="false">H200+I200+J200+K200</f>
        <v>2719</v>
      </c>
      <c r="M200" s="12" t="n">
        <f aca="false">L200*'Engineering Assumptions'!$B$10</f>
        <v>407.85</v>
      </c>
      <c r="N200" s="13" t="n">
        <f aca="false">L200+M200</f>
        <v>3126.85</v>
      </c>
      <c r="O200" s="12" t="n">
        <f aca="false">N200*'Engineering Assumptions'!$B$11</f>
        <v>625.37</v>
      </c>
      <c r="P200" s="183" t="n">
        <f aca="false">MROUND(N200+O200,10)</f>
        <v>3750</v>
      </c>
      <c r="Q200" s="12" t="n">
        <f aca="false">'Fleet Pricing'!H200</f>
        <v>2480</v>
      </c>
      <c r="R200" s="41" t="n">
        <v>10</v>
      </c>
      <c r="S200" s="46" t="n">
        <v>1.25</v>
      </c>
      <c r="T200" s="46" t="n">
        <v>0.75</v>
      </c>
      <c r="U200" s="46" t="n">
        <v>1</v>
      </c>
    </row>
    <row r="201" customFormat="false" ht="15" hidden="false" customHeight="true" outlineLevel="0" collapsed="false">
      <c r="A201" s="9" t="n">
        <v>188</v>
      </c>
      <c r="B201" s="47" t="s">
        <v>109</v>
      </c>
      <c r="C201" s="47" t="s">
        <v>2354</v>
      </c>
      <c r="D201" s="47" t="s">
        <v>649</v>
      </c>
      <c r="E201" s="47"/>
      <c r="F201" s="45" t="s">
        <v>318</v>
      </c>
      <c r="G201" s="9" t="n">
        <v>10</v>
      </c>
      <c r="H201" s="12" t="n">
        <f aca="false">'Engineering Assumptions'!$C$26*'Engineering Assumptions'!$B$5*U201</f>
        <v>1719</v>
      </c>
      <c r="I201" s="12" t="n">
        <f aca="false">'Engineering Assumptions'!$B$8</f>
        <v>650</v>
      </c>
      <c r="J201" s="12" t="n">
        <f aca="false">'Engineering Assumptions'!$D$26*S201*U201</f>
        <v>200</v>
      </c>
      <c r="K201" s="12" t="n">
        <f aca="false">'Engineering Assumptions'!$E$26*T201*U201</f>
        <v>150</v>
      </c>
      <c r="L201" s="13" t="n">
        <f aca="false">H201+I201+J201+K201</f>
        <v>2719</v>
      </c>
      <c r="M201" s="12" t="n">
        <f aca="false">L201*'Engineering Assumptions'!$B$10</f>
        <v>407.85</v>
      </c>
      <c r="N201" s="13" t="n">
        <f aca="false">L201+M201</f>
        <v>3126.85</v>
      </c>
      <c r="O201" s="12" t="n">
        <f aca="false">N201*'Engineering Assumptions'!$B$11</f>
        <v>625.37</v>
      </c>
      <c r="P201" s="183" t="n">
        <f aca="false">MROUND(N201+O201,10)</f>
        <v>3750</v>
      </c>
      <c r="Q201" s="12" t="n">
        <f aca="false">'Fleet Pricing'!H201</f>
        <v>2480</v>
      </c>
      <c r="R201" s="41" t="n">
        <v>10</v>
      </c>
      <c r="S201" s="46" t="n">
        <v>1.25</v>
      </c>
      <c r="T201" s="46" t="n">
        <v>0.75</v>
      </c>
      <c r="U201" s="46" t="n">
        <v>1</v>
      </c>
    </row>
    <row r="202" customFormat="false" ht="15" hidden="false" customHeight="true" outlineLevel="0" collapsed="false">
      <c r="A202" s="9" t="n">
        <v>189</v>
      </c>
      <c r="B202" s="47" t="s">
        <v>109</v>
      </c>
      <c r="C202" s="47" t="s">
        <v>2354</v>
      </c>
      <c r="D202" s="47" t="s">
        <v>656</v>
      </c>
      <c r="E202" s="47"/>
      <c r="F202" s="45" t="s">
        <v>318</v>
      </c>
      <c r="G202" s="9" t="n">
        <v>10</v>
      </c>
      <c r="H202" s="12" t="n">
        <f aca="false">'Engineering Assumptions'!$C$26*'Engineering Assumptions'!$B$5*U202</f>
        <v>1719</v>
      </c>
      <c r="I202" s="12" t="n">
        <f aca="false">'Engineering Assumptions'!$B$8</f>
        <v>650</v>
      </c>
      <c r="J202" s="12" t="n">
        <f aca="false">'Engineering Assumptions'!$D$26*S202*U202</f>
        <v>200</v>
      </c>
      <c r="K202" s="12" t="n">
        <f aca="false">'Engineering Assumptions'!$E$26*T202*U202</f>
        <v>150</v>
      </c>
      <c r="L202" s="13" t="n">
        <f aca="false">H202+I202+J202+K202</f>
        <v>2719</v>
      </c>
      <c r="M202" s="12" t="n">
        <f aca="false">L202*'Engineering Assumptions'!$B$10</f>
        <v>407.85</v>
      </c>
      <c r="N202" s="13" t="n">
        <f aca="false">L202+M202</f>
        <v>3126.85</v>
      </c>
      <c r="O202" s="12" t="n">
        <f aca="false">N202*'Engineering Assumptions'!$B$11</f>
        <v>625.37</v>
      </c>
      <c r="P202" s="183" t="n">
        <f aca="false">MROUND(N202+O202,10)</f>
        <v>3750</v>
      </c>
      <c r="Q202" s="12" t="n">
        <f aca="false">'Fleet Pricing'!H202</f>
        <v>2480</v>
      </c>
      <c r="R202" s="41" t="n">
        <v>10</v>
      </c>
      <c r="S202" s="46" t="n">
        <v>1.25</v>
      </c>
      <c r="T202" s="46" t="n">
        <v>0.75</v>
      </c>
      <c r="U202" s="46" t="n">
        <v>1</v>
      </c>
    </row>
    <row r="203" customFormat="false" ht="15" hidden="false" customHeight="true" outlineLevel="0" collapsed="false">
      <c r="A203" s="9" t="n">
        <v>190</v>
      </c>
      <c r="B203" s="47" t="s">
        <v>109</v>
      </c>
      <c r="C203" s="47" t="s">
        <v>2359</v>
      </c>
      <c r="D203" s="47" t="s">
        <v>666</v>
      </c>
      <c r="E203" s="47"/>
      <c r="F203" s="45" t="s">
        <v>318</v>
      </c>
      <c r="G203" s="9" t="n">
        <v>10</v>
      </c>
      <c r="H203" s="12" t="n">
        <f aca="false">'Engineering Assumptions'!$C$26*'Engineering Assumptions'!$B$5*U203</f>
        <v>1719</v>
      </c>
      <c r="I203" s="12" t="n">
        <f aca="false">'Engineering Assumptions'!$B$8</f>
        <v>650</v>
      </c>
      <c r="J203" s="12" t="n">
        <f aca="false">'Engineering Assumptions'!$D$26*S203*U203</f>
        <v>200</v>
      </c>
      <c r="K203" s="12" t="n">
        <f aca="false">'Engineering Assumptions'!$E$26*T203*U203</f>
        <v>150</v>
      </c>
      <c r="L203" s="13" t="n">
        <f aca="false">H203+I203+J203+K203</f>
        <v>2719</v>
      </c>
      <c r="M203" s="12" t="n">
        <f aca="false">L203*'Engineering Assumptions'!$B$10</f>
        <v>407.85</v>
      </c>
      <c r="N203" s="13" t="n">
        <f aca="false">L203+M203</f>
        <v>3126.85</v>
      </c>
      <c r="O203" s="12" t="n">
        <f aca="false">N203*'Engineering Assumptions'!$B$11</f>
        <v>625.37</v>
      </c>
      <c r="P203" s="183" t="n">
        <f aca="false">MROUND(N203+O203,10)</f>
        <v>3750</v>
      </c>
      <c r="Q203" s="12" t="n">
        <f aca="false">'Fleet Pricing'!H203</f>
        <v>2480</v>
      </c>
      <c r="R203" s="41" t="n">
        <v>10</v>
      </c>
      <c r="S203" s="46" t="n">
        <v>1.25</v>
      </c>
      <c r="T203" s="46" t="n">
        <v>0.75</v>
      </c>
      <c r="U203" s="46" t="n">
        <v>1</v>
      </c>
    </row>
    <row r="204" customFormat="false" ht="15" hidden="false" customHeight="true" outlineLevel="0" collapsed="false">
      <c r="A204" s="9" t="n">
        <v>191</v>
      </c>
      <c r="B204" s="47" t="s">
        <v>109</v>
      </c>
      <c r="C204" s="47" t="s">
        <v>2356</v>
      </c>
      <c r="D204" s="47" t="s">
        <v>651</v>
      </c>
      <c r="E204" s="47"/>
      <c r="F204" s="45" t="s">
        <v>374</v>
      </c>
      <c r="G204" s="9" t="n">
        <v>12</v>
      </c>
      <c r="H204" s="12" t="n">
        <f aca="false">'Engineering Assumptions'!$C$26*'Engineering Assumptions'!$B$5*U204</f>
        <v>1719</v>
      </c>
      <c r="I204" s="12" t="n">
        <f aca="false">'Engineering Assumptions'!$B$8</f>
        <v>650</v>
      </c>
      <c r="J204" s="12" t="n">
        <f aca="false">'Engineering Assumptions'!$D$26*S204*U204</f>
        <v>248</v>
      </c>
      <c r="K204" s="12" t="n">
        <f aca="false">'Engineering Assumptions'!$E$26*T204*U204</f>
        <v>270</v>
      </c>
      <c r="L204" s="13" t="n">
        <f aca="false">H204+I204+J204+K204</f>
        <v>2887</v>
      </c>
      <c r="M204" s="12" t="n">
        <f aca="false">L204*'Engineering Assumptions'!$B$10</f>
        <v>433.05</v>
      </c>
      <c r="N204" s="13" t="n">
        <f aca="false">L204+M204</f>
        <v>3320.05</v>
      </c>
      <c r="O204" s="12" t="n">
        <f aca="false">N204*'Engineering Assumptions'!$B$11</f>
        <v>664.01</v>
      </c>
      <c r="P204" s="183" t="n">
        <f aca="false">MROUND(N204+O204,10)</f>
        <v>3980</v>
      </c>
      <c r="Q204" s="12" t="n">
        <f aca="false">'Fleet Pricing'!H204</f>
        <v>2210</v>
      </c>
      <c r="R204" s="41" t="n">
        <v>12</v>
      </c>
      <c r="S204" s="46" t="n">
        <v>1.55</v>
      </c>
      <c r="T204" s="46" t="n">
        <v>1.35</v>
      </c>
      <c r="U204" s="46" t="n">
        <v>1</v>
      </c>
    </row>
    <row r="205" customFormat="false" ht="15" hidden="false" customHeight="true" outlineLevel="0" collapsed="false">
      <c r="A205" s="9" t="n">
        <v>192</v>
      </c>
      <c r="B205" s="47" t="s">
        <v>109</v>
      </c>
      <c r="C205" s="47" t="s">
        <v>2360</v>
      </c>
      <c r="D205" s="47" t="s">
        <v>669</v>
      </c>
      <c r="E205" s="47"/>
      <c r="F205" s="45" t="s">
        <v>374</v>
      </c>
      <c r="G205" s="9" t="n">
        <v>12</v>
      </c>
      <c r="H205" s="12" t="n">
        <f aca="false">'Engineering Assumptions'!$C$26*'Engineering Assumptions'!$B$5*U205</f>
        <v>1719</v>
      </c>
      <c r="I205" s="12" t="n">
        <f aca="false">'Engineering Assumptions'!$B$8</f>
        <v>650</v>
      </c>
      <c r="J205" s="12" t="n">
        <f aca="false">'Engineering Assumptions'!$D$26*S205*U205</f>
        <v>248</v>
      </c>
      <c r="K205" s="12" t="n">
        <f aca="false">'Engineering Assumptions'!$E$26*T205*U205</f>
        <v>270</v>
      </c>
      <c r="L205" s="13" t="n">
        <f aca="false">H205+I205+J205+K205</f>
        <v>2887</v>
      </c>
      <c r="M205" s="12" t="n">
        <f aca="false">L205*'Engineering Assumptions'!$B$10</f>
        <v>433.05</v>
      </c>
      <c r="N205" s="13" t="n">
        <f aca="false">L205+M205</f>
        <v>3320.05</v>
      </c>
      <c r="O205" s="12" t="n">
        <f aca="false">N205*'Engineering Assumptions'!$B$11</f>
        <v>664.01</v>
      </c>
      <c r="P205" s="183" t="n">
        <f aca="false">MROUND(N205+O205,10)</f>
        <v>3980</v>
      </c>
      <c r="Q205" s="12" t="n">
        <f aca="false">'Fleet Pricing'!H205</f>
        <v>2210</v>
      </c>
      <c r="R205" s="41" t="n">
        <v>12</v>
      </c>
      <c r="S205" s="46" t="n">
        <v>1.55</v>
      </c>
      <c r="T205" s="46" t="n">
        <v>1.35</v>
      </c>
      <c r="U205" s="46" t="n">
        <v>1</v>
      </c>
    </row>
    <row r="206" customFormat="false" ht="15" hidden="false" customHeight="true" outlineLevel="0" collapsed="false">
      <c r="A206" s="9" t="n">
        <v>193</v>
      </c>
      <c r="B206" s="47" t="s">
        <v>109</v>
      </c>
      <c r="C206" s="47" t="s">
        <v>2360</v>
      </c>
      <c r="D206" s="47" t="s">
        <v>652</v>
      </c>
      <c r="E206" s="47"/>
      <c r="F206" s="45" t="s">
        <v>374</v>
      </c>
      <c r="G206" s="9" t="n">
        <v>12</v>
      </c>
      <c r="H206" s="12" t="n">
        <f aca="false">'Engineering Assumptions'!$C$26*'Engineering Assumptions'!$B$5*U206</f>
        <v>1719</v>
      </c>
      <c r="I206" s="12" t="n">
        <f aca="false">'Engineering Assumptions'!$B$8</f>
        <v>650</v>
      </c>
      <c r="J206" s="12" t="n">
        <f aca="false">'Engineering Assumptions'!$D$26*S206*U206</f>
        <v>248</v>
      </c>
      <c r="K206" s="12" t="n">
        <f aca="false">'Engineering Assumptions'!$E$26*T206*U206</f>
        <v>270</v>
      </c>
      <c r="L206" s="13" t="n">
        <f aca="false">H206+I206+J206+K206</f>
        <v>2887</v>
      </c>
      <c r="M206" s="12" t="n">
        <f aca="false">L206*'Engineering Assumptions'!$B$10</f>
        <v>433.05</v>
      </c>
      <c r="N206" s="13" t="n">
        <f aca="false">L206+M206</f>
        <v>3320.05</v>
      </c>
      <c r="O206" s="12" t="n">
        <f aca="false">N206*'Engineering Assumptions'!$B$11</f>
        <v>664.01</v>
      </c>
      <c r="P206" s="183" t="n">
        <f aca="false">MROUND(N206+O206,10)</f>
        <v>3980</v>
      </c>
      <c r="Q206" s="12" t="n">
        <f aca="false">'Fleet Pricing'!H206</f>
        <v>2210</v>
      </c>
      <c r="R206" s="41" t="n">
        <v>12</v>
      </c>
      <c r="S206" s="46" t="n">
        <v>1.55</v>
      </c>
      <c r="T206" s="46" t="n">
        <v>1.35</v>
      </c>
      <c r="U206" s="46" t="n">
        <v>1</v>
      </c>
    </row>
    <row r="207" customFormat="false" ht="15" hidden="false" customHeight="true" outlineLevel="0" collapsed="false">
      <c r="A207" s="9" t="n">
        <v>194</v>
      </c>
      <c r="B207" s="47" t="s">
        <v>109</v>
      </c>
      <c r="C207" s="47" t="s">
        <v>2356</v>
      </c>
      <c r="D207" s="47" t="s">
        <v>653</v>
      </c>
      <c r="E207" s="47"/>
      <c r="F207" s="45" t="s">
        <v>374</v>
      </c>
      <c r="G207" s="9" t="n">
        <v>12</v>
      </c>
      <c r="H207" s="12" t="n">
        <f aca="false">'Engineering Assumptions'!$C$26*'Engineering Assumptions'!$B$5*U207</f>
        <v>1719</v>
      </c>
      <c r="I207" s="12" t="n">
        <f aca="false">'Engineering Assumptions'!$B$8</f>
        <v>650</v>
      </c>
      <c r="J207" s="12" t="n">
        <f aca="false">'Engineering Assumptions'!$D$26*S207*U207</f>
        <v>248</v>
      </c>
      <c r="K207" s="12" t="n">
        <f aca="false">'Engineering Assumptions'!$E$26*T207*U207</f>
        <v>270</v>
      </c>
      <c r="L207" s="13" t="n">
        <f aca="false">H207+I207+J207+K207</f>
        <v>2887</v>
      </c>
      <c r="M207" s="12" t="n">
        <f aca="false">L207*'Engineering Assumptions'!$B$10</f>
        <v>433.05</v>
      </c>
      <c r="N207" s="13" t="n">
        <f aca="false">L207+M207</f>
        <v>3320.05</v>
      </c>
      <c r="O207" s="12" t="n">
        <f aca="false">N207*'Engineering Assumptions'!$B$11</f>
        <v>664.01</v>
      </c>
      <c r="P207" s="183" t="n">
        <f aca="false">MROUND(N207+O207,10)</f>
        <v>3980</v>
      </c>
      <c r="Q207" s="12" t="n">
        <f aca="false">'Fleet Pricing'!H207</f>
        <v>2210</v>
      </c>
      <c r="R207" s="41" t="n">
        <v>12</v>
      </c>
      <c r="S207" s="46" t="n">
        <v>1.55</v>
      </c>
      <c r="T207" s="46" t="n">
        <v>1.35</v>
      </c>
      <c r="U207" s="46" t="n">
        <v>1</v>
      </c>
    </row>
    <row r="208" customFormat="false" ht="15" hidden="false" customHeight="true" outlineLevel="0" collapsed="false">
      <c r="A208" s="42" t="s">
        <v>673</v>
      </c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</row>
    <row r="209" customFormat="false" ht="15" hidden="false" customHeight="true" outlineLevel="0" collapsed="false">
      <c r="A209" s="9" t="n">
        <v>195</v>
      </c>
      <c r="B209" s="47" t="s">
        <v>111</v>
      </c>
      <c r="C209" s="47" t="s">
        <v>2361</v>
      </c>
      <c r="D209" s="47" t="s">
        <v>674</v>
      </c>
      <c r="E209" s="47"/>
      <c r="F209" s="45" t="s">
        <v>306</v>
      </c>
      <c r="G209" s="9" t="n">
        <v>6</v>
      </c>
      <c r="H209" s="12" t="n">
        <f aca="false">'Engineering Assumptions'!$C$27*'Engineering Assumptions'!$B$5*U209</f>
        <v>4584</v>
      </c>
      <c r="I209" s="12" t="n">
        <f aca="false">'Engineering Assumptions'!$B$8</f>
        <v>650</v>
      </c>
      <c r="J209" s="12" t="n">
        <f aca="false">'Engineering Assumptions'!$D$27*S209*U209</f>
        <v>525</v>
      </c>
      <c r="K209" s="12" t="n">
        <f aca="false">'Engineering Assumptions'!$E$27*T209*U209</f>
        <v>420</v>
      </c>
      <c r="L209" s="13" t="n">
        <f aca="false">H209+I209+J209+K209</f>
        <v>6179</v>
      </c>
      <c r="M209" s="12" t="n">
        <f aca="false">L209*'Engineering Assumptions'!$B$10</f>
        <v>926.85</v>
      </c>
      <c r="N209" s="13" t="n">
        <f aca="false">L209+M209</f>
        <v>7105.85</v>
      </c>
      <c r="O209" s="12" t="n">
        <f aca="false">N209*'Engineering Assumptions'!$B$11</f>
        <v>1421.17</v>
      </c>
      <c r="P209" s="183" t="n">
        <f aca="false">MROUND(N209+O209,10)</f>
        <v>8530</v>
      </c>
      <c r="Q209" s="12" t="n">
        <f aca="false">'Fleet Pricing'!H209</f>
        <v>8050</v>
      </c>
      <c r="R209" s="41" t="n">
        <v>6</v>
      </c>
      <c r="S209" s="46" t="n">
        <v>1.25</v>
      </c>
      <c r="T209" s="46" t="n">
        <v>0.75</v>
      </c>
      <c r="U209" s="46" t="n">
        <v>1</v>
      </c>
    </row>
    <row r="210" customFormat="false" ht="15" hidden="false" customHeight="true" outlineLevel="0" collapsed="false">
      <c r="A210" s="9" t="n">
        <v>196</v>
      </c>
      <c r="B210" s="47" t="s">
        <v>111</v>
      </c>
      <c r="C210" s="47" t="s">
        <v>2362</v>
      </c>
      <c r="D210" s="47" t="s">
        <v>677</v>
      </c>
      <c r="E210" s="47"/>
      <c r="F210" s="45" t="s">
        <v>324</v>
      </c>
      <c r="G210" s="9" t="n">
        <v>7</v>
      </c>
      <c r="H210" s="12" t="n">
        <f aca="false">'Engineering Assumptions'!$C$27*'Engineering Assumptions'!$B$5*U210</f>
        <v>4584</v>
      </c>
      <c r="I210" s="12" t="n">
        <f aca="false">'Engineering Assumptions'!$B$8</f>
        <v>650</v>
      </c>
      <c r="J210" s="12" t="n">
        <f aca="false">'Engineering Assumptions'!$D$27*S210*U210</f>
        <v>525</v>
      </c>
      <c r="K210" s="12" t="n">
        <f aca="false">'Engineering Assumptions'!$E$27*T210*U210</f>
        <v>420</v>
      </c>
      <c r="L210" s="13" t="n">
        <f aca="false">H210+I210+J210+K210</f>
        <v>6179</v>
      </c>
      <c r="M210" s="12" t="n">
        <f aca="false">L210*'Engineering Assumptions'!$B$10</f>
        <v>926.85</v>
      </c>
      <c r="N210" s="13" t="n">
        <f aca="false">L210+M210</f>
        <v>7105.85</v>
      </c>
      <c r="O210" s="12" t="n">
        <f aca="false">N210*'Engineering Assumptions'!$B$11</f>
        <v>1421.17</v>
      </c>
      <c r="P210" s="183" t="n">
        <f aca="false">MROUND(N210+O210,10)</f>
        <v>8530</v>
      </c>
      <c r="Q210" s="12" t="n">
        <f aca="false">'Fleet Pricing'!H210</f>
        <v>7410</v>
      </c>
      <c r="R210" s="41" t="n">
        <v>7</v>
      </c>
      <c r="S210" s="46" t="n">
        <v>1.25</v>
      </c>
      <c r="T210" s="46" t="n">
        <v>0.75</v>
      </c>
      <c r="U210" s="46" t="n">
        <v>1</v>
      </c>
    </row>
    <row r="211" customFormat="false" ht="15" hidden="false" customHeight="true" outlineLevel="0" collapsed="false">
      <c r="A211" s="9" t="n">
        <v>197</v>
      </c>
      <c r="B211" s="47" t="s">
        <v>111</v>
      </c>
      <c r="C211" s="47" t="s">
        <v>2363</v>
      </c>
      <c r="D211" s="47" t="s">
        <v>679</v>
      </c>
      <c r="E211" s="47"/>
      <c r="F211" s="45" t="s">
        <v>374</v>
      </c>
      <c r="G211" s="9" t="n">
        <v>12</v>
      </c>
      <c r="H211" s="12" t="n">
        <f aca="false">'Engineering Assumptions'!$C$27*'Engineering Assumptions'!$B$5*U211</f>
        <v>4584</v>
      </c>
      <c r="I211" s="12" t="n">
        <f aca="false">'Engineering Assumptions'!$B$8</f>
        <v>650</v>
      </c>
      <c r="J211" s="12" t="n">
        <f aca="false">'Engineering Assumptions'!$D$27*S211*U211</f>
        <v>651</v>
      </c>
      <c r="K211" s="12" t="n">
        <f aca="false">'Engineering Assumptions'!$E$27*T211*U211</f>
        <v>756</v>
      </c>
      <c r="L211" s="13" t="n">
        <f aca="false">H211+I211+J211+K211</f>
        <v>6641</v>
      </c>
      <c r="M211" s="12" t="n">
        <f aca="false">L211*'Engineering Assumptions'!$B$10</f>
        <v>996.15</v>
      </c>
      <c r="N211" s="13" t="n">
        <f aca="false">L211+M211</f>
        <v>7637.15</v>
      </c>
      <c r="O211" s="12" t="n">
        <f aca="false">N211*'Engineering Assumptions'!$B$11</f>
        <v>1527.43</v>
      </c>
      <c r="P211" s="183" t="n">
        <f aca="false">MROUND(N211+O211,10)</f>
        <v>9160</v>
      </c>
      <c r="Q211" s="12" t="n">
        <f aca="false">'Fleet Pricing'!H211</f>
        <v>6600</v>
      </c>
      <c r="R211" s="41" t="n">
        <v>12</v>
      </c>
      <c r="S211" s="46" t="n">
        <v>1.55</v>
      </c>
      <c r="T211" s="46" t="n">
        <v>1.35</v>
      </c>
      <c r="U211" s="46" t="n">
        <v>1</v>
      </c>
    </row>
    <row r="212" customFormat="false" ht="15" hidden="false" customHeight="true" outlineLevel="0" collapsed="false">
      <c r="A212" s="9" t="n">
        <v>198</v>
      </c>
      <c r="B212" s="47" t="s">
        <v>111</v>
      </c>
      <c r="C212" s="47" t="s">
        <v>2364</v>
      </c>
      <c r="D212" s="47" t="s">
        <v>681</v>
      </c>
      <c r="E212" s="47"/>
      <c r="F212" s="45" t="s">
        <v>374</v>
      </c>
      <c r="G212" s="9" t="n">
        <v>12</v>
      </c>
      <c r="H212" s="12" t="n">
        <f aca="false">'Engineering Assumptions'!$C$27*'Engineering Assumptions'!$B$5*U212</f>
        <v>4584</v>
      </c>
      <c r="I212" s="12" t="n">
        <f aca="false">'Engineering Assumptions'!$B$8</f>
        <v>650</v>
      </c>
      <c r="J212" s="12" t="n">
        <f aca="false">'Engineering Assumptions'!$D$27*S212*U212</f>
        <v>651</v>
      </c>
      <c r="K212" s="12" t="n">
        <f aca="false">'Engineering Assumptions'!$E$27*T212*U212</f>
        <v>756</v>
      </c>
      <c r="L212" s="13" t="n">
        <f aca="false">H212+I212+J212+K212</f>
        <v>6641</v>
      </c>
      <c r="M212" s="12" t="n">
        <f aca="false">L212*'Engineering Assumptions'!$B$10</f>
        <v>996.15</v>
      </c>
      <c r="N212" s="13" t="n">
        <f aca="false">L212+M212</f>
        <v>7637.15</v>
      </c>
      <c r="O212" s="12" t="n">
        <f aca="false">N212*'Engineering Assumptions'!$B$11</f>
        <v>1527.43</v>
      </c>
      <c r="P212" s="183" t="n">
        <f aca="false">MROUND(N212+O212,10)</f>
        <v>9160</v>
      </c>
      <c r="Q212" s="12" t="n">
        <f aca="false">'Fleet Pricing'!H212</f>
        <v>6600</v>
      </c>
      <c r="R212" s="41" t="n">
        <v>12</v>
      </c>
      <c r="S212" s="46" t="n">
        <v>1.55</v>
      </c>
      <c r="T212" s="46" t="n">
        <v>1.35</v>
      </c>
      <c r="U212" s="46" t="n">
        <v>1</v>
      </c>
    </row>
    <row r="213" customFormat="false" ht="15" hidden="false" customHeight="true" outlineLevel="0" collapsed="false">
      <c r="A213" s="9" t="n">
        <v>199</v>
      </c>
      <c r="B213" s="47" t="s">
        <v>111</v>
      </c>
      <c r="C213" s="47" t="s">
        <v>2365</v>
      </c>
      <c r="D213" s="47" t="s">
        <v>683</v>
      </c>
      <c r="E213" s="47"/>
      <c r="F213" s="45" t="s">
        <v>380</v>
      </c>
      <c r="G213" s="9" t="n">
        <v>13</v>
      </c>
      <c r="H213" s="12" t="n">
        <f aca="false">'Engineering Assumptions'!$C$27*'Engineering Assumptions'!$B$5*U213</f>
        <v>4584</v>
      </c>
      <c r="I213" s="12" t="n">
        <f aca="false">'Engineering Assumptions'!$B$8</f>
        <v>650</v>
      </c>
      <c r="J213" s="12" t="n">
        <f aca="false">'Engineering Assumptions'!$D$27*S213*U213</f>
        <v>651</v>
      </c>
      <c r="K213" s="12" t="n">
        <f aca="false">'Engineering Assumptions'!$E$27*T213*U213</f>
        <v>756</v>
      </c>
      <c r="L213" s="13" t="n">
        <f aca="false">H213+I213+J213+K213</f>
        <v>6641</v>
      </c>
      <c r="M213" s="12" t="n">
        <f aca="false">L213*'Engineering Assumptions'!$B$10</f>
        <v>996.15</v>
      </c>
      <c r="N213" s="13" t="n">
        <f aca="false">L213+M213</f>
        <v>7637.15</v>
      </c>
      <c r="O213" s="12" t="n">
        <f aca="false">N213*'Engineering Assumptions'!$B$11</f>
        <v>1527.43</v>
      </c>
      <c r="P213" s="183" t="n">
        <f aca="false">MROUND(N213+O213,10)</f>
        <v>9160</v>
      </c>
      <c r="Q213" s="12" t="n">
        <f aca="false">'Fleet Pricing'!H213</f>
        <v>6600</v>
      </c>
      <c r="R213" s="41" t="n">
        <v>13</v>
      </c>
      <c r="S213" s="46" t="n">
        <v>1.55</v>
      </c>
      <c r="T213" s="46" t="n">
        <v>1.35</v>
      </c>
      <c r="U213" s="46" t="n">
        <v>1</v>
      </c>
    </row>
    <row r="214" customFormat="false" ht="15" hidden="false" customHeight="true" outlineLevel="0" collapsed="false">
      <c r="A214" s="9" t="n">
        <v>200</v>
      </c>
      <c r="B214" s="47" t="s">
        <v>111</v>
      </c>
      <c r="C214" s="47" t="s">
        <v>2366</v>
      </c>
      <c r="D214" s="47" t="s">
        <v>686</v>
      </c>
      <c r="E214" s="47"/>
      <c r="F214" s="45" t="s">
        <v>310</v>
      </c>
      <c r="G214" s="9" t="n">
        <v>14</v>
      </c>
      <c r="H214" s="12" t="n">
        <f aca="false">'Engineering Assumptions'!$C$27*'Engineering Assumptions'!$B$5*U214</f>
        <v>4584</v>
      </c>
      <c r="I214" s="12" t="n">
        <f aca="false">'Engineering Assumptions'!$B$8</f>
        <v>650</v>
      </c>
      <c r="J214" s="12" t="n">
        <f aca="false">'Engineering Assumptions'!$D$27*S214*U214</f>
        <v>651</v>
      </c>
      <c r="K214" s="12" t="n">
        <f aca="false">'Engineering Assumptions'!$E$27*T214*U214</f>
        <v>756</v>
      </c>
      <c r="L214" s="13" t="n">
        <f aca="false">H214+I214+J214+K214</f>
        <v>6641</v>
      </c>
      <c r="M214" s="12" t="n">
        <f aca="false">L214*'Engineering Assumptions'!$B$10</f>
        <v>996.15</v>
      </c>
      <c r="N214" s="13" t="n">
        <f aca="false">L214+M214</f>
        <v>7637.15</v>
      </c>
      <c r="O214" s="12" t="n">
        <f aca="false">N214*'Engineering Assumptions'!$B$11</f>
        <v>1527.43</v>
      </c>
      <c r="P214" s="183" t="n">
        <f aca="false">MROUND(N214+O214,10)</f>
        <v>9160</v>
      </c>
      <c r="Q214" s="12" t="n">
        <f aca="false">'Fleet Pricing'!H214</f>
        <v>6600</v>
      </c>
      <c r="R214" s="41" t="n">
        <v>14</v>
      </c>
      <c r="S214" s="46" t="n">
        <v>1.55</v>
      </c>
      <c r="T214" s="46" t="n">
        <v>1.35</v>
      </c>
      <c r="U214" s="46" t="n">
        <v>1</v>
      </c>
    </row>
    <row r="215" customFormat="false" ht="15" hidden="false" customHeight="true" outlineLevel="0" collapsed="false">
      <c r="A215" s="9" t="n">
        <v>201</v>
      </c>
      <c r="B215" s="47" t="s">
        <v>111</v>
      </c>
      <c r="C215" s="47" t="s">
        <v>2367</v>
      </c>
      <c r="D215" s="47" t="s">
        <v>688</v>
      </c>
      <c r="E215" s="47"/>
      <c r="F215" s="45" t="s">
        <v>310</v>
      </c>
      <c r="G215" s="9" t="n">
        <v>14</v>
      </c>
      <c r="H215" s="12" t="n">
        <f aca="false">'Engineering Assumptions'!$C$27*'Engineering Assumptions'!$B$5*U215</f>
        <v>4584</v>
      </c>
      <c r="I215" s="12" t="n">
        <f aca="false">'Engineering Assumptions'!$B$8</f>
        <v>650</v>
      </c>
      <c r="J215" s="12" t="n">
        <f aca="false">'Engineering Assumptions'!$D$27*S215*U215</f>
        <v>651</v>
      </c>
      <c r="K215" s="12" t="n">
        <f aca="false">'Engineering Assumptions'!$E$27*T215*U215</f>
        <v>756</v>
      </c>
      <c r="L215" s="13" t="n">
        <f aca="false">H215+I215+J215+K215</f>
        <v>6641</v>
      </c>
      <c r="M215" s="12" t="n">
        <f aca="false">L215*'Engineering Assumptions'!$B$10</f>
        <v>996.15</v>
      </c>
      <c r="N215" s="13" t="n">
        <f aca="false">L215+M215</f>
        <v>7637.15</v>
      </c>
      <c r="O215" s="12" t="n">
        <f aca="false">N215*'Engineering Assumptions'!$B$11</f>
        <v>1527.43</v>
      </c>
      <c r="P215" s="183" t="n">
        <f aca="false">MROUND(N215+O215,10)</f>
        <v>9160</v>
      </c>
      <c r="Q215" s="12" t="n">
        <f aca="false">'Fleet Pricing'!H215</f>
        <v>6600</v>
      </c>
      <c r="R215" s="41" t="n">
        <v>14</v>
      </c>
      <c r="S215" s="46" t="n">
        <v>1.55</v>
      </c>
      <c r="T215" s="46" t="n">
        <v>1.35</v>
      </c>
      <c r="U215" s="46" t="n">
        <v>1</v>
      </c>
    </row>
    <row r="216" customFormat="false" ht="15" hidden="false" customHeight="true" outlineLevel="0" collapsed="false">
      <c r="A216" s="9" t="n">
        <v>202</v>
      </c>
      <c r="B216" s="47" t="s">
        <v>111</v>
      </c>
      <c r="C216" s="47" t="s">
        <v>2368</v>
      </c>
      <c r="D216" s="47" t="s">
        <v>690</v>
      </c>
      <c r="E216" s="47"/>
      <c r="F216" s="45" t="s">
        <v>310</v>
      </c>
      <c r="G216" s="9" t="n">
        <v>14</v>
      </c>
      <c r="H216" s="12" t="n">
        <f aca="false">'Engineering Assumptions'!$C$27*'Engineering Assumptions'!$B$5*U216</f>
        <v>4584</v>
      </c>
      <c r="I216" s="12" t="n">
        <f aca="false">'Engineering Assumptions'!$B$8</f>
        <v>650</v>
      </c>
      <c r="J216" s="12" t="n">
        <f aca="false">'Engineering Assumptions'!$D$27*S216*U216</f>
        <v>651</v>
      </c>
      <c r="K216" s="12" t="n">
        <f aca="false">'Engineering Assumptions'!$E$27*T216*U216</f>
        <v>756</v>
      </c>
      <c r="L216" s="13" t="n">
        <f aca="false">H216+I216+J216+K216</f>
        <v>6641</v>
      </c>
      <c r="M216" s="12" t="n">
        <f aca="false">L216*'Engineering Assumptions'!$B$10</f>
        <v>996.15</v>
      </c>
      <c r="N216" s="13" t="n">
        <f aca="false">L216+M216</f>
        <v>7637.15</v>
      </c>
      <c r="O216" s="12" t="n">
        <f aca="false">N216*'Engineering Assumptions'!$B$11</f>
        <v>1527.43</v>
      </c>
      <c r="P216" s="183" t="n">
        <f aca="false">MROUND(N216+O216,10)</f>
        <v>9160</v>
      </c>
      <c r="Q216" s="12" t="n">
        <f aca="false">'Fleet Pricing'!H216</f>
        <v>6600</v>
      </c>
      <c r="R216" s="41" t="n">
        <v>14</v>
      </c>
      <c r="S216" s="46" t="n">
        <v>1.55</v>
      </c>
      <c r="T216" s="46" t="n">
        <v>1.35</v>
      </c>
      <c r="U216" s="46" t="n">
        <v>1</v>
      </c>
    </row>
    <row r="217" customFormat="false" ht="15" hidden="false" customHeight="true" outlineLevel="0" collapsed="false">
      <c r="A217" s="9" t="n">
        <v>203</v>
      </c>
      <c r="B217" s="47" t="s">
        <v>111</v>
      </c>
      <c r="C217" s="47" t="s">
        <v>2369</v>
      </c>
      <c r="D217" s="47" t="s">
        <v>692</v>
      </c>
      <c r="E217" s="47"/>
      <c r="F217" s="45" t="s">
        <v>348</v>
      </c>
      <c r="G217" s="9" t="n">
        <v>20</v>
      </c>
      <c r="H217" s="12" t="n">
        <f aca="false">'Engineering Assumptions'!$C$27*'Engineering Assumptions'!$B$5*U217</f>
        <v>4584</v>
      </c>
      <c r="I217" s="12" t="n">
        <f aca="false">'Engineering Assumptions'!$B$8</f>
        <v>650</v>
      </c>
      <c r="J217" s="12" t="n">
        <f aca="false">'Engineering Assumptions'!$D$27*S217*U217</f>
        <v>819</v>
      </c>
      <c r="K217" s="12" t="n">
        <f aca="false">'Engineering Assumptions'!$E$27*T217*U217</f>
        <v>1176</v>
      </c>
      <c r="L217" s="13" t="n">
        <f aca="false">H217+I217+J217+K217</f>
        <v>7229</v>
      </c>
      <c r="M217" s="12" t="n">
        <f aca="false">L217*'Engineering Assumptions'!$B$10</f>
        <v>1084.35</v>
      </c>
      <c r="N217" s="13" t="n">
        <f aca="false">L217+M217</f>
        <v>8313.35</v>
      </c>
      <c r="O217" s="12" t="n">
        <f aca="false">N217*'Engineering Assumptions'!$B$11</f>
        <v>1662.67</v>
      </c>
      <c r="P217" s="183" t="n">
        <f aca="false">MROUND(N217+O217,10)</f>
        <v>9980</v>
      </c>
      <c r="Q217" s="12" t="n">
        <f aca="false">'Fleet Pricing'!H217</f>
        <v>5800</v>
      </c>
      <c r="R217" s="41" t="n">
        <v>20</v>
      </c>
      <c r="S217" s="46" t="n">
        <v>1.95</v>
      </c>
      <c r="T217" s="46" t="n">
        <v>2.1</v>
      </c>
      <c r="U217" s="46" t="n">
        <v>1</v>
      </c>
    </row>
    <row r="218" customFormat="false" ht="15" hidden="false" customHeight="true" outlineLevel="0" collapsed="false">
      <c r="A218" s="9" t="n">
        <v>204</v>
      </c>
      <c r="B218" s="47" t="s">
        <v>111</v>
      </c>
      <c r="C218" s="47" t="s">
        <v>2313</v>
      </c>
      <c r="D218" s="47" t="s">
        <v>694</v>
      </c>
      <c r="E218" s="47"/>
      <c r="F218" s="45" t="s">
        <v>472</v>
      </c>
      <c r="G218" s="9" t="n">
        <v>30</v>
      </c>
      <c r="H218" s="12" t="n">
        <f aca="false">'Engineering Assumptions'!$C$27*'Engineering Assumptions'!$B$5*U218</f>
        <v>4584</v>
      </c>
      <c r="I218" s="12" t="n">
        <f aca="false">'Engineering Assumptions'!$B$8</f>
        <v>650</v>
      </c>
      <c r="J218" s="12" t="n">
        <f aca="false">'Engineering Assumptions'!$D$27*S218*U218</f>
        <v>1008</v>
      </c>
      <c r="K218" s="12" t="n">
        <f aca="false">'Engineering Assumptions'!$E$27*T218*U218</f>
        <v>1680</v>
      </c>
      <c r="L218" s="13" t="n">
        <f aca="false">H218+I218+J218+K218</f>
        <v>7922</v>
      </c>
      <c r="M218" s="12" t="n">
        <f aca="false">L218*'Engineering Assumptions'!$B$10</f>
        <v>1188.3</v>
      </c>
      <c r="N218" s="13" t="n">
        <f aca="false">L218+M218</f>
        <v>9110.3</v>
      </c>
      <c r="O218" s="12" t="n">
        <f aca="false">N218*'Engineering Assumptions'!$B$11</f>
        <v>1822.06</v>
      </c>
      <c r="P218" s="183" t="n">
        <f aca="false">MROUND(N218+O218,10)</f>
        <v>10930</v>
      </c>
      <c r="Q218" s="12" t="n">
        <f aca="false">'Fleet Pricing'!H218</f>
        <v>4670</v>
      </c>
      <c r="R218" s="41" t="n">
        <v>30</v>
      </c>
      <c r="S218" s="46" t="n">
        <v>2.4</v>
      </c>
      <c r="T218" s="46" t="n">
        <v>3</v>
      </c>
      <c r="U218" s="46" t="n">
        <v>1</v>
      </c>
    </row>
    <row r="219" customFormat="false" ht="15" hidden="false" customHeight="true" outlineLevel="0" collapsed="false">
      <c r="A219" s="9" t="n">
        <v>205</v>
      </c>
      <c r="B219" s="47" t="s">
        <v>111</v>
      </c>
      <c r="C219" s="47" t="s">
        <v>2313</v>
      </c>
      <c r="D219" s="47" t="s">
        <v>695</v>
      </c>
      <c r="E219" s="47"/>
      <c r="F219" s="45" t="s">
        <v>472</v>
      </c>
      <c r="G219" s="9" t="n">
        <v>30</v>
      </c>
      <c r="H219" s="12" t="n">
        <f aca="false">'Engineering Assumptions'!$C$27*'Engineering Assumptions'!$B$5*U219</f>
        <v>4584</v>
      </c>
      <c r="I219" s="12" t="n">
        <f aca="false">'Engineering Assumptions'!$B$8</f>
        <v>650</v>
      </c>
      <c r="J219" s="12" t="n">
        <f aca="false">'Engineering Assumptions'!$D$27*S219*U219</f>
        <v>1008</v>
      </c>
      <c r="K219" s="12" t="n">
        <f aca="false">'Engineering Assumptions'!$E$27*T219*U219</f>
        <v>1680</v>
      </c>
      <c r="L219" s="13" t="n">
        <f aca="false">H219+I219+J219+K219</f>
        <v>7922</v>
      </c>
      <c r="M219" s="12" t="n">
        <f aca="false">L219*'Engineering Assumptions'!$B$10</f>
        <v>1188.3</v>
      </c>
      <c r="N219" s="13" t="n">
        <f aca="false">L219+M219</f>
        <v>9110.3</v>
      </c>
      <c r="O219" s="12" t="n">
        <f aca="false">N219*'Engineering Assumptions'!$B$11</f>
        <v>1822.06</v>
      </c>
      <c r="P219" s="183" t="n">
        <f aca="false">MROUND(N219+O219,10)</f>
        <v>10930</v>
      </c>
      <c r="Q219" s="12" t="n">
        <f aca="false">'Fleet Pricing'!H219</f>
        <v>4670</v>
      </c>
      <c r="R219" s="41" t="n">
        <v>30</v>
      </c>
      <c r="S219" s="46" t="n">
        <v>2.4</v>
      </c>
      <c r="T219" s="46" t="n">
        <v>3</v>
      </c>
      <c r="U219" s="46" t="n">
        <v>1</v>
      </c>
    </row>
    <row r="220" customFormat="false" ht="15" hidden="false" customHeight="true" outlineLevel="0" collapsed="false">
      <c r="A220" s="42" t="s">
        <v>696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</row>
    <row r="221" customFormat="false" ht="15" hidden="false" customHeight="true" outlineLevel="0" collapsed="false">
      <c r="A221" s="9" t="n">
        <v>206</v>
      </c>
      <c r="B221" s="47" t="s">
        <v>113</v>
      </c>
      <c r="C221" s="47" t="s">
        <v>2370</v>
      </c>
      <c r="D221" s="47" t="s">
        <v>698</v>
      </c>
      <c r="E221" s="47" t="s">
        <v>700</v>
      </c>
      <c r="F221" s="45" t="s">
        <v>324</v>
      </c>
      <c r="G221" s="9" t="n">
        <v>7</v>
      </c>
      <c r="H221" s="12" t="n">
        <f aca="false">'Engineering Assumptions'!$C$28*'Engineering Assumptions'!$B$5*U221</f>
        <v>2483</v>
      </c>
      <c r="I221" s="12" t="n">
        <f aca="false">'Engineering Assumptions'!$B$8</f>
        <v>650</v>
      </c>
      <c r="J221" s="12" t="n">
        <f aca="false">'Engineering Assumptions'!$D$28*S221*U221</f>
        <v>212.5</v>
      </c>
      <c r="K221" s="12" t="n">
        <f aca="false">'Engineering Assumptions'!$E$28*T221*U221</f>
        <v>157.5</v>
      </c>
      <c r="L221" s="13" t="n">
        <f aca="false">H221+I221+J221+K221</f>
        <v>3503</v>
      </c>
      <c r="M221" s="12" t="n">
        <f aca="false">L221*'Engineering Assumptions'!$B$10</f>
        <v>525.45</v>
      </c>
      <c r="N221" s="13" t="n">
        <f aca="false">L221+M221</f>
        <v>4028.45</v>
      </c>
      <c r="O221" s="12" t="n">
        <f aca="false">N221*'Engineering Assumptions'!$B$11</f>
        <v>805.69</v>
      </c>
      <c r="P221" s="183" t="n">
        <f aca="false">MROUND(N221+O221,10)</f>
        <v>4830</v>
      </c>
      <c r="Q221" s="12" t="n">
        <f aca="false">'Fleet Pricing'!H221</f>
        <v>3220</v>
      </c>
      <c r="R221" s="41" t="n">
        <v>7</v>
      </c>
      <c r="S221" s="46" t="n">
        <v>1.25</v>
      </c>
      <c r="T221" s="46" t="n">
        <v>0.75</v>
      </c>
      <c r="U221" s="46" t="n">
        <v>1</v>
      </c>
    </row>
    <row r="222" customFormat="false" ht="15" hidden="false" customHeight="true" outlineLevel="0" collapsed="false">
      <c r="A222" s="9" t="n">
        <v>207</v>
      </c>
      <c r="B222" s="47" t="s">
        <v>113</v>
      </c>
      <c r="C222" s="47" t="s">
        <v>2371</v>
      </c>
      <c r="D222" s="47" t="s">
        <v>701</v>
      </c>
      <c r="E222" s="47" t="s">
        <v>703</v>
      </c>
      <c r="F222" s="45" t="s">
        <v>380</v>
      </c>
      <c r="G222" s="9" t="n">
        <v>13</v>
      </c>
      <c r="H222" s="12" t="n">
        <f aca="false">'Engineering Assumptions'!$C$28*'Engineering Assumptions'!$B$5*U222</f>
        <v>2483</v>
      </c>
      <c r="I222" s="12" t="n">
        <f aca="false">'Engineering Assumptions'!$B$8</f>
        <v>650</v>
      </c>
      <c r="J222" s="12" t="n">
        <f aca="false">'Engineering Assumptions'!$D$28*S222*U222</f>
        <v>263.5</v>
      </c>
      <c r="K222" s="12" t="n">
        <f aca="false">'Engineering Assumptions'!$E$28*T222*U222</f>
        <v>283.5</v>
      </c>
      <c r="L222" s="13" t="n">
        <f aca="false">H222+I222+J222+K222</f>
        <v>3680</v>
      </c>
      <c r="M222" s="12" t="n">
        <f aca="false">L222*'Engineering Assumptions'!$B$10</f>
        <v>552</v>
      </c>
      <c r="N222" s="13" t="n">
        <f aca="false">L222+M222</f>
        <v>4232</v>
      </c>
      <c r="O222" s="12" t="n">
        <f aca="false">N222*'Engineering Assumptions'!$B$11</f>
        <v>846.4</v>
      </c>
      <c r="P222" s="183" t="n">
        <f aca="false">MROUND(N222+O222,10)</f>
        <v>5080</v>
      </c>
      <c r="Q222" s="12" t="n">
        <f aca="false">'Fleet Pricing'!H222</f>
        <v>2870</v>
      </c>
      <c r="R222" s="41" t="n">
        <v>13</v>
      </c>
      <c r="S222" s="46" t="n">
        <v>1.55</v>
      </c>
      <c r="T222" s="46" t="n">
        <v>1.35</v>
      </c>
      <c r="U222" s="46" t="n">
        <v>1</v>
      </c>
    </row>
    <row r="223" customFormat="false" ht="15" hidden="false" customHeight="true" outlineLevel="0" collapsed="false">
      <c r="A223" s="9" t="n">
        <v>208</v>
      </c>
      <c r="B223" s="47" t="s">
        <v>113</v>
      </c>
      <c r="C223" s="47" t="s">
        <v>2372</v>
      </c>
      <c r="D223" s="47" t="s">
        <v>705</v>
      </c>
      <c r="E223" s="47" t="s">
        <v>707</v>
      </c>
      <c r="F223" s="45" t="s">
        <v>310</v>
      </c>
      <c r="G223" s="9" t="n">
        <v>14</v>
      </c>
      <c r="H223" s="12" t="n">
        <f aca="false">'Engineering Assumptions'!$C$28*'Engineering Assumptions'!$B$5*U223</f>
        <v>2483</v>
      </c>
      <c r="I223" s="12" t="n">
        <f aca="false">'Engineering Assumptions'!$B$8</f>
        <v>650</v>
      </c>
      <c r="J223" s="12" t="n">
        <f aca="false">'Engineering Assumptions'!$D$28*S223*U223</f>
        <v>263.5</v>
      </c>
      <c r="K223" s="12" t="n">
        <f aca="false">'Engineering Assumptions'!$E$28*T223*U223</f>
        <v>283.5</v>
      </c>
      <c r="L223" s="13" t="n">
        <f aca="false">H223+I223+J223+K223</f>
        <v>3680</v>
      </c>
      <c r="M223" s="12" t="n">
        <f aca="false">L223*'Engineering Assumptions'!$B$10</f>
        <v>552</v>
      </c>
      <c r="N223" s="13" t="n">
        <f aca="false">L223+M223</f>
        <v>4232</v>
      </c>
      <c r="O223" s="12" t="n">
        <f aca="false">N223*'Engineering Assumptions'!$B$11</f>
        <v>846.4</v>
      </c>
      <c r="P223" s="183" t="n">
        <f aca="false">MROUND(N223+O223,10)</f>
        <v>5080</v>
      </c>
      <c r="Q223" s="12" t="n">
        <f aca="false">'Fleet Pricing'!H223</f>
        <v>2870</v>
      </c>
      <c r="R223" s="41" t="n">
        <v>14</v>
      </c>
      <c r="S223" s="46" t="n">
        <v>1.55</v>
      </c>
      <c r="T223" s="46" t="n">
        <v>1.35</v>
      </c>
      <c r="U223" s="46" t="n">
        <v>1</v>
      </c>
    </row>
    <row r="224" customFormat="false" ht="23.25" hidden="false" customHeight="true" outlineLevel="0" collapsed="false">
      <c r="A224" s="9" t="n">
        <v>209</v>
      </c>
      <c r="B224" s="47" t="s">
        <v>113</v>
      </c>
      <c r="C224" s="47" t="s">
        <v>2373</v>
      </c>
      <c r="D224" s="47" t="s">
        <v>708</v>
      </c>
      <c r="E224" s="47" t="s">
        <v>711</v>
      </c>
      <c r="F224" s="45" t="s">
        <v>710</v>
      </c>
      <c r="G224" s="9" t="n">
        <v>34</v>
      </c>
      <c r="H224" s="12" t="n">
        <f aca="false">'Engineering Assumptions'!$C$28*'Engineering Assumptions'!$B$5*U224</f>
        <v>2483</v>
      </c>
      <c r="I224" s="12" t="n">
        <f aca="false">'Engineering Assumptions'!$B$8</f>
        <v>650</v>
      </c>
      <c r="J224" s="12" t="n">
        <f aca="false">'Engineering Assumptions'!$D$28*S224*U224</f>
        <v>408</v>
      </c>
      <c r="K224" s="12" t="n">
        <f aca="false">'Engineering Assumptions'!$E$28*T224*U224</f>
        <v>630</v>
      </c>
      <c r="L224" s="13" t="n">
        <f aca="false">H224+I224+J224+K224</f>
        <v>4171</v>
      </c>
      <c r="M224" s="12" t="n">
        <f aca="false">L224*'Engineering Assumptions'!$B$10</f>
        <v>625.65</v>
      </c>
      <c r="N224" s="13" t="n">
        <f aca="false">L224+M224</f>
        <v>4796.65</v>
      </c>
      <c r="O224" s="12" t="n">
        <f aca="false">N224*'Engineering Assumptions'!$B$11</f>
        <v>959.33</v>
      </c>
      <c r="P224" s="183" t="n">
        <f aca="false">MROUND(N224+O224,10)</f>
        <v>5760</v>
      </c>
      <c r="Q224" s="12" t="n">
        <f aca="false">'Fleet Pricing'!H224</f>
        <v>2030</v>
      </c>
      <c r="R224" s="41" t="n">
        <v>34</v>
      </c>
      <c r="S224" s="46" t="n">
        <v>2.4</v>
      </c>
      <c r="T224" s="46" t="n">
        <v>3</v>
      </c>
      <c r="U224" s="46" t="n">
        <v>1</v>
      </c>
    </row>
    <row r="225" customFormat="false" ht="15" hidden="false" customHeight="true" outlineLevel="0" collapsed="false">
      <c r="A225" s="42" t="s">
        <v>712</v>
      </c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 customFormat="false" ht="15" hidden="false" customHeight="true" outlineLevel="0" collapsed="false">
      <c r="A226" s="9" t="n">
        <v>210</v>
      </c>
      <c r="B226" s="47" t="s">
        <v>115</v>
      </c>
      <c r="C226" s="47" t="s">
        <v>2374</v>
      </c>
      <c r="D226" s="47" t="s">
        <v>714</v>
      </c>
      <c r="E226" s="47" t="s">
        <v>717</v>
      </c>
      <c r="F226" s="45" t="s">
        <v>716</v>
      </c>
      <c r="G226" s="9" t="n">
        <v>28</v>
      </c>
      <c r="H226" s="12" t="n">
        <f aca="false">'Engineering Assumptions'!$C$29*'Engineering Assumptions'!$B$5*U226</f>
        <v>3820</v>
      </c>
      <c r="I226" s="12" t="n">
        <f aca="false">'Engineering Assumptions'!$B$8</f>
        <v>650</v>
      </c>
      <c r="J226" s="12" t="n">
        <f aca="false">'Engineering Assumptions'!$D$29*S226*U226</f>
        <v>816</v>
      </c>
      <c r="K226" s="12" t="n">
        <f aca="false">'Engineering Assumptions'!$E$29*T226*U226</f>
        <v>1440</v>
      </c>
      <c r="L226" s="13" t="n">
        <f aca="false">H226+I226+J226+K226</f>
        <v>6726</v>
      </c>
      <c r="M226" s="12" t="n">
        <f aca="false">L226*'Engineering Assumptions'!$B$10</f>
        <v>1008.9</v>
      </c>
      <c r="N226" s="13" t="n">
        <f aca="false">L226+M226</f>
        <v>7734.9</v>
      </c>
      <c r="O226" s="12" t="n">
        <f aca="false">N226*'Engineering Assumptions'!$B$11</f>
        <v>1546.98</v>
      </c>
      <c r="P226" s="183" t="n">
        <f aca="false">MROUND(N226+O226,10)</f>
        <v>9280</v>
      </c>
      <c r="Q226" s="12" t="n">
        <f aca="false">'Fleet Pricing'!H226</f>
        <v>5100</v>
      </c>
      <c r="R226" s="41" t="n">
        <v>28</v>
      </c>
      <c r="S226" s="46" t="n">
        <v>2.4</v>
      </c>
      <c r="T226" s="46" t="n">
        <v>3</v>
      </c>
      <c r="U226" s="46" t="n">
        <v>1</v>
      </c>
    </row>
    <row r="227" customFormat="false" ht="15" hidden="false" customHeight="true" outlineLevel="0" collapsed="false">
      <c r="A227" s="9" t="n">
        <v>211</v>
      </c>
      <c r="B227" s="47" t="s">
        <v>115</v>
      </c>
      <c r="C227" s="47" t="s">
        <v>2375</v>
      </c>
      <c r="D227" s="47" t="s">
        <v>719</v>
      </c>
      <c r="E227" s="47" t="s">
        <v>722</v>
      </c>
      <c r="F227" s="45" t="s">
        <v>721</v>
      </c>
      <c r="G227" s="9" t="n">
        <v>31</v>
      </c>
      <c r="H227" s="12" t="n">
        <f aca="false">'Engineering Assumptions'!$C$29*'Engineering Assumptions'!$B$5*U227</f>
        <v>3820</v>
      </c>
      <c r="I227" s="12" t="n">
        <f aca="false">'Engineering Assumptions'!$B$8</f>
        <v>650</v>
      </c>
      <c r="J227" s="12" t="n">
        <f aca="false">'Engineering Assumptions'!$D$29*S227*U227</f>
        <v>816</v>
      </c>
      <c r="K227" s="12" t="n">
        <f aca="false">'Engineering Assumptions'!$E$29*T227*U227</f>
        <v>1440</v>
      </c>
      <c r="L227" s="13" t="n">
        <f aca="false">H227+I227+J227+K227</f>
        <v>6726</v>
      </c>
      <c r="M227" s="12" t="n">
        <f aca="false">L227*'Engineering Assumptions'!$B$10</f>
        <v>1008.9</v>
      </c>
      <c r="N227" s="13" t="n">
        <f aca="false">L227+M227</f>
        <v>7734.9</v>
      </c>
      <c r="O227" s="12" t="n">
        <f aca="false">N227*'Engineering Assumptions'!$B$11</f>
        <v>1546.98</v>
      </c>
      <c r="P227" s="183" t="n">
        <f aca="false">MROUND(N227+O227,10)</f>
        <v>9280</v>
      </c>
      <c r="Q227" s="12" t="n">
        <f aca="false">'Fleet Pricing'!H227</f>
        <v>5100</v>
      </c>
      <c r="R227" s="41" t="n">
        <v>31</v>
      </c>
      <c r="S227" s="46" t="n">
        <v>2.4</v>
      </c>
      <c r="T227" s="46" t="n">
        <v>3</v>
      </c>
      <c r="U227" s="46" t="n">
        <v>1</v>
      </c>
    </row>
    <row r="228" customFormat="false" ht="15" hidden="false" customHeight="true" outlineLevel="0" collapsed="false">
      <c r="A228" s="42" t="s">
        <v>723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</row>
    <row r="229" customFormat="false" ht="15" hidden="false" customHeight="true" outlineLevel="0" collapsed="false">
      <c r="A229" s="9" t="n">
        <v>212</v>
      </c>
      <c r="B229" s="47" t="s">
        <v>117</v>
      </c>
      <c r="C229" s="47" t="s">
        <v>2376</v>
      </c>
      <c r="D229" s="47" t="s">
        <v>724</v>
      </c>
      <c r="E229" s="47" t="s">
        <v>726</v>
      </c>
      <c r="F229" s="45" t="s">
        <v>348</v>
      </c>
      <c r="G229" s="9" t="n">
        <v>20</v>
      </c>
      <c r="H229" s="12" t="n">
        <f aca="false">'Engineering Assumptions'!$C$30*'Engineering Assumptions'!$B$5*U229</f>
        <v>2674</v>
      </c>
      <c r="I229" s="12" t="n">
        <f aca="false">'Engineering Assumptions'!$B$8</f>
        <v>650</v>
      </c>
      <c r="J229" s="12" t="n">
        <f aca="false">'Engineering Assumptions'!$D$30*S229*U229</f>
        <v>429</v>
      </c>
      <c r="K229" s="12" t="n">
        <f aca="false">'Engineering Assumptions'!$E$30*T229*U229</f>
        <v>588</v>
      </c>
      <c r="L229" s="13" t="n">
        <f aca="false">H229+I229+J229+K229</f>
        <v>4341</v>
      </c>
      <c r="M229" s="12" t="n">
        <f aca="false">L229*'Engineering Assumptions'!$B$10</f>
        <v>651.15</v>
      </c>
      <c r="N229" s="13" t="n">
        <f aca="false">L229+M229</f>
        <v>4992.15</v>
      </c>
      <c r="O229" s="12" t="n">
        <f aca="false">N229*'Engineering Assumptions'!$B$11</f>
        <v>998.43</v>
      </c>
      <c r="P229" s="183" t="n">
        <f aca="false">MROUND(N229+O229,10)</f>
        <v>5990</v>
      </c>
      <c r="Q229" s="12" t="n">
        <f aca="false">'Fleet Pricing'!H229</f>
        <v>3600</v>
      </c>
      <c r="R229" s="41" t="n">
        <v>20</v>
      </c>
      <c r="S229" s="46" t="n">
        <v>1.95</v>
      </c>
      <c r="T229" s="46" t="n">
        <v>2.1</v>
      </c>
      <c r="U229" s="46" t="n">
        <v>1</v>
      </c>
    </row>
    <row r="230" customFormat="false" ht="15" hidden="false" customHeight="true" outlineLevel="0" collapsed="false">
      <c r="A230" s="9" t="n">
        <v>213</v>
      </c>
      <c r="B230" s="47" t="s">
        <v>117</v>
      </c>
      <c r="C230" s="47" t="s">
        <v>2377</v>
      </c>
      <c r="D230" s="47" t="s">
        <v>727</v>
      </c>
      <c r="E230" s="47" t="s">
        <v>730</v>
      </c>
      <c r="F230" s="45" t="s">
        <v>729</v>
      </c>
      <c r="G230" s="9" t="n">
        <v>21</v>
      </c>
      <c r="H230" s="12" t="n">
        <f aca="false">'Engineering Assumptions'!$C$30*'Engineering Assumptions'!$B$5*U230</f>
        <v>2674</v>
      </c>
      <c r="I230" s="12" t="n">
        <f aca="false">'Engineering Assumptions'!$B$8</f>
        <v>650</v>
      </c>
      <c r="J230" s="12" t="n">
        <f aca="false">'Engineering Assumptions'!$D$30*S230*U230</f>
        <v>528</v>
      </c>
      <c r="K230" s="12" t="n">
        <f aca="false">'Engineering Assumptions'!$E$30*T230*U230</f>
        <v>840</v>
      </c>
      <c r="L230" s="13" t="n">
        <f aca="false">H230+I230+J230+K230</f>
        <v>4692</v>
      </c>
      <c r="M230" s="12" t="n">
        <f aca="false">L230*'Engineering Assumptions'!$B$10</f>
        <v>703.8</v>
      </c>
      <c r="N230" s="13" t="n">
        <f aca="false">L230+M230</f>
        <v>5395.8</v>
      </c>
      <c r="O230" s="12" t="n">
        <f aca="false">N230*'Engineering Assumptions'!$B$11</f>
        <v>1079.16</v>
      </c>
      <c r="P230" s="183" t="n">
        <f aca="false">MROUND(N230+O230,10)</f>
        <v>6470</v>
      </c>
      <c r="Q230" s="12" t="n">
        <f aca="false">'Fleet Pricing'!H230</f>
        <v>3600</v>
      </c>
      <c r="R230" s="41" t="n">
        <v>21</v>
      </c>
      <c r="S230" s="46" t="n">
        <v>2.4</v>
      </c>
      <c r="T230" s="46" t="n">
        <v>3</v>
      </c>
      <c r="U230" s="46" t="n">
        <v>1</v>
      </c>
    </row>
    <row r="231" customFormat="false" ht="15" hidden="false" customHeight="true" outlineLevel="0" collapsed="false">
      <c r="A231" s="9" t="n">
        <v>214</v>
      </c>
      <c r="B231" s="47" t="s">
        <v>117</v>
      </c>
      <c r="C231" s="47" t="s">
        <v>2378</v>
      </c>
      <c r="D231" s="47" t="s">
        <v>731</v>
      </c>
      <c r="E231" s="47" t="s">
        <v>733</v>
      </c>
      <c r="F231" s="45" t="s">
        <v>423</v>
      </c>
      <c r="G231" s="9" t="n">
        <v>23</v>
      </c>
      <c r="H231" s="12" t="n">
        <f aca="false">'Engineering Assumptions'!$C$30*'Engineering Assumptions'!$B$5*U231</f>
        <v>2674</v>
      </c>
      <c r="I231" s="12" t="n">
        <f aca="false">'Engineering Assumptions'!$B$8</f>
        <v>650</v>
      </c>
      <c r="J231" s="12" t="n">
        <f aca="false">'Engineering Assumptions'!$D$30*S231*U231</f>
        <v>528</v>
      </c>
      <c r="K231" s="12" t="n">
        <f aca="false">'Engineering Assumptions'!$E$30*T231*U231</f>
        <v>840</v>
      </c>
      <c r="L231" s="13" t="n">
        <f aca="false">H231+I231+J231+K231</f>
        <v>4692</v>
      </c>
      <c r="M231" s="12" t="n">
        <f aca="false">L231*'Engineering Assumptions'!$B$10</f>
        <v>703.8</v>
      </c>
      <c r="N231" s="13" t="n">
        <f aca="false">L231+M231</f>
        <v>5395.8</v>
      </c>
      <c r="O231" s="12" t="n">
        <f aca="false">N231*'Engineering Assumptions'!$B$11</f>
        <v>1079.16</v>
      </c>
      <c r="P231" s="183" t="n">
        <f aca="false">MROUND(N231+O231,10)</f>
        <v>6470</v>
      </c>
      <c r="Q231" s="12" t="n">
        <f aca="false">'Fleet Pricing'!H231</f>
        <v>3250</v>
      </c>
      <c r="R231" s="41" t="n">
        <v>23</v>
      </c>
      <c r="S231" s="46" t="n">
        <v>2.4</v>
      </c>
      <c r="T231" s="46" t="n">
        <v>3</v>
      </c>
      <c r="U231" s="46" t="n">
        <v>1</v>
      </c>
    </row>
    <row r="232" customFormat="false" ht="15" hidden="false" customHeight="true" outlineLevel="0" collapsed="false">
      <c r="A232" s="9" t="n">
        <v>215</v>
      </c>
      <c r="B232" s="47" t="s">
        <v>117</v>
      </c>
      <c r="C232" s="47" t="s">
        <v>2379</v>
      </c>
      <c r="D232" s="47" t="s">
        <v>735</v>
      </c>
      <c r="E232" s="47" t="s">
        <v>736</v>
      </c>
      <c r="F232" s="45" t="s">
        <v>432</v>
      </c>
      <c r="G232" s="9" t="n">
        <v>30</v>
      </c>
      <c r="H232" s="12" t="n">
        <f aca="false">'Engineering Assumptions'!$C$30*'Engineering Assumptions'!$B$5*U232</f>
        <v>2674</v>
      </c>
      <c r="I232" s="12" t="n">
        <f aca="false">'Engineering Assumptions'!$B$8</f>
        <v>650</v>
      </c>
      <c r="J232" s="12" t="n">
        <f aca="false">'Engineering Assumptions'!$D$30*S232*U232</f>
        <v>528</v>
      </c>
      <c r="K232" s="12" t="n">
        <f aca="false">'Engineering Assumptions'!$E$30*T232*U232</f>
        <v>840</v>
      </c>
      <c r="L232" s="13" t="n">
        <f aca="false">H232+I232+J232+K232</f>
        <v>4692</v>
      </c>
      <c r="M232" s="12" t="n">
        <f aca="false">L232*'Engineering Assumptions'!$B$10</f>
        <v>703.8</v>
      </c>
      <c r="N232" s="13" t="n">
        <f aca="false">L232+M232</f>
        <v>5395.8</v>
      </c>
      <c r="O232" s="12" t="n">
        <f aca="false">N232*'Engineering Assumptions'!$B$11</f>
        <v>1079.16</v>
      </c>
      <c r="P232" s="183" t="n">
        <f aca="false">MROUND(N232+O232,10)</f>
        <v>6470</v>
      </c>
      <c r="Q232" s="12" t="n">
        <f aca="false">'Fleet Pricing'!H232</f>
        <v>2900</v>
      </c>
      <c r="R232" s="41" t="n">
        <v>30</v>
      </c>
      <c r="S232" s="46" t="n">
        <v>2.4</v>
      </c>
      <c r="T232" s="46" t="n">
        <v>3</v>
      </c>
      <c r="U232" s="46" t="n">
        <v>1</v>
      </c>
    </row>
    <row r="233" customFormat="false" ht="15" hidden="false" customHeight="true" outlineLevel="0" collapsed="false">
      <c r="A233" s="42" t="s">
        <v>737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 customFormat="false" ht="15" hidden="false" customHeight="true" outlineLevel="0" collapsed="false">
      <c r="A234" s="9" t="n">
        <v>216</v>
      </c>
      <c r="B234" s="47" t="s">
        <v>119</v>
      </c>
      <c r="C234" s="47" t="s">
        <v>2380</v>
      </c>
      <c r="D234" s="47" t="s">
        <v>739</v>
      </c>
      <c r="E234" s="47" t="s">
        <v>741</v>
      </c>
      <c r="F234" s="45" t="s">
        <v>318</v>
      </c>
      <c r="G234" s="9" t="n">
        <v>10</v>
      </c>
      <c r="H234" s="12" t="n">
        <f aca="false">'Engineering Assumptions'!$C$31*'Engineering Assumptions'!$B$5*U234</f>
        <v>5348</v>
      </c>
      <c r="I234" s="12" t="n">
        <f aca="false">'Engineering Assumptions'!$B$8</f>
        <v>650</v>
      </c>
      <c r="J234" s="12" t="n">
        <f aca="false">'Engineering Assumptions'!$D$31*S234*U234</f>
        <v>325</v>
      </c>
      <c r="K234" s="12" t="n">
        <f aca="false">'Engineering Assumptions'!$E$31*T234*U234</f>
        <v>262.5</v>
      </c>
      <c r="L234" s="13" t="n">
        <f aca="false">H234+I234+J234+K234</f>
        <v>6585.5</v>
      </c>
      <c r="M234" s="12" t="n">
        <f aca="false">L234*'Engineering Assumptions'!$B$10</f>
        <v>987.825</v>
      </c>
      <c r="N234" s="13" t="n">
        <f aca="false">L234+M234</f>
        <v>7573.325</v>
      </c>
      <c r="O234" s="12" t="n">
        <f aca="false">N234*'Engineering Assumptions'!$B$11</f>
        <v>1514.665</v>
      </c>
      <c r="P234" s="183" t="n">
        <f aca="false">MROUND(N234+O234,10)</f>
        <v>9090</v>
      </c>
      <c r="Q234" s="12" t="n">
        <f aca="false">'Fleet Pricing'!H234</f>
        <v>4460</v>
      </c>
      <c r="R234" s="41" t="n">
        <v>10</v>
      </c>
      <c r="S234" s="46" t="n">
        <v>1.25</v>
      </c>
      <c r="T234" s="46" t="n">
        <v>0.75</v>
      </c>
      <c r="U234" s="46" t="n">
        <v>1</v>
      </c>
    </row>
    <row r="235" customFormat="false" ht="15" hidden="false" customHeight="true" outlineLevel="0" collapsed="false">
      <c r="A235" s="9" t="n">
        <v>217</v>
      </c>
      <c r="B235" s="47" t="s">
        <v>119</v>
      </c>
      <c r="C235" s="47" t="s">
        <v>2381</v>
      </c>
      <c r="D235" s="47" t="s">
        <v>743</v>
      </c>
      <c r="E235" s="47" t="s">
        <v>745</v>
      </c>
      <c r="F235" s="45" t="s">
        <v>310</v>
      </c>
      <c r="G235" s="9" t="n">
        <v>14</v>
      </c>
      <c r="H235" s="12" t="n">
        <f aca="false">'Engineering Assumptions'!$C$31*'Engineering Assumptions'!$B$5*U235</f>
        <v>5348</v>
      </c>
      <c r="I235" s="12" t="n">
        <f aca="false">'Engineering Assumptions'!$B$8</f>
        <v>650</v>
      </c>
      <c r="J235" s="12" t="n">
        <f aca="false">'Engineering Assumptions'!$D$31*S235*U235</f>
        <v>403</v>
      </c>
      <c r="K235" s="12" t="n">
        <f aca="false">'Engineering Assumptions'!$E$31*T235*U235</f>
        <v>472.5</v>
      </c>
      <c r="L235" s="13" t="n">
        <f aca="false">H235+I235+J235+K235</f>
        <v>6873.5</v>
      </c>
      <c r="M235" s="12" t="n">
        <f aca="false">L235*'Engineering Assumptions'!$B$10</f>
        <v>1031.025</v>
      </c>
      <c r="N235" s="13" t="n">
        <f aca="false">L235+M235</f>
        <v>7904.525</v>
      </c>
      <c r="O235" s="12" t="n">
        <f aca="false">N235*'Engineering Assumptions'!$B$11</f>
        <v>1580.905</v>
      </c>
      <c r="P235" s="183" t="n">
        <f aca="false">MROUND(N235+O235,10)</f>
        <v>9490</v>
      </c>
      <c r="Q235" s="12" t="n">
        <f aca="false">'Fleet Pricing'!H235</f>
        <v>3980</v>
      </c>
      <c r="R235" s="41" t="n">
        <v>14</v>
      </c>
      <c r="S235" s="46" t="n">
        <v>1.55</v>
      </c>
      <c r="T235" s="46" t="n">
        <v>1.35</v>
      </c>
      <c r="U235" s="46" t="n">
        <v>1</v>
      </c>
    </row>
    <row r="236" customFormat="false" ht="15" hidden="false" customHeight="true" outlineLevel="0" collapsed="false">
      <c r="A236" s="9" t="n">
        <v>218</v>
      </c>
      <c r="B236" s="47" t="s">
        <v>119</v>
      </c>
      <c r="C236" s="47" t="s">
        <v>2382</v>
      </c>
      <c r="D236" s="47" t="s">
        <v>746</v>
      </c>
      <c r="E236" s="47" t="s">
        <v>749</v>
      </c>
      <c r="F236" s="45" t="s">
        <v>748</v>
      </c>
      <c r="G236" s="9" t="n">
        <v>15</v>
      </c>
      <c r="H236" s="12" t="n">
        <f aca="false">'Engineering Assumptions'!$C$31*'Engineering Assumptions'!$B$5*U236</f>
        <v>5348</v>
      </c>
      <c r="I236" s="12" t="n">
        <f aca="false">'Engineering Assumptions'!$B$8</f>
        <v>650</v>
      </c>
      <c r="J236" s="12" t="n">
        <f aca="false">'Engineering Assumptions'!$D$31*S236*U236</f>
        <v>403</v>
      </c>
      <c r="K236" s="12" t="n">
        <f aca="false">'Engineering Assumptions'!$E$31*T236*U236</f>
        <v>472.5</v>
      </c>
      <c r="L236" s="13" t="n">
        <f aca="false">H236+I236+J236+K236</f>
        <v>6873.5</v>
      </c>
      <c r="M236" s="12" t="n">
        <f aca="false">L236*'Engineering Assumptions'!$B$10</f>
        <v>1031.025</v>
      </c>
      <c r="N236" s="13" t="n">
        <f aca="false">L236+M236</f>
        <v>7904.525</v>
      </c>
      <c r="O236" s="12" t="n">
        <f aca="false">N236*'Engineering Assumptions'!$B$11</f>
        <v>1580.905</v>
      </c>
      <c r="P236" s="183" t="n">
        <f aca="false">MROUND(N236+O236,10)</f>
        <v>9490</v>
      </c>
      <c r="Q236" s="12" t="n">
        <f aca="false">'Fleet Pricing'!H236</f>
        <v>3980</v>
      </c>
      <c r="R236" s="41" t="n">
        <v>15</v>
      </c>
      <c r="S236" s="46" t="n">
        <v>1.55</v>
      </c>
      <c r="T236" s="46" t="n">
        <v>1.35</v>
      </c>
      <c r="U236" s="46" t="n">
        <v>1</v>
      </c>
    </row>
    <row r="237" customFormat="false" ht="15" hidden="false" customHeight="true" outlineLevel="0" collapsed="false">
      <c r="A237" s="9" t="n">
        <v>219</v>
      </c>
      <c r="B237" s="47" t="s">
        <v>119</v>
      </c>
      <c r="C237" s="47" t="s">
        <v>2383</v>
      </c>
      <c r="D237" s="47"/>
      <c r="E237" s="47"/>
      <c r="F237" s="45" t="s">
        <v>389</v>
      </c>
      <c r="G237" s="9" t="n">
        <v>16</v>
      </c>
      <c r="H237" s="12" t="n">
        <f aca="false">'Engineering Assumptions'!$C$31*'Engineering Assumptions'!$B$5*U237</f>
        <v>5348</v>
      </c>
      <c r="I237" s="12" t="n">
        <f aca="false">'Engineering Assumptions'!$B$8</f>
        <v>650</v>
      </c>
      <c r="J237" s="12" t="n">
        <f aca="false">'Engineering Assumptions'!$D$31*S237*U237</f>
        <v>507</v>
      </c>
      <c r="K237" s="12" t="n">
        <f aca="false">'Engineering Assumptions'!$E$31*T237*U237</f>
        <v>735</v>
      </c>
      <c r="L237" s="13" t="n">
        <f aca="false">H237+I237+J237+K237</f>
        <v>7240</v>
      </c>
      <c r="M237" s="12" t="n">
        <f aca="false">L237*'Engineering Assumptions'!$B$10</f>
        <v>1086</v>
      </c>
      <c r="N237" s="13" t="n">
        <f aca="false">L237+M237</f>
        <v>8326</v>
      </c>
      <c r="O237" s="12" t="n">
        <f aca="false">N237*'Engineering Assumptions'!$B$11</f>
        <v>1665.2</v>
      </c>
      <c r="P237" s="183" t="n">
        <f aca="false">MROUND(N237+O237,10)</f>
        <v>9990</v>
      </c>
      <c r="Q237" s="12" t="n">
        <f aca="false">'Fleet Pricing'!H237</f>
        <v>3980</v>
      </c>
      <c r="R237" s="41" t="n">
        <v>16</v>
      </c>
      <c r="S237" s="46" t="n">
        <v>1.95</v>
      </c>
      <c r="T237" s="46" t="n">
        <v>2.1</v>
      </c>
      <c r="U237" s="46" t="n">
        <v>1</v>
      </c>
    </row>
    <row r="238" customFormat="false" ht="15" hidden="false" customHeight="true" outlineLevel="0" collapsed="false">
      <c r="A238" s="9" t="n">
        <v>220</v>
      </c>
      <c r="B238" s="47" t="s">
        <v>119</v>
      </c>
      <c r="C238" s="47" t="s">
        <v>2384</v>
      </c>
      <c r="D238" s="47" t="s">
        <v>754</v>
      </c>
      <c r="E238" s="47" t="s">
        <v>756</v>
      </c>
      <c r="F238" s="45" t="s">
        <v>623</v>
      </c>
      <c r="G238" s="9" t="n">
        <v>18</v>
      </c>
      <c r="H238" s="12" t="n">
        <f aca="false">'Engineering Assumptions'!$C$31*'Engineering Assumptions'!$B$5*U238</f>
        <v>5348</v>
      </c>
      <c r="I238" s="12" t="n">
        <f aca="false">'Engineering Assumptions'!$B$8</f>
        <v>650</v>
      </c>
      <c r="J238" s="12" t="n">
        <f aca="false">'Engineering Assumptions'!$D$31*S238*U238</f>
        <v>507</v>
      </c>
      <c r="K238" s="12" t="n">
        <f aca="false">'Engineering Assumptions'!$E$31*T238*U238</f>
        <v>735</v>
      </c>
      <c r="L238" s="13" t="n">
        <f aca="false">H238+I238+J238+K238</f>
        <v>7240</v>
      </c>
      <c r="M238" s="12" t="n">
        <f aca="false">L238*'Engineering Assumptions'!$B$10</f>
        <v>1086</v>
      </c>
      <c r="N238" s="13" t="n">
        <f aca="false">L238+M238</f>
        <v>8326</v>
      </c>
      <c r="O238" s="12" t="n">
        <f aca="false">N238*'Engineering Assumptions'!$B$11</f>
        <v>1665.2</v>
      </c>
      <c r="P238" s="183" t="n">
        <f aca="false">MROUND(N238+O238,10)</f>
        <v>9990</v>
      </c>
      <c r="Q238" s="12" t="n">
        <f aca="false">'Fleet Pricing'!H238</f>
        <v>3490</v>
      </c>
      <c r="R238" s="41" t="n">
        <v>18</v>
      </c>
      <c r="S238" s="46" t="n">
        <v>1.95</v>
      </c>
      <c r="T238" s="46" t="n">
        <v>2.1</v>
      </c>
      <c r="U238" s="46" t="n">
        <v>1</v>
      </c>
    </row>
    <row r="239" customFormat="false" ht="15" hidden="false" customHeight="true" outlineLevel="0" collapsed="false">
      <c r="A239" s="9" t="n">
        <v>221</v>
      </c>
      <c r="B239" s="47" t="s">
        <v>119</v>
      </c>
      <c r="C239" s="47" t="s">
        <v>2385</v>
      </c>
      <c r="D239" s="47" t="s">
        <v>757</v>
      </c>
      <c r="E239" s="47" t="s">
        <v>759</v>
      </c>
      <c r="F239" s="45" t="s">
        <v>716</v>
      </c>
      <c r="G239" s="9" t="n">
        <v>28</v>
      </c>
      <c r="H239" s="12" t="n">
        <f aca="false">'Engineering Assumptions'!$C$31*'Engineering Assumptions'!$B$5*U239</f>
        <v>5348</v>
      </c>
      <c r="I239" s="12" t="n">
        <f aca="false">'Engineering Assumptions'!$B$8</f>
        <v>650</v>
      </c>
      <c r="J239" s="12" t="n">
        <f aca="false">'Engineering Assumptions'!$D$31*S239*U239</f>
        <v>624</v>
      </c>
      <c r="K239" s="12" t="n">
        <f aca="false">'Engineering Assumptions'!$E$31*T239*U239</f>
        <v>1050</v>
      </c>
      <c r="L239" s="13" t="n">
        <f aca="false">H239+I239+J239+K239</f>
        <v>7672</v>
      </c>
      <c r="M239" s="12" t="n">
        <f aca="false">L239*'Engineering Assumptions'!$B$10</f>
        <v>1150.8</v>
      </c>
      <c r="N239" s="13" t="n">
        <f aca="false">L239+M239</f>
        <v>8822.8</v>
      </c>
      <c r="O239" s="12" t="n">
        <f aca="false">N239*'Engineering Assumptions'!$B$11</f>
        <v>1764.56</v>
      </c>
      <c r="P239" s="183" t="n">
        <f aca="false">MROUND(N239+O239,10)</f>
        <v>10590</v>
      </c>
      <c r="Q239" s="12" t="n">
        <f aca="false">'Fleet Pricing'!H239</f>
        <v>2810</v>
      </c>
      <c r="R239" s="41" t="n">
        <v>28</v>
      </c>
      <c r="S239" s="46" t="n">
        <v>2.4</v>
      </c>
      <c r="T239" s="46" t="n">
        <v>3</v>
      </c>
      <c r="U239" s="46" t="n">
        <v>1</v>
      </c>
    </row>
    <row r="240" customFormat="false" ht="15" hidden="false" customHeight="true" outlineLevel="0" collapsed="false">
      <c r="A240" s="9" t="n">
        <v>222</v>
      </c>
      <c r="B240" s="47" t="s">
        <v>119</v>
      </c>
      <c r="C240" s="47" t="s">
        <v>2386</v>
      </c>
      <c r="D240" s="47" t="s">
        <v>760</v>
      </c>
      <c r="E240" s="47" t="s">
        <v>761</v>
      </c>
      <c r="F240" s="45" t="s">
        <v>432</v>
      </c>
      <c r="G240" s="9" t="n">
        <v>30</v>
      </c>
      <c r="H240" s="12" t="n">
        <f aca="false">'Engineering Assumptions'!$C$31*'Engineering Assumptions'!$B$5*U240</f>
        <v>5348</v>
      </c>
      <c r="I240" s="12" t="n">
        <f aca="false">'Engineering Assumptions'!$B$8</f>
        <v>650</v>
      </c>
      <c r="J240" s="12" t="n">
        <f aca="false">'Engineering Assumptions'!$D$31*S240*U240</f>
        <v>624</v>
      </c>
      <c r="K240" s="12" t="n">
        <f aca="false">'Engineering Assumptions'!$E$31*T240*U240</f>
        <v>1050</v>
      </c>
      <c r="L240" s="13" t="n">
        <f aca="false">H240+I240+J240+K240</f>
        <v>7672</v>
      </c>
      <c r="M240" s="12" t="n">
        <f aca="false">L240*'Engineering Assumptions'!$B$10</f>
        <v>1150.8</v>
      </c>
      <c r="N240" s="13" t="n">
        <f aca="false">L240+M240</f>
        <v>8822.8</v>
      </c>
      <c r="O240" s="12" t="n">
        <f aca="false">N240*'Engineering Assumptions'!$B$11</f>
        <v>1764.56</v>
      </c>
      <c r="P240" s="183" t="n">
        <f aca="false">MROUND(N240+O240,10)</f>
        <v>10590</v>
      </c>
      <c r="Q240" s="12" t="n">
        <f aca="false">'Fleet Pricing'!H240</f>
        <v>2810</v>
      </c>
      <c r="R240" s="41" t="n">
        <v>30</v>
      </c>
      <c r="S240" s="46" t="n">
        <v>2.4</v>
      </c>
      <c r="T240" s="46" t="n">
        <v>3</v>
      </c>
      <c r="U240" s="46" t="n">
        <v>1</v>
      </c>
    </row>
    <row r="241" customFormat="false" ht="15" hidden="false" customHeight="true" outlineLevel="0" collapsed="false">
      <c r="A241" s="9" t="n">
        <v>223</v>
      </c>
      <c r="B241" s="47" t="s">
        <v>119</v>
      </c>
      <c r="C241" s="47" t="s">
        <v>2387</v>
      </c>
      <c r="D241" s="47" t="s">
        <v>762</v>
      </c>
      <c r="E241" s="47" t="s">
        <v>764</v>
      </c>
      <c r="F241" s="45" t="s">
        <v>721</v>
      </c>
      <c r="G241" s="9" t="n">
        <v>31</v>
      </c>
      <c r="H241" s="12" t="n">
        <f aca="false">'Engineering Assumptions'!$C$31*'Engineering Assumptions'!$B$5*U241</f>
        <v>5348</v>
      </c>
      <c r="I241" s="12" t="n">
        <f aca="false">'Engineering Assumptions'!$B$8</f>
        <v>650</v>
      </c>
      <c r="J241" s="12" t="n">
        <f aca="false">'Engineering Assumptions'!$D$31*S241*U241</f>
        <v>624</v>
      </c>
      <c r="K241" s="12" t="n">
        <f aca="false">'Engineering Assumptions'!$E$31*T241*U241</f>
        <v>1050</v>
      </c>
      <c r="L241" s="13" t="n">
        <f aca="false">H241+I241+J241+K241</f>
        <v>7672</v>
      </c>
      <c r="M241" s="12" t="n">
        <f aca="false">L241*'Engineering Assumptions'!$B$10</f>
        <v>1150.8</v>
      </c>
      <c r="N241" s="13" t="n">
        <f aca="false">L241+M241</f>
        <v>8822.8</v>
      </c>
      <c r="O241" s="12" t="n">
        <f aca="false">N241*'Engineering Assumptions'!$B$11</f>
        <v>1764.56</v>
      </c>
      <c r="P241" s="183" t="n">
        <f aca="false">MROUND(N241+O241,10)</f>
        <v>10590</v>
      </c>
      <c r="Q241" s="12" t="n">
        <f aca="false">'Fleet Pricing'!H241</f>
        <v>2810</v>
      </c>
      <c r="R241" s="41" t="n">
        <v>31</v>
      </c>
      <c r="S241" s="46" t="n">
        <v>2.4</v>
      </c>
      <c r="T241" s="46" t="n">
        <v>3</v>
      </c>
      <c r="U241" s="46" t="n">
        <v>1</v>
      </c>
    </row>
    <row r="242" customFormat="false" ht="15" hidden="false" customHeight="true" outlineLevel="0" collapsed="false">
      <c r="A242" s="42" t="s">
        <v>765</v>
      </c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</row>
    <row r="243" customFormat="false" ht="15" hidden="false" customHeight="true" outlineLevel="0" collapsed="false">
      <c r="A243" s="9" t="n">
        <v>224</v>
      </c>
      <c r="B243" s="47" t="s">
        <v>121</v>
      </c>
      <c r="C243" s="47" t="s">
        <v>2388</v>
      </c>
      <c r="D243" s="47" t="s">
        <v>766</v>
      </c>
      <c r="E243" s="47" t="s">
        <v>768</v>
      </c>
      <c r="F243" s="45" t="s">
        <v>324</v>
      </c>
      <c r="G243" s="9" t="n">
        <v>7</v>
      </c>
      <c r="H243" s="12" t="n">
        <f aca="false">'Engineering Assumptions'!$C$32*'Engineering Assumptions'!$B$5*U243</f>
        <v>4966</v>
      </c>
      <c r="I243" s="12" t="n">
        <f aca="false">'Engineering Assumptions'!$B$8</f>
        <v>650</v>
      </c>
      <c r="J243" s="12" t="n">
        <f aca="false">'Engineering Assumptions'!$D$32*S243*U243</f>
        <v>550</v>
      </c>
      <c r="K243" s="12" t="n">
        <f aca="false">'Engineering Assumptions'!$E$32*T243*U243</f>
        <v>465</v>
      </c>
      <c r="L243" s="13" t="n">
        <f aca="false">H243+I243+J243+K243</f>
        <v>6631</v>
      </c>
      <c r="M243" s="12" t="n">
        <f aca="false">L243*'Engineering Assumptions'!$B$10</f>
        <v>994.65</v>
      </c>
      <c r="N243" s="13" t="n">
        <f aca="false">L243+M243</f>
        <v>7625.65</v>
      </c>
      <c r="O243" s="12" t="n">
        <f aca="false">N243*'Engineering Assumptions'!$B$11</f>
        <v>1525.13</v>
      </c>
      <c r="P243" s="183" t="n">
        <f aca="false">MROUND(N243+O243,10)</f>
        <v>9150</v>
      </c>
      <c r="Q243" s="12" t="n">
        <f aca="false">'Fleet Pricing'!H243</f>
        <v>8600</v>
      </c>
      <c r="R243" s="41" t="n">
        <v>7</v>
      </c>
      <c r="S243" s="46" t="n">
        <v>1.25</v>
      </c>
      <c r="T243" s="46" t="n">
        <v>0.75</v>
      </c>
      <c r="U243" s="46" t="n">
        <v>1</v>
      </c>
    </row>
    <row r="244" customFormat="false" ht="15" hidden="false" customHeight="true" outlineLevel="0" collapsed="false">
      <c r="A244" s="9" t="n">
        <v>225</v>
      </c>
      <c r="B244" s="47" t="s">
        <v>121</v>
      </c>
      <c r="C244" s="47" t="s">
        <v>2389</v>
      </c>
      <c r="D244" s="47" t="s">
        <v>769</v>
      </c>
      <c r="E244" s="47" t="s">
        <v>771</v>
      </c>
      <c r="F244" s="45" t="s">
        <v>623</v>
      </c>
      <c r="G244" s="9" t="n">
        <v>18</v>
      </c>
      <c r="H244" s="12" t="n">
        <f aca="false">'Engineering Assumptions'!$C$32*'Engineering Assumptions'!$B$5*U244</f>
        <v>4966</v>
      </c>
      <c r="I244" s="12" t="n">
        <f aca="false">'Engineering Assumptions'!$B$8</f>
        <v>650</v>
      </c>
      <c r="J244" s="12" t="n">
        <f aca="false">'Engineering Assumptions'!$D$32*S244*U244</f>
        <v>858</v>
      </c>
      <c r="K244" s="12" t="n">
        <f aca="false">'Engineering Assumptions'!$E$32*T244*U244</f>
        <v>1302</v>
      </c>
      <c r="L244" s="13" t="n">
        <f aca="false">H244+I244+J244+K244</f>
        <v>7776</v>
      </c>
      <c r="M244" s="12" t="n">
        <f aca="false">L244*'Engineering Assumptions'!$B$10</f>
        <v>1166.4</v>
      </c>
      <c r="N244" s="13" t="n">
        <f aca="false">L244+M244</f>
        <v>8942.4</v>
      </c>
      <c r="O244" s="12" t="n">
        <f aca="false">N244*'Engineering Assumptions'!$B$11</f>
        <v>1788.48</v>
      </c>
      <c r="P244" s="183" t="n">
        <f aca="false">MROUND(N244+O244,10)</f>
        <v>10730</v>
      </c>
      <c r="Q244" s="12" t="n">
        <f aca="false">'Fleet Pricing'!H244</f>
        <v>6730</v>
      </c>
      <c r="R244" s="41" t="n">
        <v>18</v>
      </c>
      <c r="S244" s="46" t="n">
        <v>1.95</v>
      </c>
      <c r="T244" s="46" t="n">
        <v>2.1</v>
      </c>
      <c r="U244" s="46" t="n">
        <v>1</v>
      </c>
    </row>
    <row r="245" customFormat="false" ht="15" hidden="false" customHeight="true" outlineLevel="0" collapsed="false">
      <c r="A245" s="42" t="s">
        <v>772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 customFormat="false" ht="15" hidden="false" customHeight="true" outlineLevel="0" collapsed="false">
      <c r="A246" s="9" t="n">
        <v>226</v>
      </c>
      <c r="B246" s="47" t="s">
        <v>123</v>
      </c>
      <c r="C246" s="47" t="s">
        <v>2390</v>
      </c>
      <c r="D246" s="47" t="s">
        <v>774</v>
      </c>
      <c r="E246" s="47" t="s">
        <v>776</v>
      </c>
      <c r="F246" s="45" t="s">
        <v>324</v>
      </c>
      <c r="G246" s="9" t="n">
        <v>7</v>
      </c>
      <c r="H246" s="12" t="n">
        <f aca="false">'Engineering Assumptions'!$C$33*'Engineering Assumptions'!$B$5*U246</f>
        <v>1146</v>
      </c>
      <c r="I246" s="12" t="n">
        <f aca="false">'Engineering Assumptions'!$B$8</f>
        <v>650</v>
      </c>
      <c r="J246" s="12" t="n">
        <f aca="false">'Engineering Assumptions'!$D$33*S246*U246</f>
        <v>112.5</v>
      </c>
      <c r="K246" s="12" t="n">
        <f aca="false">'Engineering Assumptions'!$E$33*T246*U246</f>
        <v>82.5</v>
      </c>
      <c r="L246" s="13" t="n">
        <f aca="false">H246+I246+J246+K246</f>
        <v>1991</v>
      </c>
      <c r="M246" s="12" t="n">
        <f aca="false">L246*'Engineering Assumptions'!$B$10</f>
        <v>298.65</v>
      </c>
      <c r="N246" s="13" t="n">
        <f aca="false">L246+M246</f>
        <v>2289.65</v>
      </c>
      <c r="O246" s="12" t="n">
        <f aca="false">N246*'Engineering Assumptions'!$B$11</f>
        <v>457.93</v>
      </c>
      <c r="P246" s="183" t="n">
        <f aca="false">MROUND(N246+O246,10)</f>
        <v>2750</v>
      </c>
      <c r="Q246" s="12" t="n">
        <f aca="false">'Fleet Pricing'!H246</f>
        <v>1610</v>
      </c>
      <c r="R246" s="41" t="n">
        <v>7</v>
      </c>
      <c r="S246" s="46" t="n">
        <v>1.25</v>
      </c>
      <c r="T246" s="46" t="n">
        <v>0.75</v>
      </c>
      <c r="U246" s="46" t="n">
        <v>1</v>
      </c>
    </row>
    <row r="247" customFormat="false" ht="15" hidden="false" customHeight="true" outlineLevel="0" collapsed="false">
      <c r="A247" s="9" t="n">
        <v>227</v>
      </c>
      <c r="B247" s="47" t="s">
        <v>123</v>
      </c>
      <c r="C247" s="47" t="s">
        <v>2390</v>
      </c>
      <c r="D247" s="47" t="s">
        <v>785</v>
      </c>
      <c r="E247" s="47" t="s">
        <v>786</v>
      </c>
      <c r="F247" s="45" t="s">
        <v>324</v>
      </c>
      <c r="G247" s="9" t="n">
        <v>7</v>
      </c>
      <c r="H247" s="12" t="n">
        <f aca="false">'Engineering Assumptions'!$C$33*'Engineering Assumptions'!$B$5*U247</f>
        <v>1146</v>
      </c>
      <c r="I247" s="12" t="n">
        <f aca="false">'Engineering Assumptions'!$B$8</f>
        <v>650</v>
      </c>
      <c r="J247" s="12" t="n">
        <f aca="false">'Engineering Assumptions'!$D$33*S247*U247</f>
        <v>112.5</v>
      </c>
      <c r="K247" s="12" t="n">
        <f aca="false">'Engineering Assumptions'!$E$33*T247*U247</f>
        <v>82.5</v>
      </c>
      <c r="L247" s="13" t="n">
        <f aca="false">H247+I247+J247+K247</f>
        <v>1991</v>
      </c>
      <c r="M247" s="12" t="n">
        <f aca="false">L247*'Engineering Assumptions'!$B$10</f>
        <v>298.65</v>
      </c>
      <c r="N247" s="13" t="n">
        <f aca="false">L247+M247</f>
        <v>2289.65</v>
      </c>
      <c r="O247" s="12" t="n">
        <f aca="false">N247*'Engineering Assumptions'!$B$11</f>
        <v>457.93</v>
      </c>
      <c r="P247" s="183" t="n">
        <f aca="false">MROUND(N247+O247,10)</f>
        <v>2750</v>
      </c>
      <c r="Q247" s="12" t="n">
        <f aca="false">'Fleet Pricing'!H247</f>
        <v>1610</v>
      </c>
      <c r="R247" s="41" t="n">
        <v>7</v>
      </c>
      <c r="S247" s="46" t="n">
        <v>1.25</v>
      </c>
      <c r="T247" s="46" t="n">
        <v>0.75</v>
      </c>
      <c r="U247" s="46" t="n">
        <v>1</v>
      </c>
    </row>
    <row r="248" customFormat="false" ht="15" hidden="false" customHeight="true" outlineLevel="0" collapsed="false">
      <c r="A248" s="9" t="n">
        <v>228</v>
      </c>
      <c r="B248" s="47" t="s">
        <v>123</v>
      </c>
      <c r="C248" s="47" t="s">
        <v>2390</v>
      </c>
      <c r="D248" s="47" t="s">
        <v>777</v>
      </c>
      <c r="E248" s="47" t="s">
        <v>778</v>
      </c>
      <c r="F248" s="45" t="s">
        <v>324</v>
      </c>
      <c r="G248" s="9" t="n">
        <v>7</v>
      </c>
      <c r="H248" s="12" t="n">
        <f aca="false">'Engineering Assumptions'!$C$33*'Engineering Assumptions'!$B$5*U248</f>
        <v>1146</v>
      </c>
      <c r="I248" s="12" t="n">
        <f aca="false">'Engineering Assumptions'!$B$8</f>
        <v>650</v>
      </c>
      <c r="J248" s="12" t="n">
        <f aca="false">'Engineering Assumptions'!$D$33*S248*U248</f>
        <v>112.5</v>
      </c>
      <c r="K248" s="12" t="n">
        <f aca="false">'Engineering Assumptions'!$E$33*T248*U248</f>
        <v>82.5</v>
      </c>
      <c r="L248" s="13" t="n">
        <f aca="false">H248+I248+J248+K248</f>
        <v>1991</v>
      </c>
      <c r="M248" s="12" t="n">
        <f aca="false">L248*'Engineering Assumptions'!$B$10</f>
        <v>298.65</v>
      </c>
      <c r="N248" s="13" t="n">
        <f aca="false">L248+M248</f>
        <v>2289.65</v>
      </c>
      <c r="O248" s="12" t="n">
        <f aca="false">N248*'Engineering Assumptions'!$B$11</f>
        <v>457.93</v>
      </c>
      <c r="P248" s="183" t="n">
        <f aca="false">MROUND(N248+O248,10)</f>
        <v>2750</v>
      </c>
      <c r="Q248" s="12" t="n">
        <f aca="false">'Fleet Pricing'!H248</f>
        <v>1610</v>
      </c>
      <c r="R248" s="41" t="n">
        <v>7</v>
      </c>
      <c r="S248" s="46" t="n">
        <v>1.25</v>
      </c>
      <c r="T248" s="46" t="n">
        <v>0.75</v>
      </c>
      <c r="U248" s="46" t="n">
        <v>1</v>
      </c>
    </row>
    <row r="249" customFormat="false" ht="15" hidden="false" customHeight="true" outlineLevel="0" collapsed="false">
      <c r="A249" s="9" t="n">
        <v>229</v>
      </c>
      <c r="B249" s="47" t="s">
        <v>123</v>
      </c>
      <c r="C249" s="47" t="s">
        <v>2390</v>
      </c>
      <c r="D249" s="47" t="s">
        <v>779</v>
      </c>
      <c r="E249" s="47" t="s">
        <v>780</v>
      </c>
      <c r="F249" s="45" t="s">
        <v>324</v>
      </c>
      <c r="G249" s="9" t="n">
        <v>7</v>
      </c>
      <c r="H249" s="12" t="n">
        <f aca="false">'Engineering Assumptions'!$C$33*'Engineering Assumptions'!$B$5*U249</f>
        <v>1146</v>
      </c>
      <c r="I249" s="12" t="n">
        <f aca="false">'Engineering Assumptions'!$B$8</f>
        <v>650</v>
      </c>
      <c r="J249" s="12" t="n">
        <f aca="false">'Engineering Assumptions'!$D$33*S249*U249</f>
        <v>112.5</v>
      </c>
      <c r="K249" s="12" t="n">
        <f aca="false">'Engineering Assumptions'!$E$33*T249*U249</f>
        <v>82.5</v>
      </c>
      <c r="L249" s="13" t="n">
        <f aca="false">H249+I249+J249+K249</f>
        <v>1991</v>
      </c>
      <c r="M249" s="12" t="n">
        <f aca="false">L249*'Engineering Assumptions'!$B$10</f>
        <v>298.65</v>
      </c>
      <c r="N249" s="13" t="n">
        <f aca="false">L249+M249</f>
        <v>2289.65</v>
      </c>
      <c r="O249" s="12" t="n">
        <f aca="false">N249*'Engineering Assumptions'!$B$11</f>
        <v>457.93</v>
      </c>
      <c r="P249" s="183" t="n">
        <f aca="false">MROUND(N249+O249,10)</f>
        <v>2750</v>
      </c>
      <c r="Q249" s="12" t="n">
        <f aca="false">'Fleet Pricing'!H249</f>
        <v>1610</v>
      </c>
      <c r="R249" s="41" t="n">
        <v>7</v>
      </c>
      <c r="S249" s="46" t="n">
        <v>1.25</v>
      </c>
      <c r="T249" s="46" t="n">
        <v>0.75</v>
      </c>
      <c r="U249" s="46" t="n">
        <v>1</v>
      </c>
    </row>
    <row r="250" customFormat="false" ht="15" hidden="false" customHeight="true" outlineLevel="0" collapsed="false">
      <c r="A250" s="9" t="n">
        <v>230</v>
      </c>
      <c r="B250" s="47" t="s">
        <v>123</v>
      </c>
      <c r="C250" s="47" t="s">
        <v>2390</v>
      </c>
      <c r="D250" s="47" t="s">
        <v>781</v>
      </c>
      <c r="E250" s="47" t="s">
        <v>782</v>
      </c>
      <c r="F250" s="45" t="s">
        <v>324</v>
      </c>
      <c r="G250" s="9" t="n">
        <v>7</v>
      </c>
      <c r="H250" s="12" t="n">
        <f aca="false">'Engineering Assumptions'!$C$33*'Engineering Assumptions'!$B$5*U250</f>
        <v>1146</v>
      </c>
      <c r="I250" s="12" t="n">
        <f aca="false">'Engineering Assumptions'!$B$8</f>
        <v>650</v>
      </c>
      <c r="J250" s="12" t="n">
        <f aca="false">'Engineering Assumptions'!$D$33*S250*U250</f>
        <v>112.5</v>
      </c>
      <c r="K250" s="12" t="n">
        <f aca="false">'Engineering Assumptions'!$E$33*T250*U250</f>
        <v>82.5</v>
      </c>
      <c r="L250" s="13" t="n">
        <f aca="false">H250+I250+J250+K250</f>
        <v>1991</v>
      </c>
      <c r="M250" s="12" t="n">
        <f aca="false">L250*'Engineering Assumptions'!$B$10</f>
        <v>298.65</v>
      </c>
      <c r="N250" s="13" t="n">
        <f aca="false">L250+M250</f>
        <v>2289.65</v>
      </c>
      <c r="O250" s="12" t="n">
        <f aca="false">N250*'Engineering Assumptions'!$B$11</f>
        <v>457.93</v>
      </c>
      <c r="P250" s="183" t="n">
        <f aca="false">MROUND(N250+O250,10)</f>
        <v>2750</v>
      </c>
      <c r="Q250" s="12" t="n">
        <f aca="false">'Fleet Pricing'!H250</f>
        <v>1610</v>
      </c>
      <c r="R250" s="41" t="n">
        <v>7</v>
      </c>
      <c r="S250" s="46" t="n">
        <v>1.25</v>
      </c>
      <c r="T250" s="46" t="n">
        <v>0.75</v>
      </c>
      <c r="U250" s="46" t="n">
        <v>1</v>
      </c>
    </row>
    <row r="251" customFormat="false" ht="15" hidden="false" customHeight="true" outlineLevel="0" collapsed="false">
      <c r="A251" s="9" t="n">
        <v>231</v>
      </c>
      <c r="B251" s="47" t="s">
        <v>123</v>
      </c>
      <c r="C251" s="47" t="s">
        <v>2390</v>
      </c>
      <c r="D251" s="47" t="s">
        <v>783</v>
      </c>
      <c r="E251" s="47" t="s">
        <v>784</v>
      </c>
      <c r="F251" s="45" t="s">
        <v>324</v>
      </c>
      <c r="G251" s="9" t="n">
        <v>7</v>
      </c>
      <c r="H251" s="12" t="n">
        <f aca="false">'Engineering Assumptions'!$C$33*'Engineering Assumptions'!$B$5*U251</f>
        <v>1146</v>
      </c>
      <c r="I251" s="12" t="n">
        <f aca="false">'Engineering Assumptions'!$B$8</f>
        <v>650</v>
      </c>
      <c r="J251" s="12" t="n">
        <f aca="false">'Engineering Assumptions'!$D$33*S251*U251</f>
        <v>112.5</v>
      </c>
      <c r="K251" s="12" t="n">
        <f aca="false">'Engineering Assumptions'!$E$33*T251*U251</f>
        <v>82.5</v>
      </c>
      <c r="L251" s="13" t="n">
        <f aca="false">H251+I251+J251+K251</f>
        <v>1991</v>
      </c>
      <c r="M251" s="12" t="n">
        <f aca="false">L251*'Engineering Assumptions'!$B$10</f>
        <v>298.65</v>
      </c>
      <c r="N251" s="13" t="n">
        <f aca="false">L251+M251</f>
        <v>2289.65</v>
      </c>
      <c r="O251" s="12" t="n">
        <f aca="false">N251*'Engineering Assumptions'!$B$11</f>
        <v>457.93</v>
      </c>
      <c r="P251" s="183" t="n">
        <f aca="false">MROUND(N251+O251,10)</f>
        <v>2750</v>
      </c>
      <c r="Q251" s="12" t="n">
        <f aca="false">'Fleet Pricing'!H251</f>
        <v>1610</v>
      </c>
      <c r="R251" s="41" t="n">
        <v>7</v>
      </c>
      <c r="S251" s="46" t="n">
        <v>1.25</v>
      </c>
      <c r="T251" s="46" t="n">
        <v>0.75</v>
      </c>
      <c r="U251" s="46" t="n">
        <v>1</v>
      </c>
    </row>
    <row r="252" customFormat="false" ht="23.25" hidden="false" customHeight="true" outlineLevel="0" collapsed="false">
      <c r="A252" s="9" t="n">
        <v>232</v>
      </c>
      <c r="B252" s="47" t="s">
        <v>123</v>
      </c>
      <c r="C252" s="47" t="s">
        <v>2391</v>
      </c>
      <c r="D252" s="47" t="s">
        <v>787</v>
      </c>
      <c r="E252" s="47" t="s">
        <v>789</v>
      </c>
      <c r="F252" s="45" t="s">
        <v>397</v>
      </c>
      <c r="G252" s="9" t="n">
        <v>9</v>
      </c>
      <c r="H252" s="12" t="n">
        <f aca="false">'Engineering Assumptions'!$C$33*'Engineering Assumptions'!$B$5*U252</f>
        <v>1146</v>
      </c>
      <c r="I252" s="12" t="n">
        <f aca="false">'Engineering Assumptions'!$B$8</f>
        <v>650</v>
      </c>
      <c r="J252" s="12" t="n">
        <f aca="false">'Engineering Assumptions'!$D$33*S252*U252</f>
        <v>112.5</v>
      </c>
      <c r="K252" s="12" t="n">
        <f aca="false">'Engineering Assumptions'!$E$33*T252*U252</f>
        <v>82.5</v>
      </c>
      <c r="L252" s="13" t="n">
        <f aca="false">H252+I252+J252+K252</f>
        <v>1991</v>
      </c>
      <c r="M252" s="12" t="n">
        <f aca="false">L252*'Engineering Assumptions'!$B$10</f>
        <v>298.65</v>
      </c>
      <c r="N252" s="13" t="n">
        <f aca="false">L252+M252</f>
        <v>2289.65</v>
      </c>
      <c r="O252" s="12" t="n">
        <f aca="false">N252*'Engineering Assumptions'!$B$11</f>
        <v>457.93</v>
      </c>
      <c r="P252" s="183" t="n">
        <f aca="false">MROUND(N252+O252,10)</f>
        <v>2750</v>
      </c>
      <c r="Q252" s="12" t="n">
        <f aca="false">'Fleet Pricing'!H252</f>
        <v>1610</v>
      </c>
      <c r="R252" s="41" t="n">
        <v>9</v>
      </c>
      <c r="S252" s="46" t="n">
        <v>1.25</v>
      </c>
      <c r="T252" s="46" t="n">
        <v>0.75</v>
      </c>
      <c r="U252" s="46" t="n">
        <v>1</v>
      </c>
    </row>
    <row r="253" customFormat="false" ht="15" hidden="false" customHeight="true" outlineLevel="0" collapsed="false">
      <c r="A253" s="9" t="n">
        <v>233</v>
      </c>
      <c r="B253" s="47" t="s">
        <v>123</v>
      </c>
      <c r="C253" s="47" t="s">
        <v>2390</v>
      </c>
      <c r="D253" s="47" t="s">
        <v>790</v>
      </c>
      <c r="E253" s="47" t="s">
        <v>791</v>
      </c>
      <c r="F253" s="45" t="s">
        <v>397</v>
      </c>
      <c r="G253" s="9" t="n">
        <v>9</v>
      </c>
      <c r="H253" s="12" t="n">
        <f aca="false">'Engineering Assumptions'!$C$33*'Engineering Assumptions'!$B$5*U253</f>
        <v>1146</v>
      </c>
      <c r="I253" s="12" t="n">
        <f aca="false">'Engineering Assumptions'!$B$8</f>
        <v>650</v>
      </c>
      <c r="J253" s="12" t="n">
        <f aca="false">'Engineering Assumptions'!$D$33*S253*U253</f>
        <v>112.5</v>
      </c>
      <c r="K253" s="12" t="n">
        <f aca="false">'Engineering Assumptions'!$E$33*T253*U253</f>
        <v>82.5</v>
      </c>
      <c r="L253" s="13" t="n">
        <f aca="false">H253+I253+J253+K253</f>
        <v>1991</v>
      </c>
      <c r="M253" s="12" t="n">
        <f aca="false">L253*'Engineering Assumptions'!$B$10</f>
        <v>298.65</v>
      </c>
      <c r="N253" s="13" t="n">
        <f aca="false">L253+M253</f>
        <v>2289.65</v>
      </c>
      <c r="O253" s="12" t="n">
        <f aca="false">N253*'Engineering Assumptions'!$B$11</f>
        <v>457.93</v>
      </c>
      <c r="P253" s="183" t="n">
        <f aca="false">MROUND(N253+O253,10)</f>
        <v>2750</v>
      </c>
      <c r="Q253" s="12" t="n">
        <f aca="false">'Fleet Pricing'!H253</f>
        <v>1610</v>
      </c>
      <c r="R253" s="41" t="n">
        <v>9</v>
      </c>
      <c r="S253" s="46" t="n">
        <v>1.25</v>
      </c>
      <c r="T253" s="46" t="n">
        <v>0.75</v>
      </c>
      <c r="U253" s="46" t="n">
        <v>1</v>
      </c>
    </row>
    <row r="254" customFormat="false" ht="15" hidden="false" customHeight="true" outlineLevel="0" collapsed="false">
      <c r="A254" s="9" t="n">
        <v>234</v>
      </c>
      <c r="B254" s="47" t="s">
        <v>123</v>
      </c>
      <c r="C254" s="47" t="s">
        <v>2392</v>
      </c>
      <c r="D254" s="47" t="s">
        <v>793</v>
      </c>
      <c r="E254" s="47" t="s">
        <v>795</v>
      </c>
      <c r="F254" s="45" t="s">
        <v>318</v>
      </c>
      <c r="G254" s="9" t="n">
        <v>10</v>
      </c>
      <c r="H254" s="12" t="n">
        <f aca="false">'Engineering Assumptions'!$C$33*'Engineering Assumptions'!$B$5*U254</f>
        <v>1146</v>
      </c>
      <c r="I254" s="12" t="n">
        <f aca="false">'Engineering Assumptions'!$B$8</f>
        <v>650</v>
      </c>
      <c r="J254" s="12" t="n">
        <f aca="false">'Engineering Assumptions'!$D$33*S254*U254</f>
        <v>112.5</v>
      </c>
      <c r="K254" s="12" t="n">
        <f aca="false">'Engineering Assumptions'!$E$33*T254*U254</f>
        <v>82.5</v>
      </c>
      <c r="L254" s="13" t="n">
        <f aca="false">H254+I254+J254+K254</f>
        <v>1991</v>
      </c>
      <c r="M254" s="12" t="n">
        <f aca="false">L254*'Engineering Assumptions'!$B$10</f>
        <v>298.65</v>
      </c>
      <c r="N254" s="13" t="n">
        <f aca="false">L254+M254</f>
        <v>2289.65</v>
      </c>
      <c r="O254" s="12" t="n">
        <f aca="false">N254*'Engineering Assumptions'!$B$11</f>
        <v>457.93</v>
      </c>
      <c r="P254" s="183" t="n">
        <f aca="false">MROUND(N254+O254,10)</f>
        <v>2750</v>
      </c>
      <c r="Q254" s="12" t="n">
        <f aca="false">'Fleet Pricing'!H254</f>
        <v>1610</v>
      </c>
      <c r="R254" s="41" t="n">
        <v>10</v>
      </c>
      <c r="S254" s="46" t="n">
        <v>1.25</v>
      </c>
      <c r="T254" s="46" t="n">
        <v>0.75</v>
      </c>
      <c r="U254" s="46" t="n">
        <v>1</v>
      </c>
    </row>
    <row r="255" customFormat="false" ht="23.25" hidden="false" customHeight="true" outlineLevel="0" collapsed="false">
      <c r="A255" s="9" t="n">
        <v>235</v>
      </c>
      <c r="B255" s="47" t="s">
        <v>123</v>
      </c>
      <c r="C255" s="47" t="s">
        <v>2393</v>
      </c>
      <c r="D255" s="47" t="s">
        <v>796</v>
      </c>
      <c r="E255" s="47" t="s">
        <v>798</v>
      </c>
      <c r="F255" s="45" t="s">
        <v>315</v>
      </c>
      <c r="G255" s="9" t="n">
        <v>11</v>
      </c>
      <c r="H255" s="12" t="n">
        <f aca="false">'Engineering Assumptions'!$C$33*'Engineering Assumptions'!$B$5*U255</f>
        <v>1146</v>
      </c>
      <c r="I255" s="12" t="n">
        <f aca="false">'Engineering Assumptions'!$B$8</f>
        <v>650</v>
      </c>
      <c r="J255" s="12" t="n">
        <f aca="false">'Engineering Assumptions'!$D$33*S255*U255</f>
        <v>139.5</v>
      </c>
      <c r="K255" s="12" t="n">
        <f aca="false">'Engineering Assumptions'!$E$33*T255*U255</f>
        <v>148.5</v>
      </c>
      <c r="L255" s="13" t="n">
        <f aca="false">H255+I255+J255+K255</f>
        <v>2084</v>
      </c>
      <c r="M255" s="12" t="n">
        <f aca="false">L255*'Engineering Assumptions'!$B$10</f>
        <v>312.6</v>
      </c>
      <c r="N255" s="13" t="n">
        <f aca="false">L255+M255</f>
        <v>2396.6</v>
      </c>
      <c r="O255" s="12" t="n">
        <f aca="false">N255*'Engineering Assumptions'!$B$11</f>
        <v>479.32</v>
      </c>
      <c r="P255" s="183" t="n">
        <f aca="false">MROUND(N255+O255,10)</f>
        <v>2880</v>
      </c>
      <c r="Q255" s="12" t="n">
        <f aca="false">'Fleet Pricing'!H255</f>
        <v>1610</v>
      </c>
      <c r="R255" s="41" t="n">
        <v>11</v>
      </c>
      <c r="S255" s="46" t="n">
        <v>1.55</v>
      </c>
      <c r="T255" s="46" t="n">
        <v>1.35</v>
      </c>
      <c r="U255" s="46" t="n">
        <v>1</v>
      </c>
    </row>
    <row r="256" customFormat="false" ht="15" hidden="false" customHeight="true" outlineLevel="0" collapsed="false">
      <c r="A256" s="9" t="n">
        <v>236</v>
      </c>
      <c r="B256" s="47" t="s">
        <v>123</v>
      </c>
      <c r="C256" s="47" t="s">
        <v>2390</v>
      </c>
      <c r="D256" s="47" t="s">
        <v>799</v>
      </c>
      <c r="E256" s="47" t="s">
        <v>800</v>
      </c>
      <c r="F256" s="45" t="s">
        <v>310</v>
      </c>
      <c r="G256" s="9" t="n">
        <v>14</v>
      </c>
      <c r="H256" s="12" t="n">
        <f aca="false">'Engineering Assumptions'!$C$33*'Engineering Assumptions'!$B$5*U256</f>
        <v>1146</v>
      </c>
      <c r="I256" s="12" t="n">
        <f aca="false">'Engineering Assumptions'!$B$8</f>
        <v>650</v>
      </c>
      <c r="J256" s="12" t="n">
        <f aca="false">'Engineering Assumptions'!$D$33*S256*U256</f>
        <v>139.5</v>
      </c>
      <c r="K256" s="12" t="n">
        <f aca="false">'Engineering Assumptions'!$E$33*T256*U256</f>
        <v>148.5</v>
      </c>
      <c r="L256" s="13" t="n">
        <f aca="false">H256+I256+J256+K256</f>
        <v>2084</v>
      </c>
      <c r="M256" s="12" t="n">
        <f aca="false">L256*'Engineering Assumptions'!$B$10</f>
        <v>312.6</v>
      </c>
      <c r="N256" s="13" t="n">
        <f aca="false">L256+M256</f>
        <v>2396.6</v>
      </c>
      <c r="O256" s="12" t="n">
        <f aca="false">N256*'Engineering Assumptions'!$B$11</f>
        <v>479.32</v>
      </c>
      <c r="P256" s="183" t="n">
        <f aca="false">MROUND(N256+O256,10)</f>
        <v>2880</v>
      </c>
      <c r="Q256" s="12" t="n">
        <f aca="false">'Fleet Pricing'!H256</f>
        <v>1440</v>
      </c>
      <c r="R256" s="41" t="n">
        <v>14</v>
      </c>
      <c r="S256" s="46" t="n">
        <v>1.55</v>
      </c>
      <c r="T256" s="46" t="n">
        <v>1.35</v>
      </c>
      <c r="U256" s="46" t="n">
        <v>1</v>
      </c>
    </row>
    <row r="257" customFormat="false" ht="23.25" hidden="false" customHeight="true" outlineLevel="0" collapsed="false">
      <c r="A257" s="9" t="n">
        <v>237</v>
      </c>
      <c r="B257" s="47" t="s">
        <v>123</v>
      </c>
      <c r="C257" s="47" t="s">
        <v>2393</v>
      </c>
      <c r="D257" s="47" t="s">
        <v>801</v>
      </c>
      <c r="E257" s="47" t="s">
        <v>802</v>
      </c>
      <c r="F257" s="45" t="s">
        <v>748</v>
      </c>
      <c r="G257" s="9" t="n">
        <v>15</v>
      </c>
      <c r="H257" s="12" t="n">
        <f aca="false">'Engineering Assumptions'!$C$33*'Engineering Assumptions'!$B$5*U257</f>
        <v>1146</v>
      </c>
      <c r="I257" s="12" t="n">
        <f aca="false">'Engineering Assumptions'!$B$8</f>
        <v>650</v>
      </c>
      <c r="J257" s="12" t="n">
        <f aca="false">'Engineering Assumptions'!$D$33*S257*U257</f>
        <v>139.5</v>
      </c>
      <c r="K257" s="12" t="n">
        <f aca="false">'Engineering Assumptions'!$E$33*T257*U257</f>
        <v>148.5</v>
      </c>
      <c r="L257" s="13" t="n">
        <f aca="false">H257+I257+J257+K257</f>
        <v>2084</v>
      </c>
      <c r="M257" s="12" t="n">
        <f aca="false">L257*'Engineering Assumptions'!$B$10</f>
        <v>312.6</v>
      </c>
      <c r="N257" s="13" t="n">
        <f aca="false">L257+M257</f>
        <v>2396.6</v>
      </c>
      <c r="O257" s="12" t="n">
        <f aca="false">N257*'Engineering Assumptions'!$B$11</f>
        <v>479.32</v>
      </c>
      <c r="P257" s="183" t="n">
        <f aca="false">MROUND(N257+O257,10)</f>
        <v>2880</v>
      </c>
      <c r="Q257" s="12" t="n">
        <f aca="false">'Fleet Pricing'!H257</f>
        <v>1440</v>
      </c>
      <c r="R257" s="41" t="n">
        <v>15</v>
      </c>
      <c r="S257" s="46" t="n">
        <v>1.55</v>
      </c>
      <c r="T257" s="46" t="n">
        <v>1.35</v>
      </c>
      <c r="U257" s="46" t="n">
        <v>1</v>
      </c>
    </row>
    <row r="258" customFormat="false" ht="15" hidden="false" customHeight="true" outlineLevel="0" collapsed="false">
      <c r="A258" s="9" t="n">
        <v>238</v>
      </c>
      <c r="B258" s="47" t="s">
        <v>123</v>
      </c>
      <c r="C258" s="47" t="s">
        <v>2394</v>
      </c>
      <c r="D258" s="47" t="s">
        <v>803</v>
      </c>
      <c r="E258" s="47" t="s">
        <v>805</v>
      </c>
      <c r="F258" s="45" t="s">
        <v>623</v>
      </c>
      <c r="G258" s="9" t="n">
        <v>18</v>
      </c>
      <c r="H258" s="12" t="n">
        <f aca="false">'Engineering Assumptions'!$C$33*'Engineering Assumptions'!$B$5*U258</f>
        <v>1146</v>
      </c>
      <c r="I258" s="12" t="n">
        <f aca="false">'Engineering Assumptions'!$B$8</f>
        <v>650</v>
      </c>
      <c r="J258" s="12" t="n">
        <f aca="false">'Engineering Assumptions'!$D$33*S258*U258</f>
        <v>175.5</v>
      </c>
      <c r="K258" s="12" t="n">
        <f aca="false">'Engineering Assumptions'!$E$33*T258*U258</f>
        <v>231</v>
      </c>
      <c r="L258" s="13" t="n">
        <f aca="false">H258+I258+J258+K258</f>
        <v>2202.5</v>
      </c>
      <c r="M258" s="12" t="n">
        <f aca="false">L258*'Engineering Assumptions'!$B$10</f>
        <v>330.375</v>
      </c>
      <c r="N258" s="13" t="n">
        <f aca="false">L258+M258</f>
        <v>2532.875</v>
      </c>
      <c r="O258" s="12" t="n">
        <f aca="false">N258*'Engineering Assumptions'!$B$11</f>
        <v>506.575</v>
      </c>
      <c r="P258" s="183" t="n">
        <f aca="false">MROUND(N258+O258,10)</f>
        <v>3040</v>
      </c>
      <c r="Q258" s="12" t="n">
        <f aca="false">'Fleet Pricing'!H258</f>
        <v>1260</v>
      </c>
      <c r="R258" s="41" t="n">
        <v>18</v>
      </c>
      <c r="S258" s="46" t="n">
        <v>1.95</v>
      </c>
      <c r="T258" s="46" t="n">
        <v>2.1</v>
      </c>
      <c r="U258" s="46" t="n">
        <v>1</v>
      </c>
    </row>
    <row r="259" customFormat="false" ht="15" hidden="false" customHeight="true" outlineLevel="0" collapsed="false">
      <c r="A259" s="9" t="n">
        <v>239</v>
      </c>
      <c r="B259" s="47" t="s">
        <v>123</v>
      </c>
      <c r="C259" s="47" t="s">
        <v>2395</v>
      </c>
      <c r="D259" s="47" t="s">
        <v>806</v>
      </c>
      <c r="E259" s="47" t="s">
        <v>808</v>
      </c>
      <c r="F259" s="45" t="s">
        <v>623</v>
      </c>
      <c r="G259" s="9" t="n">
        <v>18</v>
      </c>
      <c r="H259" s="12" t="n">
        <f aca="false">'Engineering Assumptions'!$C$33*'Engineering Assumptions'!$B$5*U259</f>
        <v>1146</v>
      </c>
      <c r="I259" s="12" t="n">
        <f aca="false">'Engineering Assumptions'!$B$8</f>
        <v>650</v>
      </c>
      <c r="J259" s="12" t="n">
        <f aca="false">'Engineering Assumptions'!$D$33*S259*U259</f>
        <v>175.5</v>
      </c>
      <c r="K259" s="12" t="n">
        <f aca="false">'Engineering Assumptions'!$E$33*T259*U259</f>
        <v>231</v>
      </c>
      <c r="L259" s="13" t="n">
        <f aca="false">H259+I259+J259+K259</f>
        <v>2202.5</v>
      </c>
      <c r="M259" s="12" t="n">
        <f aca="false">L259*'Engineering Assumptions'!$B$10</f>
        <v>330.375</v>
      </c>
      <c r="N259" s="13" t="n">
        <f aca="false">L259+M259</f>
        <v>2532.875</v>
      </c>
      <c r="O259" s="12" t="n">
        <f aca="false">N259*'Engineering Assumptions'!$B$11</f>
        <v>506.575</v>
      </c>
      <c r="P259" s="183" t="n">
        <f aca="false">MROUND(N259+O259,10)</f>
        <v>3040</v>
      </c>
      <c r="Q259" s="12" t="n">
        <f aca="false">'Fleet Pricing'!H259</f>
        <v>1260</v>
      </c>
      <c r="R259" s="41" t="n">
        <v>18</v>
      </c>
      <c r="S259" s="46" t="n">
        <v>1.95</v>
      </c>
      <c r="T259" s="46" t="n">
        <v>2.1</v>
      </c>
      <c r="U259" s="46" t="n">
        <v>1</v>
      </c>
    </row>
    <row r="260" customFormat="false" ht="15" hidden="false" customHeight="true" outlineLevel="0" collapsed="false">
      <c r="A260" s="9" t="n">
        <v>240</v>
      </c>
      <c r="B260" s="47" t="s">
        <v>123</v>
      </c>
      <c r="C260" s="47" t="s">
        <v>2395</v>
      </c>
      <c r="D260" s="47" t="s">
        <v>809</v>
      </c>
      <c r="E260" s="47" t="s">
        <v>811</v>
      </c>
      <c r="F260" s="45" t="s">
        <v>810</v>
      </c>
      <c r="G260" s="9" t="n">
        <v>19</v>
      </c>
      <c r="H260" s="12" t="n">
        <f aca="false">'Engineering Assumptions'!$C$33*'Engineering Assumptions'!$B$5*U260</f>
        <v>1146</v>
      </c>
      <c r="I260" s="12" t="n">
        <f aca="false">'Engineering Assumptions'!$B$8</f>
        <v>650</v>
      </c>
      <c r="J260" s="12" t="n">
        <f aca="false">'Engineering Assumptions'!$D$33*S260*U260</f>
        <v>175.5</v>
      </c>
      <c r="K260" s="12" t="n">
        <f aca="false">'Engineering Assumptions'!$E$33*T260*U260</f>
        <v>231</v>
      </c>
      <c r="L260" s="13" t="n">
        <f aca="false">H260+I260+J260+K260</f>
        <v>2202.5</v>
      </c>
      <c r="M260" s="12" t="n">
        <f aca="false">L260*'Engineering Assumptions'!$B$10</f>
        <v>330.375</v>
      </c>
      <c r="N260" s="13" t="n">
        <f aca="false">L260+M260</f>
        <v>2532.875</v>
      </c>
      <c r="O260" s="12" t="n">
        <f aca="false">N260*'Engineering Assumptions'!$B$11</f>
        <v>506.575</v>
      </c>
      <c r="P260" s="183" t="n">
        <f aca="false">MROUND(N260+O260,10)</f>
        <v>3040</v>
      </c>
      <c r="Q260" s="12" t="n">
        <f aca="false">'Fleet Pricing'!H260</f>
        <v>1260</v>
      </c>
      <c r="R260" s="41" t="n">
        <v>19</v>
      </c>
      <c r="S260" s="46" t="n">
        <v>1.95</v>
      </c>
      <c r="T260" s="46" t="n">
        <v>2.1</v>
      </c>
      <c r="U260" s="46" t="n">
        <v>1</v>
      </c>
    </row>
    <row r="261" customFormat="false" ht="15" hidden="false" customHeight="true" outlineLevel="0" collapsed="false">
      <c r="A261" s="9" t="n">
        <v>241</v>
      </c>
      <c r="B261" s="47" t="s">
        <v>123</v>
      </c>
      <c r="C261" s="47" t="s">
        <v>2390</v>
      </c>
      <c r="D261" s="47" t="s">
        <v>812</v>
      </c>
      <c r="E261" s="47" t="s">
        <v>813</v>
      </c>
      <c r="F261" s="45" t="s">
        <v>810</v>
      </c>
      <c r="G261" s="9" t="n">
        <v>19</v>
      </c>
      <c r="H261" s="12" t="n">
        <f aca="false">'Engineering Assumptions'!$C$33*'Engineering Assumptions'!$B$5*U261</f>
        <v>1146</v>
      </c>
      <c r="I261" s="12" t="n">
        <f aca="false">'Engineering Assumptions'!$B$8</f>
        <v>650</v>
      </c>
      <c r="J261" s="12" t="n">
        <f aca="false">'Engineering Assumptions'!$D$33*S261*U261</f>
        <v>175.5</v>
      </c>
      <c r="K261" s="12" t="n">
        <f aca="false">'Engineering Assumptions'!$E$33*T261*U261</f>
        <v>231</v>
      </c>
      <c r="L261" s="13" t="n">
        <f aca="false">H261+I261+J261+K261</f>
        <v>2202.5</v>
      </c>
      <c r="M261" s="12" t="n">
        <f aca="false">L261*'Engineering Assumptions'!$B$10</f>
        <v>330.375</v>
      </c>
      <c r="N261" s="13" t="n">
        <f aca="false">L261+M261</f>
        <v>2532.875</v>
      </c>
      <c r="O261" s="12" t="n">
        <f aca="false">N261*'Engineering Assumptions'!$B$11</f>
        <v>506.575</v>
      </c>
      <c r="P261" s="183" t="n">
        <f aca="false">MROUND(N261+O261,10)</f>
        <v>3040</v>
      </c>
      <c r="Q261" s="12" t="n">
        <f aca="false">'Fleet Pricing'!H261</f>
        <v>1260</v>
      </c>
      <c r="R261" s="41" t="n">
        <v>19</v>
      </c>
      <c r="S261" s="46" t="n">
        <v>1.95</v>
      </c>
      <c r="T261" s="46" t="n">
        <v>2.1</v>
      </c>
      <c r="U261" s="46" t="n">
        <v>1</v>
      </c>
    </row>
    <row r="262" customFormat="false" ht="15" hidden="false" customHeight="true" outlineLevel="0" collapsed="false">
      <c r="A262" s="9" t="n">
        <v>242</v>
      </c>
      <c r="B262" s="47" t="s">
        <v>123</v>
      </c>
      <c r="C262" s="47" t="s">
        <v>2396</v>
      </c>
      <c r="D262" s="47" t="s">
        <v>814</v>
      </c>
      <c r="E262" s="47" t="s">
        <v>816</v>
      </c>
      <c r="F262" s="45" t="s">
        <v>810</v>
      </c>
      <c r="G262" s="9" t="n">
        <v>19</v>
      </c>
      <c r="H262" s="12" t="n">
        <f aca="false">'Engineering Assumptions'!$C$33*'Engineering Assumptions'!$B$5*U262</f>
        <v>1146</v>
      </c>
      <c r="I262" s="12" t="n">
        <f aca="false">'Engineering Assumptions'!$B$8</f>
        <v>650</v>
      </c>
      <c r="J262" s="12" t="n">
        <f aca="false">'Engineering Assumptions'!$D$33*S262*U262</f>
        <v>175.5</v>
      </c>
      <c r="K262" s="12" t="n">
        <f aca="false">'Engineering Assumptions'!$E$33*T262*U262</f>
        <v>231</v>
      </c>
      <c r="L262" s="13" t="n">
        <f aca="false">H262+I262+J262+K262</f>
        <v>2202.5</v>
      </c>
      <c r="M262" s="12" t="n">
        <f aca="false">L262*'Engineering Assumptions'!$B$10</f>
        <v>330.375</v>
      </c>
      <c r="N262" s="13" t="n">
        <f aca="false">L262+M262</f>
        <v>2532.875</v>
      </c>
      <c r="O262" s="12" t="n">
        <f aca="false">N262*'Engineering Assumptions'!$B$11</f>
        <v>506.575</v>
      </c>
      <c r="P262" s="183" t="n">
        <f aca="false">MROUND(N262+O262,10)</f>
        <v>3040</v>
      </c>
      <c r="Q262" s="12" t="n">
        <f aca="false">'Fleet Pricing'!H262</f>
        <v>1260</v>
      </c>
      <c r="R262" s="41" t="n">
        <v>19</v>
      </c>
      <c r="S262" s="46" t="n">
        <v>1.95</v>
      </c>
      <c r="T262" s="46" t="n">
        <v>2.1</v>
      </c>
      <c r="U262" s="46" t="n">
        <v>1</v>
      </c>
    </row>
    <row r="263" customFormat="false" ht="15" hidden="false" customHeight="true" outlineLevel="0" collapsed="false">
      <c r="A263" s="9" t="n">
        <v>243</v>
      </c>
      <c r="B263" s="47" t="s">
        <v>123</v>
      </c>
      <c r="C263" s="47" t="s">
        <v>2390</v>
      </c>
      <c r="D263" s="47" t="s">
        <v>817</v>
      </c>
      <c r="E263" s="47" t="s">
        <v>818</v>
      </c>
      <c r="F263" s="45" t="s">
        <v>729</v>
      </c>
      <c r="G263" s="9" t="n">
        <v>21</v>
      </c>
      <c r="H263" s="12" t="n">
        <f aca="false">'Engineering Assumptions'!$C$33*'Engineering Assumptions'!$B$5*U263</f>
        <v>1146</v>
      </c>
      <c r="I263" s="12" t="n">
        <f aca="false">'Engineering Assumptions'!$B$8</f>
        <v>650</v>
      </c>
      <c r="J263" s="12" t="n">
        <f aca="false">'Engineering Assumptions'!$D$33*S263*U263</f>
        <v>216</v>
      </c>
      <c r="K263" s="12" t="n">
        <f aca="false">'Engineering Assumptions'!$E$33*T263*U263</f>
        <v>330</v>
      </c>
      <c r="L263" s="13" t="n">
        <f aca="false">H263+I263+J263+K263</f>
        <v>2342</v>
      </c>
      <c r="M263" s="12" t="n">
        <f aca="false">L263*'Engineering Assumptions'!$B$10</f>
        <v>351.3</v>
      </c>
      <c r="N263" s="13" t="n">
        <f aca="false">L263+M263</f>
        <v>2693.3</v>
      </c>
      <c r="O263" s="12" t="n">
        <f aca="false">N263*'Engineering Assumptions'!$B$11</f>
        <v>538.66</v>
      </c>
      <c r="P263" s="183" t="n">
        <f aca="false">MROUND(N263+O263,10)</f>
        <v>3230</v>
      </c>
      <c r="Q263" s="12" t="n">
        <f aca="false">'Fleet Pricing'!H263</f>
        <v>1260</v>
      </c>
      <c r="R263" s="41" t="n">
        <v>21</v>
      </c>
      <c r="S263" s="46" t="n">
        <v>2.4</v>
      </c>
      <c r="T263" s="46" t="n">
        <v>3</v>
      </c>
      <c r="U263" s="46" t="n">
        <v>1</v>
      </c>
    </row>
    <row r="264" customFormat="false" ht="23.25" hidden="false" customHeight="true" outlineLevel="0" collapsed="false">
      <c r="A264" s="9" t="n">
        <v>244</v>
      </c>
      <c r="B264" s="47" t="s">
        <v>123</v>
      </c>
      <c r="C264" s="47" t="s">
        <v>2397</v>
      </c>
      <c r="D264" s="47" t="s">
        <v>820</v>
      </c>
      <c r="E264" s="47" t="s">
        <v>822</v>
      </c>
      <c r="F264" s="45" t="s">
        <v>729</v>
      </c>
      <c r="G264" s="9" t="n">
        <v>21</v>
      </c>
      <c r="H264" s="12" t="n">
        <f aca="false">'Engineering Assumptions'!$C$33*'Engineering Assumptions'!$B$5*U264</f>
        <v>1146</v>
      </c>
      <c r="I264" s="12" t="n">
        <f aca="false">'Engineering Assumptions'!$B$8</f>
        <v>650</v>
      </c>
      <c r="J264" s="12" t="n">
        <f aca="false">'Engineering Assumptions'!$D$33*S264*U264</f>
        <v>216</v>
      </c>
      <c r="K264" s="12" t="n">
        <f aca="false">'Engineering Assumptions'!$E$33*T264*U264</f>
        <v>330</v>
      </c>
      <c r="L264" s="13" t="n">
        <f aca="false">H264+I264+J264+K264</f>
        <v>2342</v>
      </c>
      <c r="M264" s="12" t="n">
        <f aca="false">L264*'Engineering Assumptions'!$B$10</f>
        <v>351.3</v>
      </c>
      <c r="N264" s="13" t="n">
        <f aca="false">L264+M264</f>
        <v>2693.3</v>
      </c>
      <c r="O264" s="12" t="n">
        <f aca="false">N264*'Engineering Assumptions'!$B$11</f>
        <v>538.66</v>
      </c>
      <c r="P264" s="183" t="n">
        <f aca="false">MROUND(N264+O264,10)</f>
        <v>3230</v>
      </c>
      <c r="Q264" s="12" t="n">
        <f aca="false">'Fleet Pricing'!H264</f>
        <v>1260</v>
      </c>
      <c r="R264" s="41" t="n">
        <v>21</v>
      </c>
      <c r="S264" s="46" t="n">
        <v>2.4</v>
      </c>
      <c r="T264" s="46" t="n">
        <v>3</v>
      </c>
      <c r="U264" s="46" t="n">
        <v>1</v>
      </c>
    </row>
    <row r="265" customFormat="false" ht="15" hidden="false" customHeight="true" outlineLevel="0" collapsed="false">
      <c r="A265" s="9" t="n">
        <v>245</v>
      </c>
      <c r="B265" s="47" t="s">
        <v>123</v>
      </c>
      <c r="C265" s="47" t="s">
        <v>2394</v>
      </c>
      <c r="D265" s="47" t="s">
        <v>823</v>
      </c>
      <c r="E265" s="47" t="s">
        <v>824</v>
      </c>
      <c r="F265" s="45" t="s">
        <v>423</v>
      </c>
      <c r="G265" s="9" t="n">
        <v>23</v>
      </c>
      <c r="H265" s="12" t="n">
        <f aca="false">'Engineering Assumptions'!$C$33*'Engineering Assumptions'!$B$5*U265</f>
        <v>1146</v>
      </c>
      <c r="I265" s="12" t="n">
        <f aca="false">'Engineering Assumptions'!$B$8</f>
        <v>650</v>
      </c>
      <c r="J265" s="12" t="n">
        <f aca="false">'Engineering Assumptions'!$D$33*S265*U265</f>
        <v>216</v>
      </c>
      <c r="K265" s="12" t="n">
        <f aca="false">'Engineering Assumptions'!$E$33*T265*U265</f>
        <v>330</v>
      </c>
      <c r="L265" s="13" t="n">
        <f aca="false">H265+I265+J265+K265</f>
        <v>2342</v>
      </c>
      <c r="M265" s="12" t="n">
        <f aca="false">L265*'Engineering Assumptions'!$B$10</f>
        <v>351.3</v>
      </c>
      <c r="N265" s="13" t="n">
        <f aca="false">L265+M265</f>
        <v>2693.3</v>
      </c>
      <c r="O265" s="12" t="n">
        <f aca="false">N265*'Engineering Assumptions'!$B$11</f>
        <v>538.66</v>
      </c>
      <c r="P265" s="183" t="n">
        <f aca="false">MROUND(N265+O265,10)</f>
        <v>3230</v>
      </c>
      <c r="Q265" s="12" t="n">
        <f aca="false">'Fleet Pricing'!H265</f>
        <v>1140</v>
      </c>
      <c r="R265" s="41" t="n">
        <v>23</v>
      </c>
      <c r="S265" s="46" t="n">
        <v>2.4</v>
      </c>
      <c r="T265" s="46" t="n">
        <v>3</v>
      </c>
      <c r="U265" s="46" t="n">
        <v>1</v>
      </c>
    </row>
    <row r="266" customFormat="false" ht="15" hidden="false" customHeight="true" outlineLevel="0" collapsed="false">
      <c r="A266" s="9" t="n">
        <v>246</v>
      </c>
      <c r="B266" s="47" t="s">
        <v>123</v>
      </c>
      <c r="C266" s="47" t="s">
        <v>2398</v>
      </c>
      <c r="D266" s="47" t="s">
        <v>825</v>
      </c>
      <c r="E266" s="47" t="s">
        <v>827</v>
      </c>
      <c r="F266" s="45" t="s">
        <v>362</v>
      </c>
      <c r="G266" s="9" t="n">
        <v>27</v>
      </c>
      <c r="H266" s="12" t="n">
        <f aca="false">'Engineering Assumptions'!$C$33*'Engineering Assumptions'!$B$5*U266</f>
        <v>1146</v>
      </c>
      <c r="I266" s="12" t="n">
        <f aca="false">'Engineering Assumptions'!$B$8</f>
        <v>650</v>
      </c>
      <c r="J266" s="12" t="n">
        <f aca="false">'Engineering Assumptions'!$D$33*S266*U266</f>
        <v>216</v>
      </c>
      <c r="K266" s="12" t="n">
        <f aca="false">'Engineering Assumptions'!$E$33*T266*U266</f>
        <v>330</v>
      </c>
      <c r="L266" s="13" t="n">
        <f aca="false">H266+I266+J266+K266</f>
        <v>2342</v>
      </c>
      <c r="M266" s="12" t="n">
        <f aca="false">L266*'Engineering Assumptions'!$B$10</f>
        <v>351.3</v>
      </c>
      <c r="N266" s="13" t="n">
        <f aca="false">L266+M266</f>
        <v>2693.3</v>
      </c>
      <c r="O266" s="12" t="n">
        <f aca="false">N266*'Engineering Assumptions'!$B$11</f>
        <v>538.66</v>
      </c>
      <c r="P266" s="183" t="n">
        <f aca="false">MROUND(N266+O266,10)</f>
        <v>3230</v>
      </c>
      <c r="Q266" s="12" t="n">
        <f aca="false">'Fleet Pricing'!H266</f>
        <v>1020</v>
      </c>
      <c r="R266" s="41" t="n">
        <v>27</v>
      </c>
      <c r="S266" s="46" t="n">
        <v>2.4</v>
      </c>
      <c r="T266" s="46" t="n">
        <v>3</v>
      </c>
      <c r="U266" s="46" t="n">
        <v>1</v>
      </c>
    </row>
    <row r="267" customFormat="false" ht="15" hidden="false" customHeight="true" outlineLevel="0" collapsed="false">
      <c r="A267" s="9" t="n">
        <v>247</v>
      </c>
      <c r="B267" s="47" t="s">
        <v>123</v>
      </c>
      <c r="C267" s="47" t="s">
        <v>2399</v>
      </c>
      <c r="D267" s="47" t="s">
        <v>828</v>
      </c>
      <c r="E267" s="47" t="s">
        <v>830</v>
      </c>
      <c r="F267" s="45" t="s">
        <v>829</v>
      </c>
      <c r="G267" s="9" t="n">
        <v>29</v>
      </c>
      <c r="H267" s="12" t="n">
        <f aca="false">'Engineering Assumptions'!$C$33*'Engineering Assumptions'!$B$5*U267</f>
        <v>1146</v>
      </c>
      <c r="I267" s="12" t="n">
        <f aca="false">'Engineering Assumptions'!$B$8</f>
        <v>650</v>
      </c>
      <c r="J267" s="12" t="n">
        <f aca="false">'Engineering Assumptions'!$D$33*S267*U267</f>
        <v>216</v>
      </c>
      <c r="K267" s="12" t="n">
        <f aca="false">'Engineering Assumptions'!$E$33*T267*U267</f>
        <v>330</v>
      </c>
      <c r="L267" s="13" t="n">
        <f aca="false">H267+I267+J267+K267</f>
        <v>2342</v>
      </c>
      <c r="M267" s="12" t="n">
        <f aca="false">L267*'Engineering Assumptions'!$B$10</f>
        <v>351.3</v>
      </c>
      <c r="N267" s="13" t="n">
        <f aca="false">L267+M267</f>
        <v>2693.3</v>
      </c>
      <c r="O267" s="12" t="n">
        <f aca="false">N267*'Engineering Assumptions'!$B$11</f>
        <v>538.66</v>
      </c>
      <c r="P267" s="183" t="n">
        <f aca="false">MROUND(N267+O267,10)</f>
        <v>3230</v>
      </c>
      <c r="Q267" s="12" t="n">
        <f aca="false">'Fleet Pricing'!H267</f>
        <v>1020</v>
      </c>
      <c r="R267" s="41" t="n">
        <v>29</v>
      </c>
      <c r="S267" s="46" t="n">
        <v>2.4</v>
      </c>
      <c r="T267" s="46" t="n">
        <v>3</v>
      </c>
      <c r="U267" s="46" t="n">
        <v>1</v>
      </c>
    </row>
    <row r="268" customFormat="false" ht="15" hidden="false" customHeight="true" outlineLevel="0" collapsed="false">
      <c r="A268" s="9" t="n">
        <v>248</v>
      </c>
      <c r="B268" s="47" t="s">
        <v>123</v>
      </c>
      <c r="C268" s="47" t="s">
        <v>2400</v>
      </c>
      <c r="D268" s="47" t="s">
        <v>832</v>
      </c>
      <c r="E268" s="47" t="s">
        <v>834</v>
      </c>
      <c r="F268" s="45" t="s">
        <v>833</v>
      </c>
      <c r="G268" s="9" t="n">
        <v>41</v>
      </c>
      <c r="H268" s="12" t="n">
        <f aca="false">'Engineering Assumptions'!$C$33*'Engineering Assumptions'!$B$5*U268</f>
        <v>1146</v>
      </c>
      <c r="I268" s="12" t="n">
        <f aca="false">'Engineering Assumptions'!$B$8</f>
        <v>650</v>
      </c>
      <c r="J268" s="12" t="n">
        <f aca="false">'Engineering Assumptions'!$D$33*S268*U268</f>
        <v>216</v>
      </c>
      <c r="K268" s="12" t="n">
        <f aca="false">'Engineering Assumptions'!$E$33*T268*U268</f>
        <v>330</v>
      </c>
      <c r="L268" s="13" t="n">
        <f aca="false">H268+I268+J268+K268</f>
        <v>2342</v>
      </c>
      <c r="M268" s="12" t="n">
        <f aca="false">L268*'Engineering Assumptions'!$B$10</f>
        <v>351.3</v>
      </c>
      <c r="N268" s="13" t="n">
        <f aca="false">L268+M268</f>
        <v>2693.3</v>
      </c>
      <c r="O268" s="12" t="n">
        <f aca="false">N268*'Engineering Assumptions'!$B$11</f>
        <v>538.66</v>
      </c>
      <c r="P268" s="183" t="n">
        <f aca="false">MROUND(N268+O268,10)</f>
        <v>3230</v>
      </c>
      <c r="Q268" s="12" t="n">
        <f aca="false">'Fleet Pricing'!H268</f>
        <v>1020</v>
      </c>
      <c r="R268" s="41" t="n">
        <v>41</v>
      </c>
      <c r="S268" s="46" t="n">
        <v>2.4</v>
      </c>
      <c r="T268" s="46" t="n">
        <v>3</v>
      </c>
      <c r="U268" s="46" t="n">
        <v>1</v>
      </c>
    </row>
    <row r="269" customFormat="false" ht="15" hidden="false" customHeight="true" outlineLevel="0" collapsed="false">
      <c r="A269" s="9" t="n">
        <v>249</v>
      </c>
      <c r="B269" s="47" t="s">
        <v>123</v>
      </c>
      <c r="C269" s="47" t="s">
        <v>2400</v>
      </c>
      <c r="D269" s="47" t="s">
        <v>835</v>
      </c>
      <c r="E269" s="47" t="s">
        <v>836</v>
      </c>
      <c r="F269" s="45" t="s">
        <v>472</v>
      </c>
      <c r="G269" s="9" t="n">
        <v>30</v>
      </c>
      <c r="H269" s="12" t="n">
        <f aca="false">'Engineering Assumptions'!$C$33*'Engineering Assumptions'!$B$5*U269</f>
        <v>1146</v>
      </c>
      <c r="I269" s="12" t="n">
        <f aca="false">'Engineering Assumptions'!$B$8</f>
        <v>650</v>
      </c>
      <c r="J269" s="12" t="n">
        <f aca="false">'Engineering Assumptions'!$D$33*S269*U269</f>
        <v>216</v>
      </c>
      <c r="K269" s="12" t="n">
        <f aca="false">'Engineering Assumptions'!$E$33*T269*U269</f>
        <v>330</v>
      </c>
      <c r="L269" s="13" t="n">
        <f aca="false">H269+I269+J269+K269</f>
        <v>2342</v>
      </c>
      <c r="M269" s="12" t="n">
        <f aca="false">L269*'Engineering Assumptions'!$B$10</f>
        <v>351.3</v>
      </c>
      <c r="N269" s="13" t="n">
        <f aca="false">L269+M269</f>
        <v>2693.3</v>
      </c>
      <c r="O269" s="12" t="n">
        <f aca="false">N269*'Engineering Assumptions'!$B$11</f>
        <v>538.66</v>
      </c>
      <c r="P269" s="183" t="n">
        <f aca="false">MROUND(N269+O269,10)</f>
        <v>3230</v>
      </c>
      <c r="Q269" s="12" t="n">
        <f aca="false">'Fleet Pricing'!H269</f>
        <v>1020</v>
      </c>
      <c r="R269" s="41" t="n">
        <v>30</v>
      </c>
      <c r="S269" s="46" t="n">
        <v>2.4</v>
      </c>
      <c r="T269" s="46" t="n">
        <v>3</v>
      </c>
      <c r="U269" s="46" t="n">
        <v>1</v>
      </c>
    </row>
    <row r="270" customFormat="false" ht="15" hidden="false" customHeight="true" outlineLevel="0" collapsed="false">
      <c r="A270" s="9" t="n">
        <v>250</v>
      </c>
      <c r="B270" s="47" t="s">
        <v>123</v>
      </c>
      <c r="C270" s="47" t="s">
        <v>2401</v>
      </c>
      <c r="D270" s="47"/>
      <c r="E270" s="47"/>
      <c r="F270" s="45" t="s">
        <v>472</v>
      </c>
      <c r="G270" s="9" t="n">
        <v>30</v>
      </c>
      <c r="H270" s="12" t="n">
        <f aca="false">'Engineering Assumptions'!$C$33*'Engineering Assumptions'!$B$5*U270</f>
        <v>1146</v>
      </c>
      <c r="I270" s="12" t="n">
        <f aca="false">'Engineering Assumptions'!$B$8</f>
        <v>650</v>
      </c>
      <c r="J270" s="12" t="n">
        <f aca="false">'Engineering Assumptions'!$D$33*S270*U270</f>
        <v>216</v>
      </c>
      <c r="K270" s="12" t="n">
        <f aca="false">'Engineering Assumptions'!$E$33*T270*U270</f>
        <v>330</v>
      </c>
      <c r="L270" s="13" t="n">
        <f aca="false">H270+I270+J270+K270</f>
        <v>2342</v>
      </c>
      <c r="M270" s="12" t="n">
        <f aca="false">L270*'Engineering Assumptions'!$B$10</f>
        <v>351.3</v>
      </c>
      <c r="N270" s="13" t="n">
        <f aca="false">L270+M270</f>
        <v>2693.3</v>
      </c>
      <c r="O270" s="12" t="n">
        <f aca="false">N270*'Engineering Assumptions'!$B$11</f>
        <v>538.66</v>
      </c>
      <c r="P270" s="183" t="n">
        <f aca="false">MROUND(N270+O270,10)</f>
        <v>3230</v>
      </c>
      <c r="Q270" s="12" t="n">
        <f aca="false">'Fleet Pricing'!H270</f>
        <v>1020</v>
      </c>
      <c r="R270" s="41" t="n">
        <v>30</v>
      </c>
      <c r="S270" s="46" t="n">
        <v>2.4</v>
      </c>
      <c r="T270" s="46" t="n">
        <v>3</v>
      </c>
      <c r="U270" s="46" t="n">
        <v>1</v>
      </c>
    </row>
    <row r="271" customFormat="false" ht="15" hidden="false" customHeight="true" outlineLevel="0" collapsed="false">
      <c r="A271" s="42" t="s">
        <v>837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 customFormat="false" ht="15" hidden="false" customHeight="true" outlineLevel="0" collapsed="false">
      <c r="A272" s="9" t="n">
        <v>251</v>
      </c>
      <c r="B272" s="47" t="s">
        <v>125</v>
      </c>
      <c r="C272" s="47" t="s">
        <v>2402</v>
      </c>
      <c r="D272" s="47" t="s">
        <v>843</v>
      </c>
      <c r="E272" s="47" t="s">
        <v>846</v>
      </c>
      <c r="F272" s="45" t="s">
        <v>348</v>
      </c>
      <c r="G272" s="9" t="n">
        <v>20</v>
      </c>
      <c r="H272" s="12" t="n">
        <f aca="false">'Engineering Assumptions'!$C$34*'Engineering Assumptions'!$B$5*U272</f>
        <v>955</v>
      </c>
      <c r="I272" s="12" t="n">
        <f aca="false">'Engineering Assumptions'!$B$8</f>
        <v>650</v>
      </c>
      <c r="J272" s="12" t="n">
        <f aca="false">'Engineering Assumptions'!$D$34*S272*U272</f>
        <v>136.5</v>
      </c>
      <c r="K272" s="12" t="n">
        <f aca="false">'Engineering Assumptions'!$E$34*T272*U272</f>
        <v>189</v>
      </c>
      <c r="L272" s="13" t="n">
        <f aca="false">H272+I272+J272+K272</f>
        <v>1930.5</v>
      </c>
      <c r="M272" s="12" t="n">
        <f aca="false">L272*'Engineering Assumptions'!$B$10</f>
        <v>289.575</v>
      </c>
      <c r="N272" s="13" t="n">
        <f aca="false">L272+M272</f>
        <v>2220.075</v>
      </c>
      <c r="O272" s="12" t="n">
        <f aca="false">N272*'Engineering Assumptions'!$B$11</f>
        <v>444.015</v>
      </c>
      <c r="P272" s="183" t="n">
        <f aca="false">MROUND(N272+O272,10)</f>
        <v>2660</v>
      </c>
      <c r="Q272" s="12" t="n">
        <f aca="false">'Fleet Pricing'!H272</f>
        <v>1150</v>
      </c>
      <c r="R272" s="41" t="n">
        <v>20</v>
      </c>
      <c r="S272" s="46" t="n">
        <v>1.95</v>
      </c>
      <c r="T272" s="46" t="n">
        <v>2.1</v>
      </c>
      <c r="U272" s="46" t="n">
        <v>1</v>
      </c>
    </row>
    <row r="273" customFormat="false" ht="15" hidden="false" customHeight="true" outlineLevel="0" collapsed="false">
      <c r="A273" s="9" t="n">
        <v>252</v>
      </c>
      <c r="B273" s="47" t="s">
        <v>125</v>
      </c>
      <c r="C273" s="47" t="s">
        <v>2403</v>
      </c>
      <c r="D273" s="47"/>
      <c r="E273" s="47"/>
      <c r="F273" s="45" t="s">
        <v>841</v>
      </c>
      <c r="G273" s="9" t="n">
        <v>37</v>
      </c>
      <c r="H273" s="12" t="n">
        <f aca="false">'Engineering Assumptions'!$C$34*'Engineering Assumptions'!$B$5*U273</f>
        <v>955</v>
      </c>
      <c r="I273" s="12" t="n">
        <f aca="false">'Engineering Assumptions'!$B$8</f>
        <v>650</v>
      </c>
      <c r="J273" s="12" t="n">
        <f aca="false">'Engineering Assumptions'!$D$34*S273*U273</f>
        <v>168</v>
      </c>
      <c r="K273" s="12" t="n">
        <f aca="false">'Engineering Assumptions'!$E$34*T273*U273</f>
        <v>270</v>
      </c>
      <c r="L273" s="13" t="n">
        <f aca="false">H273+I273+J273+K273</f>
        <v>2043</v>
      </c>
      <c r="M273" s="12" t="n">
        <f aca="false">L273*'Engineering Assumptions'!$B$10</f>
        <v>306.45</v>
      </c>
      <c r="N273" s="13" t="n">
        <f aca="false">L273+M273</f>
        <v>2349.45</v>
      </c>
      <c r="O273" s="12" t="n">
        <f aca="false">N273*'Engineering Assumptions'!$B$11</f>
        <v>469.89</v>
      </c>
      <c r="P273" s="183" t="n">
        <f aca="false">MROUND(N273+O273,10)</f>
        <v>2820</v>
      </c>
      <c r="Q273" s="12" t="n">
        <f aca="false">'Fleet Pricing'!H273</f>
        <v>930</v>
      </c>
      <c r="R273" s="41" t="n">
        <v>37</v>
      </c>
      <c r="S273" s="46" t="n">
        <v>2.4</v>
      </c>
      <c r="T273" s="46" t="n">
        <v>3</v>
      </c>
      <c r="U273" s="46" t="n">
        <v>1</v>
      </c>
    </row>
    <row r="274" customFormat="false" ht="15" hidden="false" customHeight="true" outlineLevel="0" collapsed="false">
      <c r="A274" s="9" t="n">
        <v>253</v>
      </c>
      <c r="B274" s="47" t="s">
        <v>125</v>
      </c>
      <c r="C274" s="47" t="s">
        <v>2404</v>
      </c>
      <c r="D274" s="47"/>
      <c r="E274" s="47"/>
      <c r="F274" s="45" t="s">
        <v>845</v>
      </c>
      <c r="G274" s="9" t="n">
        <v>39</v>
      </c>
      <c r="H274" s="12" t="n">
        <f aca="false">'Engineering Assumptions'!$C$34*'Engineering Assumptions'!$B$5*U274</f>
        <v>955</v>
      </c>
      <c r="I274" s="12" t="n">
        <f aca="false">'Engineering Assumptions'!$B$8</f>
        <v>650</v>
      </c>
      <c r="J274" s="12" t="n">
        <f aca="false">'Engineering Assumptions'!$D$34*S274*U274</f>
        <v>168</v>
      </c>
      <c r="K274" s="12" t="n">
        <f aca="false">'Engineering Assumptions'!$E$34*T274*U274</f>
        <v>270</v>
      </c>
      <c r="L274" s="13" t="n">
        <f aca="false">H274+I274+J274+K274</f>
        <v>2043</v>
      </c>
      <c r="M274" s="12" t="n">
        <f aca="false">L274*'Engineering Assumptions'!$B$10</f>
        <v>306.45</v>
      </c>
      <c r="N274" s="13" t="n">
        <f aca="false">L274+M274</f>
        <v>2349.45</v>
      </c>
      <c r="O274" s="12" t="n">
        <f aca="false">N274*'Engineering Assumptions'!$B$11</f>
        <v>469.89</v>
      </c>
      <c r="P274" s="183" t="n">
        <f aca="false">MROUND(N274+O274,10)</f>
        <v>2820</v>
      </c>
      <c r="Q274" s="12" t="n">
        <f aca="false">'Fleet Pricing'!H274</f>
        <v>930</v>
      </c>
      <c r="R274" s="41" t="n">
        <v>39</v>
      </c>
      <c r="S274" s="46" t="n">
        <v>2.4</v>
      </c>
      <c r="T274" s="46" t="n">
        <v>3</v>
      </c>
      <c r="U274" s="46" t="n">
        <v>1</v>
      </c>
    </row>
    <row r="275" customFormat="false" ht="15" hidden="false" customHeight="true" outlineLevel="0" collapsed="false">
      <c r="A275" s="42" t="s">
        <v>847</v>
      </c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 customFormat="false" ht="15" hidden="false" customHeight="true" outlineLevel="0" collapsed="false">
      <c r="A276" s="9" t="n">
        <v>254</v>
      </c>
      <c r="B276" s="47" t="s">
        <v>127</v>
      </c>
      <c r="C276" s="47" t="s">
        <v>2405</v>
      </c>
      <c r="D276" s="47" t="s">
        <v>849</v>
      </c>
      <c r="E276" s="47" t="s">
        <v>851</v>
      </c>
      <c r="F276" s="45" t="s">
        <v>324</v>
      </c>
      <c r="G276" s="9" t="n">
        <v>7</v>
      </c>
      <c r="H276" s="12" t="n">
        <f aca="false">'Engineering Assumptions'!$C$35*'Engineering Assumptions'!$B$5*U276</f>
        <v>1146</v>
      </c>
      <c r="I276" s="12" t="n">
        <f aca="false">'Engineering Assumptions'!$B$8</f>
        <v>650</v>
      </c>
      <c r="J276" s="12" t="n">
        <f aca="false">'Engineering Assumptions'!$D$35*S276*U276</f>
        <v>100</v>
      </c>
      <c r="K276" s="12" t="n">
        <f aca="false">'Engineering Assumptions'!$E$35*T276*U276</f>
        <v>75</v>
      </c>
      <c r="L276" s="13" t="n">
        <f aca="false">H276+I276+J276+K276</f>
        <v>1971</v>
      </c>
      <c r="M276" s="12" t="n">
        <f aca="false">L276*'Engineering Assumptions'!$B$10</f>
        <v>295.65</v>
      </c>
      <c r="N276" s="13" t="n">
        <f aca="false">L276+M276</f>
        <v>2266.65</v>
      </c>
      <c r="O276" s="12" t="n">
        <f aca="false">N276*'Engineering Assumptions'!$B$11</f>
        <v>453.33</v>
      </c>
      <c r="P276" s="183" t="n">
        <f aca="false">MROUND(N276+O276,10)</f>
        <v>2720</v>
      </c>
      <c r="Q276" s="12" t="n">
        <f aca="false">'Fleet Pricing'!H276</f>
        <v>1290</v>
      </c>
      <c r="R276" s="41" t="n">
        <v>7</v>
      </c>
      <c r="S276" s="46" t="n">
        <v>1.25</v>
      </c>
      <c r="T276" s="46" t="n">
        <v>0.75</v>
      </c>
      <c r="U276" s="46" t="n">
        <v>1</v>
      </c>
    </row>
    <row r="277" customFormat="false" ht="15" hidden="false" customHeight="true" outlineLevel="0" collapsed="false">
      <c r="A277" s="9" t="n">
        <v>255</v>
      </c>
      <c r="B277" s="47" t="s">
        <v>127</v>
      </c>
      <c r="C277" s="47" t="s">
        <v>2406</v>
      </c>
      <c r="D277" s="47" t="s">
        <v>852</v>
      </c>
      <c r="E277" s="47" t="s">
        <v>854</v>
      </c>
      <c r="F277" s="45" t="s">
        <v>450</v>
      </c>
      <c r="G277" s="9" t="n">
        <v>8</v>
      </c>
      <c r="H277" s="12" t="n">
        <f aca="false">'Engineering Assumptions'!$C$35*'Engineering Assumptions'!$B$5*U277</f>
        <v>1146</v>
      </c>
      <c r="I277" s="12" t="n">
        <f aca="false">'Engineering Assumptions'!$B$8</f>
        <v>650</v>
      </c>
      <c r="J277" s="12" t="n">
        <f aca="false">'Engineering Assumptions'!$D$35*S277*U277</f>
        <v>100</v>
      </c>
      <c r="K277" s="12" t="n">
        <f aca="false">'Engineering Assumptions'!$E$35*T277*U277</f>
        <v>75</v>
      </c>
      <c r="L277" s="13" t="n">
        <f aca="false">H277+I277+J277+K277</f>
        <v>1971</v>
      </c>
      <c r="M277" s="12" t="n">
        <f aca="false">L277*'Engineering Assumptions'!$B$10</f>
        <v>295.65</v>
      </c>
      <c r="N277" s="13" t="n">
        <f aca="false">L277+M277</f>
        <v>2266.65</v>
      </c>
      <c r="O277" s="12" t="n">
        <f aca="false">N277*'Engineering Assumptions'!$B$11</f>
        <v>453.33</v>
      </c>
      <c r="P277" s="183" t="n">
        <f aca="false">MROUND(N277+O277,10)</f>
        <v>2720</v>
      </c>
      <c r="Q277" s="12" t="n">
        <f aca="false">'Fleet Pricing'!H277</f>
        <v>1290</v>
      </c>
      <c r="R277" s="41" t="n">
        <v>8</v>
      </c>
      <c r="S277" s="46" t="n">
        <v>1.25</v>
      </c>
      <c r="T277" s="46" t="n">
        <v>0.75</v>
      </c>
      <c r="U277" s="46" t="n">
        <v>1</v>
      </c>
    </row>
    <row r="278" customFormat="false" ht="15" hidden="false" customHeight="true" outlineLevel="0" collapsed="false">
      <c r="A278" s="9" t="n">
        <v>256</v>
      </c>
      <c r="B278" s="47" t="s">
        <v>127</v>
      </c>
      <c r="C278" s="47" t="s">
        <v>2407</v>
      </c>
      <c r="D278" s="47" t="s">
        <v>855</v>
      </c>
      <c r="E278" s="47" t="s">
        <v>857</v>
      </c>
      <c r="F278" s="45" t="s">
        <v>397</v>
      </c>
      <c r="G278" s="9" t="n">
        <v>9</v>
      </c>
      <c r="H278" s="12" t="n">
        <f aca="false">'Engineering Assumptions'!$C$35*'Engineering Assumptions'!$B$5*U278</f>
        <v>1146</v>
      </c>
      <c r="I278" s="12" t="n">
        <f aca="false">'Engineering Assumptions'!$B$8</f>
        <v>650</v>
      </c>
      <c r="J278" s="12" t="n">
        <f aca="false">'Engineering Assumptions'!$D$35*S278*U278</f>
        <v>100</v>
      </c>
      <c r="K278" s="12" t="n">
        <f aca="false">'Engineering Assumptions'!$E$35*T278*U278</f>
        <v>75</v>
      </c>
      <c r="L278" s="13" t="n">
        <f aca="false">H278+I278+J278+K278</f>
        <v>1971</v>
      </c>
      <c r="M278" s="12" t="n">
        <f aca="false">L278*'Engineering Assumptions'!$B$10</f>
        <v>295.65</v>
      </c>
      <c r="N278" s="13" t="n">
        <f aca="false">L278+M278</f>
        <v>2266.65</v>
      </c>
      <c r="O278" s="12" t="n">
        <f aca="false">N278*'Engineering Assumptions'!$B$11</f>
        <v>453.33</v>
      </c>
      <c r="P278" s="183" t="n">
        <f aca="false">MROUND(N278+O278,10)</f>
        <v>2720</v>
      </c>
      <c r="Q278" s="12" t="n">
        <f aca="false">'Fleet Pricing'!H278</f>
        <v>1290</v>
      </c>
      <c r="R278" s="41" t="n">
        <v>9</v>
      </c>
      <c r="S278" s="46" t="n">
        <v>1.25</v>
      </c>
      <c r="T278" s="46" t="n">
        <v>0.75</v>
      </c>
      <c r="U278" s="46" t="n">
        <v>1</v>
      </c>
    </row>
    <row r="279" customFormat="false" ht="15" hidden="false" customHeight="true" outlineLevel="0" collapsed="false">
      <c r="A279" s="9" t="n">
        <v>257</v>
      </c>
      <c r="B279" s="47" t="s">
        <v>127</v>
      </c>
      <c r="C279" s="47" t="s">
        <v>2405</v>
      </c>
      <c r="D279" s="47" t="s">
        <v>858</v>
      </c>
      <c r="E279" s="47" t="s">
        <v>859</v>
      </c>
      <c r="F279" s="45" t="s">
        <v>318</v>
      </c>
      <c r="G279" s="9" t="n">
        <v>10</v>
      </c>
      <c r="H279" s="12" t="n">
        <f aca="false">'Engineering Assumptions'!$C$35*'Engineering Assumptions'!$B$5*U279</f>
        <v>1146</v>
      </c>
      <c r="I279" s="12" t="n">
        <f aca="false">'Engineering Assumptions'!$B$8</f>
        <v>650</v>
      </c>
      <c r="J279" s="12" t="n">
        <f aca="false">'Engineering Assumptions'!$D$35*S279*U279</f>
        <v>100</v>
      </c>
      <c r="K279" s="12" t="n">
        <f aca="false">'Engineering Assumptions'!$E$35*T279*U279</f>
        <v>75</v>
      </c>
      <c r="L279" s="13" t="n">
        <f aca="false">H279+I279+J279+K279</f>
        <v>1971</v>
      </c>
      <c r="M279" s="12" t="n">
        <f aca="false">L279*'Engineering Assumptions'!$B$10</f>
        <v>295.65</v>
      </c>
      <c r="N279" s="13" t="n">
        <f aca="false">L279+M279</f>
        <v>2266.65</v>
      </c>
      <c r="O279" s="12" t="n">
        <f aca="false">N279*'Engineering Assumptions'!$B$11</f>
        <v>453.33</v>
      </c>
      <c r="P279" s="183" t="n">
        <f aca="false">MROUND(N279+O279,10)</f>
        <v>2720</v>
      </c>
      <c r="Q279" s="12" t="n">
        <f aca="false">'Fleet Pricing'!H279</f>
        <v>1290</v>
      </c>
      <c r="R279" s="41" t="n">
        <v>10</v>
      </c>
      <c r="S279" s="46" t="n">
        <v>1.25</v>
      </c>
      <c r="T279" s="46" t="n">
        <v>0.75</v>
      </c>
      <c r="U279" s="46" t="n">
        <v>1</v>
      </c>
    </row>
    <row r="280" customFormat="false" ht="15" hidden="false" customHeight="true" outlineLevel="0" collapsed="false">
      <c r="A280" s="9" t="n">
        <v>258</v>
      </c>
      <c r="B280" s="47" t="s">
        <v>127</v>
      </c>
      <c r="C280" s="47" t="s">
        <v>2405</v>
      </c>
      <c r="D280" s="47" t="s">
        <v>860</v>
      </c>
      <c r="E280" s="47" t="s">
        <v>861</v>
      </c>
      <c r="F280" s="45" t="s">
        <v>318</v>
      </c>
      <c r="G280" s="9" t="n">
        <v>10</v>
      </c>
      <c r="H280" s="12" t="n">
        <f aca="false">'Engineering Assumptions'!$C$35*'Engineering Assumptions'!$B$5*U280</f>
        <v>1146</v>
      </c>
      <c r="I280" s="12" t="n">
        <f aca="false">'Engineering Assumptions'!$B$8</f>
        <v>650</v>
      </c>
      <c r="J280" s="12" t="n">
        <f aca="false">'Engineering Assumptions'!$D$35*S280*U280</f>
        <v>100</v>
      </c>
      <c r="K280" s="12" t="n">
        <f aca="false">'Engineering Assumptions'!$E$35*T280*U280</f>
        <v>75</v>
      </c>
      <c r="L280" s="13" t="n">
        <f aca="false">H280+I280+J280+K280</f>
        <v>1971</v>
      </c>
      <c r="M280" s="12" t="n">
        <f aca="false">L280*'Engineering Assumptions'!$B$10</f>
        <v>295.65</v>
      </c>
      <c r="N280" s="13" t="n">
        <f aca="false">L280+M280</f>
        <v>2266.65</v>
      </c>
      <c r="O280" s="12" t="n">
        <f aca="false">N280*'Engineering Assumptions'!$B$11</f>
        <v>453.33</v>
      </c>
      <c r="P280" s="183" t="n">
        <f aca="false">MROUND(N280+O280,10)</f>
        <v>2720</v>
      </c>
      <c r="Q280" s="12" t="n">
        <f aca="false">'Fleet Pricing'!H280</f>
        <v>1290</v>
      </c>
      <c r="R280" s="41" t="n">
        <v>10</v>
      </c>
      <c r="S280" s="46" t="n">
        <v>1.25</v>
      </c>
      <c r="T280" s="46" t="n">
        <v>0.75</v>
      </c>
      <c r="U280" s="46" t="n">
        <v>1</v>
      </c>
    </row>
    <row r="281" customFormat="false" ht="15" hidden="false" customHeight="true" outlineLevel="0" collapsed="false">
      <c r="A281" s="9" t="n">
        <v>259</v>
      </c>
      <c r="B281" s="47" t="s">
        <v>127</v>
      </c>
      <c r="C281" s="47" t="s">
        <v>2405</v>
      </c>
      <c r="D281" s="47" t="s">
        <v>862</v>
      </c>
      <c r="E281" s="47" t="s">
        <v>863</v>
      </c>
      <c r="F281" s="45" t="s">
        <v>318</v>
      </c>
      <c r="G281" s="9" t="n">
        <v>10</v>
      </c>
      <c r="H281" s="12" t="n">
        <f aca="false">'Engineering Assumptions'!$C$35*'Engineering Assumptions'!$B$5*U281</f>
        <v>1146</v>
      </c>
      <c r="I281" s="12" t="n">
        <f aca="false">'Engineering Assumptions'!$B$8</f>
        <v>650</v>
      </c>
      <c r="J281" s="12" t="n">
        <f aca="false">'Engineering Assumptions'!$D$35*S281*U281</f>
        <v>100</v>
      </c>
      <c r="K281" s="12" t="n">
        <f aca="false">'Engineering Assumptions'!$E$35*T281*U281</f>
        <v>75</v>
      </c>
      <c r="L281" s="13" t="n">
        <f aca="false">H281+I281+J281+K281</f>
        <v>1971</v>
      </c>
      <c r="M281" s="12" t="n">
        <f aca="false">L281*'Engineering Assumptions'!$B$10</f>
        <v>295.65</v>
      </c>
      <c r="N281" s="13" t="n">
        <f aca="false">L281+M281</f>
        <v>2266.65</v>
      </c>
      <c r="O281" s="12" t="n">
        <f aca="false">N281*'Engineering Assumptions'!$B$11</f>
        <v>453.33</v>
      </c>
      <c r="P281" s="183" t="n">
        <f aca="false">MROUND(N281+O281,10)</f>
        <v>2720</v>
      </c>
      <c r="Q281" s="12" t="n">
        <f aca="false">'Fleet Pricing'!H281</f>
        <v>1290</v>
      </c>
      <c r="R281" s="41" t="n">
        <v>10</v>
      </c>
      <c r="S281" s="46" t="n">
        <v>1.25</v>
      </c>
      <c r="T281" s="46" t="n">
        <v>0.75</v>
      </c>
      <c r="U281" s="46" t="n">
        <v>1</v>
      </c>
    </row>
    <row r="282" customFormat="false" ht="15" hidden="false" customHeight="true" outlineLevel="0" collapsed="false">
      <c r="A282" s="9" t="n">
        <v>260</v>
      </c>
      <c r="B282" s="47" t="s">
        <v>127</v>
      </c>
      <c r="C282" s="47" t="s">
        <v>2408</v>
      </c>
      <c r="D282" s="47" t="s">
        <v>864</v>
      </c>
      <c r="E282" s="47" t="s">
        <v>866</v>
      </c>
      <c r="F282" s="45" t="s">
        <v>428</v>
      </c>
      <c r="G282" s="9" t="n">
        <v>26</v>
      </c>
      <c r="H282" s="12" t="n">
        <f aca="false">'Engineering Assumptions'!$C$35*'Engineering Assumptions'!$B$5*U282</f>
        <v>1146</v>
      </c>
      <c r="I282" s="12" t="n">
        <f aca="false">'Engineering Assumptions'!$B$8</f>
        <v>650</v>
      </c>
      <c r="J282" s="12" t="n">
        <f aca="false">'Engineering Assumptions'!$D$35*S282*U282</f>
        <v>192</v>
      </c>
      <c r="K282" s="12" t="n">
        <f aca="false">'Engineering Assumptions'!$E$35*T282*U282</f>
        <v>300</v>
      </c>
      <c r="L282" s="13" t="n">
        <f aca="false">H282+I282+J282+K282</f>
        <v>2288</v>
      </c>
      <c r="M282" s="12" t="n">
        <f aca="false">L282*'Engineering Assumptions'!$B$10</f>
        <v>343.2</v>
      </c>
      <c r="N282" s="13" t="n">
        <f aca="false">L282+M282</f>
        <v>2631.2</v>
      </c>
      <c r="O282" s="12" t="n">
        <f aca="false">N282*'Engineering Assumptions'!$B$11</f>
        <v>526.24</v>
      </c>
      <c r="P282" s="183" t="n">
        <f aca="false">MROUND(N282+O282,10)</f>
        <v>3160</v>
      </c>
      <c r="Q282" s="12" t="n">
        <f aca="false">'Fleet Pricing'!H282</f>
        <v>910</v>
      </c>
      <c r="R282" s="41" t="n">
        <v>26</v>
      </c>
      <c r="S282" s="46" t="n">
        <v>2.4</v>
      </c>
      <c r="T282" s="46" t="n">
        <v>3</v>
      </c>
      <c r="U282" s="46" t="n">
        <v>1</v>
      </c>
    </row>
    <row r="283" customFormat="false" ht="15" hidden="false" customHeight="true" outlineLevel="0" collapsed="false">
      <c r="A283" s="9" t="n">
        <v>261</v>
      </c>
      <c r="B283" s="47" t="s">
        <v>127</v>
      </c>
      <c r="C283" s="47" t="s">
        <v>2409</v>
      </c>
      <c r="D283" s="47" t="s">
        <v>867</v>
      </c>
      <c r="E283" s="47" t="s">
        <v>869</v>
      </c>
      <c r="F283" s="45" t="s">
        <v>829</v>
      </c>
      <c r="G283" s="9" t="n">
        <v>29</v>
      </c>
      <c r="H283" s="12" t="n">
        <f aca="false">'Engineering Assumptions'!$C$35*'Engineering Assumptions'!$B$5*U283</f>
        <v>1146</v>
      </c>
      <c r="I283" s="12" t="n">
        <f aca="false">'Engineering Assumptions'!$B$8</f>
        <v>650</v>
      </c>
      <c r="J283" s="12" t="n">
        <f aca="false">'Engineering Assumptions'!$D$35*S283*U283</f>
        <v>192</v>
      </c>
      <c r="K283" s="12" t="n">
        <f aca="false">'Engineering Assumptions'!$E$35*T283*U283</f>
        <v>300</v>
      </c>
      <c r="L283" s="13" t="n">
        <f aca="false">H283+I283+J283+K283</f>
        <v>2288</v>
      </c>
      <c r="M283" s="12" t="n">
        <f aca="false">L283*'Engineering Assumptions'!$B$10</f>
        <v>343.2</v>
      </c>
      <c r="N283" s="13" t="n">
        <f aca="false">L283+M283</f>
        <v>2631.2</v>
      </c>
      <c r="O283" s="12" t="n">
        <f aca="false">N283*'Engineering Assumptions'!$B$11</f>
        <v>526.24</v>
      </c>
      <c r="P283" s="183" t="n">
        <f aca="false">MROUND(N283+O283,10)</f>
        <v>3160</v>
      </c>
      <c r="Q283" s="12" t="n">
        <f aca="false">'Fleet Pricing'!H283</f>
        <v>810</v>
      </c>
      <c r="R283" s="41" t="n">
        <v>29</v>
      </c>
      <c r="S283" s="46" t="n">
        <v>2.4</v>
      </c>
      <c r="T283" s="46" t="n">
        <v>3</v>
      </c>
      <c r="U283" s="46" t="n">
        <v>1</v>
      </c>
    </row>
    <row r="284" customFormat="false" ht="15" hidden="false" customHeight="true" outlineLevel="0" collapsed="false">
      <c r="A284" s="9" t="n">
        <v>262</v>
      </c>
      <c r="B284" s="47" t="s">
        <v>127</v>
      </c>
      <c r="C284" s="47" t="s">
        <v>2410</v>
      </c>
      <c r="D284" s="47" t="s">
        <v>870</v>
      </c>
      <c r="E284" s="47" t="s">
        <v>872</v>
      </c>
      <c r="F284" s="45" t="s">
        <v>829</v>
      </c>
      <c r="G284" s="9" t="n">
        <v>29</v>
      </c>
      <c r="H284" s="12" t="n">
        <f aca="false">'Engineering Assumptions'!$C$35*'Engineering Assumptions'!$B$5*U284</f>
        <v>1146</v>
      </c>
      <c r="I284" s="12" t="n">
        <f aca="false">'Engineering Assumptions'!$B$8</f>
        <v>650</v>
      </c>
      <c r="J284" s="12" t="n">
        <f aca="false">'Engineering Assumptions'!$D$35*S284*U284</f>
        <v>192</v>
      </c>
      <c r="K284" s="12" t="n">
        <f aca="false">'Engineering Assumptions'!$E$35*T284*U284</f>
        <v>300</v>
      </c>
      <c r="L284" s="13" t="n">
        <f aca="false">H284+I284+J284+K284</f>
        <v>2288</v>
      </c>
      <c r="M284" s="12" t="n">
        <f aca="false">L284*'Engineering Assumptions'!$B$10</f>
        <v>343.2</v>
      </c>
      <c r="N284" s="13" t="n">
        <f aca="false">L284+M284</f>
        <v>2631.2</v>
      </c>
      <c r="O284" s="12" t="n">
        <f aca="false">N284*'Engineering Assumptions'!$B$11</f>
        <v>526.24</v>
      </c>
      <c r="P284" s="183" t="n">
        <f aca="false">MROUND(N284+O284,10)</f>
        <v>3160</v>
      </c>
      <c r="Q284" s="12" t="n">
        <f aca="false">'Fleet Pricing'!H284</f>
        <v>810</v>
      </c>
      <c r="R284" s="41" t="n">
        <v>29</v>
      </c>
      <c r="S284" s="46" t="n">
        <v>2.4</v>
      </c>
      <c r="T284" s="46" t="n">
        <v>3</v>
      </c>
      <c r="U284" s="46" t="n">
        <v>1</v>
      </c>
    </row>
    <row r="285" customFormat="false" ht="15" hidden="false" customHeight="true" outlineLevel="0" collapsed="false">
      <c r="A285" s="9" t="n">
        <v>263</v>
      </c>
      <c r="B285" s="47" t="s">
        <v>127</v>
      </c>
      <c r="C285" s="47" t="s">
        <v>2411</v>
      </c>
      <c r="D285" s="47" t="s">
        <v>874</v>
      </c>
      <c r="E285" s="47" t="s">
        <v>877</v>
      </c>
      <c r="F285" s="45" t="s">
        <v>876</v>
      </c>
      <c r="G285" s="9" t="n">
        <v>42</v>
      </c>
      <c r="H285" s="12" t="n">
        <f aca="false">'Engineering Assumptions'!$C$35*'Engineering Assumptions'!$B$5*U285</f>
        <v>1146</v>
      </c>
      <c r="I285" s="12" t="n">
        <f aca="false">'Engineering Assumptions'!$B$8</f>
        <v>650</v>
      </c>
      <c r="J285" s="12" t="n">
        <f aca="false">'Engineering Assumptions'!$D$35*S285*U285</f>
        <v>192</v>
      </c>
      <c r="K285" s="12" t="n">
        <f aca="false">'Engineering Assumptions'!$E$35*T285*U285</f>
        <v>300</v>
      </c>
      <c r="L285" s="13" t="n">
        <f aca="false">H285+I285+J285+K285</f>
        <v>2288</v>
      </c>
      <c r="M285" s="12" t="n">
        <f aca="false">L285*'Engineering Assumptions'!$B$10</f>
        <v>343.2</v>
      </c>
      <c r="N285" s="13" t="n">
        <f aca="false">L285+M285</f>
        <v>2631.2</v>
      </c>
      <c r="O285" s="12" t="n">
        <f aca="false">N285*'Engineering Assumptions'!$B$11</f>
        <v>526.24</v>
      </c>
      <c r="P285" s="183" t="n">
        <f aca="false">MROUND(N285+O285,10)</f>
        <v>3160</v>
      </c>
      <c r="Q285" s="12" t="n">
        <f aca="false">'Fleet Pricing'!H285</f>
        <v>810</v>
      </c>
      <c r="R285" s="41" t="n">
        <v>42</v>
      </c>
      <c r="S285" s="46" t="n">
        <v>2.4</v>
      </c>
      <c r="T285" s="46" t="n">
        <v>3</v>
      </c>
      <c r="U285" s="46" t="n">
        <v>1</v>
      </c>
    </row>
    <row r="286" customFormat="false" ht="15" hidden="false" customHeight="true" outlineLevel="0" collapsed="false">
      <c r="A286" s="9" t="n">
        <v>264</v>
      </c>
      <c r="B286" s="47" t="s">
        <v>127</v>
      </c>
      <c r="C286" s="47" t="s">
        <v>2412</v>
      </c>
      <c r="D286" s="47" t="s">
        <v>878</v>
      </c>
      <c r="E286" s="47" t="s">
        <v>881</v>
      </c>
      <c r="F286" s="45" t="s">
        <v>880</v>
      </c>
      <c r="G286" s="9" t="n">
        <v>53</v>
      </c>
      <c r="H286" s="12" t="n">
        <f aca="false">'Engineering Assumptions'!$C$35*'Engineering Assumptions'!$B$5*U286</f>
        <v>1146</v>
      </c>
      <c r="I286" s="12" t="n">
        <f aca="false">'Engineering Assumptions'!$B$8</f>
        <v>650</v>
      </c>
      <c r="J286" s="12" t="n">
        <f aca="false">'Engineering Assumptions'!$D$35*S286*U286</f>
        <v>192</v>
      </c>
      <c r="K286" s="12" t="n">
        <f aca="false">'Engineering Assumptions'!$E$35*T286*U286</f>
        <v>300</v>
      </c>
      <c r="L286" s="13" t="n">
        <f aca="false">H286+I286+J286+K286</f>
        <v>2288</v>
      </c>
      <c r="M286" s="12" t="n">
        <f aca="false">L286*'Engineering Assumptions'!$B$10</f>
        <v>343.2</v>
      </c>
      <c r="N286" s="13" t="n">
        <f aca="false">L286+M286</f>
        <v>2631.2</v>
      </c>
      <c r="O286" s="12" t="n">
        <f aca="false">N286*'Engineering Assumptions'!$B$11</f>
        <v>526.24</v>
      </c>
      <c r="P286" s="183" t="n">
        <f aca="false">MROUND(N286+O286,10)</f>
        <v>3160</v>
      </c>
      <c r="Q286" s="12" t="n">
        <f aca="false">'Fleet Pricing'!H286</f>
        <v>810</v>
      </c>
      <c r="R286" s="41" t="n">
        <v>53</v>
      </c>
      <c r="S286" s="46" t="n">
        <v>2.4</v>
      </c>
      <c r="T286" s="46" t="n">
        <v>3</v>
      </c>
      <c r="U286" s="46" t="n">
        <v>1</v>
      </c>
    </row>
    <row r="287" customFormat="false" ht="15" hidden="false" customHeight="true" outlineLevel="0" collapsed="false">
      <c r="A287" s="42" t="s">
        <v>882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 customFormat="false" ht="15" hidden="false" customHeight="true" outlineLevel="0" collapsed="false">
      <c r="A288" s="9" t="n">
        <v>265</v>
      </c>
      <c r="B288" s="47" t="s">
        <v>129</v>
      </c>
      <c r="C288" s="47" t="s">
        <v>2413</v>
      </c>
      <c r="D288" s="47" t="s">
        <v>883</v>
      </c>
      <c r="E288" s="47" t="s">
        <v>885</v>
      </c>
      <c r="F288" s="45" t="s">
        <v>324</v>
      </c>
      <c r="G288" s="9" t="n">
        <v>7</v>
      </c>
      <c r="H288" s="12" t="n">
        <f aca="false">'Engineering Assumptions'!$C$36*'Engineering Assumptions'!$B$5*U288</f>
        <v>955</v>
      </c>
      <c r="I288" s="12" t="n">
        <f aca="false">'Engineering Assumptions'!$B$8</f>
        <v>650</v>
      </c>
      <c r="J288" s="12" t="n">
        <f aca="false">'Engineering Assumptions'!$D$36*S288*U288</f>
        <v>87.5</v>
      </c>
      <c r="K288" s="12" t="n">
        <f aca="false">'Engineering Assumptions'!$E$36*T288*U288</f>
        <v>67.5</v>
      </c>
      <c r="L288" s="13" t="n">
        <f aca="false">H288+I288+J288+K288</f>
        <v>1760</v>
      </c>
      <c r="M288" s="12" t="n">
        <f aca="false">L288*'Engineering Assumptions'!$B$10</f>
        <v>264</v>
      </c>
      <c r="N288" s="13" t="n">
        <f aca="false">L288+M288</f>
        <v>2024</v>
      </c>
      <c r="O288" s="12" t="n">
        <f aca="false">N288*'Engineering Assumptions'!$B$11</f>
        <v>404.8</v>
      </c>
      <c r="P288" s="183" t="n">
        <f aca="false">MROUND(N288+O288,10)</f>
        <v>2430</v>
      </c>
      <c r="Q288" s="12" t="n">
        <f aca="false">'Fleet Pricing'!H288</f>
        <v>1060</v>
      </c>
      <c r="R288" s="41" t="n">
        <v>7</v>
      </c>
      <c r="S288" s="46" t="n">
        <v>1.25</v>
      </c>
      <c r="T288" s="46" t="n">
        <v>0.75</v>
      </c>
      <c r="U288" s="46" t="n">
        <v>1</v>
      </c>
    </row>
    <row r="289" customFormat="false" ht="15" hidden="false" customHeight="true" outlineLevel="0" collapsed="false">
      <c r="A289" s="9" t="n">
        <v>266</v>
      </c>
      <c r="B289" s="47" t="s">
        <v>129</v>
      </c>
      <c r="C289" s="47" t="s">
        <v>2413</v>
      </c>
      <c r="D289" s="47" t="s">
        <v>886</v>
      </c>
      <c r="E289" s="47" t="s">
        <v>887</v>
      </c>
      <c r="F289" s="45" t="s">
        <v>324</v>
      </c>
      <c r="G289" s="9" t="n">
        <v>7</v>
      </c>
      <c r="H289" s="12" t="n">
        <f aca="false">'Engineering Assumptions'!$C$36*'Engineering Assumptions'!$B$5*U289</f>
        <v>955</v>
      </c>
      <c r="I289" s="12" t="n">
        <f aca="false">'Engineering Assumptions'!$B$8</f>
        <v>650</v>
      </c>
      <c r="J289" s="12" t="n">
        <f aca="false">'Engineering Assumptions'!$D$36*S289*U289</f>
        <v>87.5</v>
      </c>
      <c r="K289" s="12" t="n">
        <f aca="false">'Engineering Assumptions'!$E$36*T289*U289</f>
        <v>67.5</v>
      </c>
      <c r="L289" s="13" t="n">
        <f aca="false">H289+I289+J289+K289</f>
        <v>1760</v>
      </c>
      <c r="M289" s="12" t="n">
        <f aca="false">L289*'Engineering Assumptions'!$B$10</f>
        <v>264</v>
      </c>
      <c r="N289" s="13" t="n">
        <f aca="false">L289+M289</f>
        <v>2024</v>
      </c>
      <c r="O289" s="12" t="n">
        <f aca="false">N289*'Engineering Assumptions'!$B$11</f>
        <v>404.8</v>
      </c>
      <c r="P289" s="183" t="n">
        <f aca="false">MROUND(N289+O289,10)</f>
        <v>2430</v>
      </c>
      <c r="Q289" s="12" t="n">
        <f aca="false">'Fleet Pricing'!H289</f>
        <v>1060</v>
      </c>
      <c r="R289" s="41" t="n">
        <v>7</v>
      </c>
      <c r="S289" s="46" t="n">
        <v>1.25</v>
      </c>
      <c r="T289" s="46" t="n">
        <v>0.75</v>
      </c>
      <c r="U289" s="46" t="n">
        <v>1</v>
      </c>
    </row>
    <row r="290" customFormat="false" ht="15" hidden="false" customHeight="true" outlineLevel="0" collapsed="false">
      <c r="A290" s="9" t="n">
        <v>267</v>
      </c>
      <c r="B290" s="47" t="s">
        <v>129</v>
      </c>
      <c r="C290" s="47" t="s">
        <v>2413</v>
      </c>
      <c r="D290" s="47" t="s">
        <v>888</v>
      </c>
      <c r="E290" s="47" t="s">
        <v>889</v>
      </c>
      <c r="F290" s="45" t="s">
        <v>324</v>
      </c>
      <c r="G290" s="9" t="n">
        <v>7</v>
      </c>
      <c r="H290" s="12" t="n">
        <f aca="false">'Engineering Assumptions'!$C$36*'Engineering Assumptions'!$B$5*U290</f>
        <v>955</v>
      </c>
      <c r="I290" s="12" t="n">
        <f aca="false">'Engineering Assumptions'!$B$8</f>
        <v>650</v>
      </c>
      <c r="J290" s="12" t="n">
        <f aca="false">'Engineering Assumptions'!$D$36*S290*U290</f>
        <v>87.5</v>
      </c>
      <c r="K290" s="12" t="n">
        <f aca="false">'Engineering Assumptions'!$E$36*T290*U290</f>
        <v>67.5</v>
      </c>
      <c r="L290" s="13" t="n">
        <f aca="false">H290+I290+J290+K290</f>
        <v>1760</v>
      </c>
      <c r="M290" s="12" t="n">
        <f aca="false">L290*'Engineering Assumptions'!$B$10</f>
        <v>264</v>
      </c>
      <c r="N290" s="13" t="n">
        <f aca="false">L290+M290</f>
        <v>2024</v>
      </c>
      <c r="O290" s="12" t="n">
        <f aca="false">N290*'Engineering Assumptions'!$B$11</f>
        <v>404.8</v>
      </c>
      <c r="P290" s="183" t="n">
        <f aca="false">MROUND(N290+O290,10)</f>
        <v>2430</v>
      </c>
      <c r="Q290" s="12" t="n">
        <f aca="false">'Fleet Pricing'!H290</f>
        <v>1060</v>
      </c>
      <c r="R290" s="41" t="n">
        <v>7</v>
      </c>
      <c r="S290" s="46" t="n">
        <v>1.25</v>
      </c>
      <c r="T290" s="46" t="n">
        <v>0.75</v>
      </c>
      <c r="U290" s="46" t="n">
        <v>1</v>
      </c>
    </row>
    <row r="291" customFormat="false" ht="15" hidden="false" customHeight="true" outlineLevel="0" collapsed="false">
      <c r="A291" s="9" t="n">
        <v>268</v>
      </c>
      <c r="B291" s="47" t="s">
        <v>129</v>
      </c>
      <c r="C291" s="47" t="s">
        <v>2413</v>
      </c>
      <c r="D291" s="47" t="s">
        <v>890</v>
      </c>
      <c r="E291" s="47" t="s">
        <v>891</v>
      </c>
      <c r="F291" s="45" t="s">
        <v>324</v>
      </c>
      <c r="G291" s="9" t="n">
        <v>7</v>
      </c>
      <c r="H291" s="12" t="n">
        <f aca="false">'Engineering Assumptions'!$C$36*'Engineering Assumptions'!$B$5*U291</f>
        <v>955</v>
      </c>
      <c r="I291" s="12" t="n">
        <f aca="false">'Engineering Assumptions'!$B$8</f>
        <v>650</v>
      </c>
      <c r="J291" s="12" t="n">
        <f aca="false">'Engineering Assumptions'!$D$36*S291*U291</f>
        <v>87.5</v>
      </c>
      <c r="K291" s="12" t="n">
        <f aca="false">'Engineering Assumptions'!$E$36*T291*U291</f>
        <v>67.5</v>
      </c>
      <c r="L291" s="13" t="n">
        <f aca="false">H291+I291+J291+K291</f>
        <v>1760</v>
      </c>
      <c r="M291" s="12" t="n">
        <f aca="false">L291*'Engineering Assumptions'!$B$10</f>
        <v>264</v>
      </c>
      <c r="N291" s="13" t="n">
        <f aca="false">L291+M291</f>
        <v>2024</v>
      </c>
      <c r="O291" s="12" t="n">
        <f aca="false">N291*'Engineering Assumptions'!$B$11</f>
        <v>404.8</v>
      </c>
      <c r="P291" s="183" t="n">
        <f aca="false">MROUND(N291+O291,10)</f>
        <v>2430</v>
      </c>
      <c r="Q291" s="12" t="n">
        <f aca="false">'Fleet Pricing'!H291</f>
        <v>1060</v>
      </c>
      <c r="R291" s="41" t="n">
        <v>7</v>
      </c>
      <c r="S291" s="46" t="n">
        <v>1.25</v>
      </c>
      <c r="T291" s="46" t="n">
        <v>0.75</v>
      </c>
      <c r="U291" s="46" t="n">
        <v>1</v>
      </c>
    </row>
    <row r="292" customFormat="false" ht="15" hidden="false" customHeight="true" outlineLevel="0" collapsed="false">
      <c r="A292" s="9" t="n">
        <v>269</v>
      </c>
      <c r="B292" s="47" t="s">
        <v>129</v>
      </c>
      <c r="C292" s="47" t="s">
        <v>2414</v>
      </c>
      <c r="D292" s="47" t="s">
        <v>892</v>
      </c>
      <c r="E292" s="47" t="s">
        <v>894</v>
      </c>
      <c r="F292" s="45" t="s">
        <v>324</v>
      </c>
      <c r="G292" s="9" t="n">
        <v>7</v>
      </c>
      <c r="H292" s="12" t="n">
        <f aca="false">'Engineering Assumptions'!$C$36*'Engineering Assumptions'!$B$5*U292</f>
        <v>955</v>
      </c>
      <c r="I292" s="12" t="n">
        <f aca="false">'Engineering Assumptions'!$B$8</f>
        <v>650</v>
      </c>
      <c r="J292" s="12" t="n">
        <f aca="false">'Engineering Assumptions'!$D$36*S292*U292</f>
        <v>87.5</v>
      </c>
      <c r="K292" s="12" t="n">
        <f aca="false">'Engineering Assumptions'!$E$36*T292*U292</f>
        <v>67.5</v>
      </c>
      <c r="L292" s="13" t="n">
        <f aca="false">H292+I292+J292+K292</f>
        <v>1760</v>
      </c>
      <c r="M292" s="12" t="n">
        <f aca="false">L292*'Engineering Assumptions'!$B$10</f>
        <v>264</v>
      </c>
      <c r="N292" s="13" t="n">
        <f aca="false">L292+M292</f>
        <v>2024</v>
      </c>
      <c r="O292" s="12" t="n">
        <f aca="false">N292*'Engineering Assumptions'!$B$11</f>
        <v>404.8</v>
      </c>
      <c r="P292" s="183" t="n">
        <f aca="false">MROUND(N292+O292,10)</f>
        <v>2430</v>
      </c>
      <c r="Q292" s="12" t="n">
        <f aca="false">'Fleet Pricing'!H292</f>
        <v>1060</v>
      </c>
      <c r="R292" s="41" t="n">
        <v>7</v>
      </c>
      <c r="S292" s="46" t="n">
        <v>1.25</v>
      </c>
      <c r="T292" s="46" t="n">
        <v>0.75</v>
      </c>
      <c r="U292" s="46" t="n">
        <v>1</v>
      </c>
    </row>
    <row r="293" customFormat="false" ht="15" hidden="false" customHeight="true" outlineLevel="0" collapsed="false">
      <c r="A293" s="9" t="n">
        <v>270</v>
      </c>
      <c r="B293" s="47" t="s">
        <v>129</v>
      </c>
      <c r="C293" s="47" t="s">
        <v>2415</v>
      </c>
      <c r="D293" s="47" t="s">
        <v>895</v>
      </c>
      <c r="E293" s="47" t="s">
        <v>897</v>
      </c>
      <c r="F293" s="45" t="s">
        <v>374</v>
      </c>
      <c r="G293" s="9" t="n">
        <v>12</v>
      </c>
      <c r="H293" s="12" t="n">
        <f aca="false">'Engineering Assumptions'!$C$36*'Engineering Assumptions'!$B$5*U293</f>
        <v>955</v>
      </c>
      <c r="I293" s="12" t="n">
        <f aca="false">'Engineering Assumptions'!$B$8</f>
        <v>650</v>
      </c>
      <c r="J293" s="12" t="n">
        <f aca="false">'Engineering Assumptions'!$D$36*S293*U293</f>
        <v>108.5</v>
      </c>
      <c r="K293" s="12" t="n">
        <f aca="false">'Engineering Assumptions'!$E$36*T293*U293</f>
        <v>121.5</v>
      </c>
      <c r="L293" s="13" t="n">
        <f aca="false">H293+I293+J293+K293</f>
        <v>1835</v>
      </c>
      <c r="M293" s="12" t="n">
        <f aca="false">L293*'Engineering Assumptions'!$B$10</f>
        <v>275.25</v>
      </c>
      <c r="N293" s="13" t="n">
        <f aca="false">L293+M293</f>
        <v>2110.25</v>
      </c>
      <c r="O293" s="12" t="n">
        <f aca="false">N293*'Engineering Assumptions'!$B$11</f>
        <v>422.05</v>
      </c>
      <c r="P293" s="183" t="n">
        <f aca="false">MROUND(N293+O293,10)</f>
        <v>2530</v>
      </c>
      <c r="Q293" s="12" t="n">
        <f aca="false">'Fleet Pricing'!H293</f>
        <v>940</v>
      </c>
      <c r="R293" s="41" t="n">
        <v>12</v>
      </c>
      <c r="S293" s="46" t="n">
        <v>1.55</v>
      </c>
      <c r="T293" s="46" t="n">
        <v>1.35</v>
      </c>
      <c r="U293" s="46" t="n">
        <v>1</v>
      </c>
    </row>
    <row r="294" customFormat="false" ht="15" hidden="false" customHeight="true" outlineLevel="0" collapsed="false">
      <c r="A294" s="9" t="n">
        <v>271</v>
      </c>
      <c r="B294" s="47" t="s">
        <v>129</v>
      </c>
      <c r="C294" s="47" t="s">
        <v>2416</v>
      </c>
      <c r="D294" s="47" t="s">
        <v>899</v>
      </c>
      <c r="E294" s="47" t="s">
        <v>901</v>
      </c>
      <c r="F294" s="45" t="s">
        <v>380</v>
      </c>
      <c r="G294" s="9" t="n">
        <v>13</v>
      </c>
      <c r="H294" s="12" t="n">
        <f aca="false">'Engineering Assumptions'!$C$36*'Engineering Assumptions'!$B$5*U294</f>
        <v>955</v>
      </c>
      <c r="I294" s="12" t="n">
        <f aca="false">'Engineering Assumptions'!$B$8</f>
        <v>650</v>
      </c>
      <c r="J294" s="12" t="n">
        <f aca="false">'Engineering Assumptions'!$D$36*S294*U294</f>
        <v>108.5</v>
      </c>
      <c r="K294" s="12" t="n">
        <f aca="false">'Engineering Assumptions'!$E$36*T294*U294</f>
        <v>121.5</v>
      </c>
      <c r="L294" s="13" t="n">
        <f aca="false">H294+I294+J294+K294</f>
        <v>1835</v>
      </c>
      <c r="M294" s="12" t="n">
        <f aca="false">L294*'Engineering Assumptions'!$B$10</f>
        <v>275.25</v>
      </c>
      <c r="N294" s="13" t="n">
        <f aca="false">L294+M294</f>
        <v>2110.25</v>
      </c>
      <c r="O294" s="12" t="n">
        <f aca="false">N294*'Engineering Assumptions'!$B$11</f>
        <v>422.05</v>
      </c>
      <c r="P294" s="183" t="n">
        <f aca="false">MROUND(N294+O294,10)</f>
        <v>2530</v>
      </c>
      <c r="Q294" s="12" t="n">
        <f aca="false">'Fleet Pricing'!H294</f>
        <v>940</v>
      </c>
      <c r="R294" s="41" t="n">
        <v>13</v>
      </c>
      <c r="S294" s="46" t="n">
        <v>1.55</v>
      </c>
      <c r="T294" s="46" t="n">
        <v>1.35</v>
      </c>
      <c r="U294" s="46" t="n">
        <v>1</v>
      </c>
    </row>
    <row r="295" customFormat="false" ht="15" hidden="false" customHeight="true" outlineLevel="0" collapsed="false">
      <c r="A295" s="9" t="n">
        <v>272</v>
      </c>
      <c r="B295" s="47" t="s">
        <v>129</v>
      </c>
      <c r="C295" s="47" t="s">
        <v>2417</v>
      </c>
      <c r="D295" s="47" t="s">
        <v>902</v>
      </c>
      <c r="E295" s="47" t="s">
        <v>904</v>
      </c>
      <c r="F295" s="45" t="s">
        <v>310</v>
      </c>
      <c r="G295" s="9" t="n">
        <v>14</v>
      </c>
      <c r="H295" s="12" t="n">
        <f aca="false">'Engineering Assumptions'!$C$36*'Engineering Assumptions'!$B$5*U295</f>
        <v>955</v>
      </c>
      <c r="I295" s="12" t="n">
        <f aca="false">'Engineering Assumptions'!$B$8</f>
        <v>650</v>
      </c>
      <c r="J295" s="12" t="n">
        <f aca="false">'Engineering Assumptions'!$D$36*S295*U295</f>
        <v>108.5</v>
      </c>
      <c r="K295" s="12" t="n">
        <f aca="false">'Engineering Assumptions'!$E$36*T295*U295</f>
        <v>121.5</v>
      </c>
      <c r="L295" s="13" t="n">
        <f aca="false">H295+I295+J295+K295</f>
        <v>1835</v>
      </c>
      <c r="M295" s="12" t="n">
        <f aca="false">L295*'Engineering Assumptions'!$B$10</f>
        <v>275.25</v>
      </c>
      <c r="N295" s="13" t="n">
        <f aca="false">L295+M295</f>
        <v>2110.25</v>
      </c>
      <c r="O295" s="12" t="n">
        <f aca="false">N295*'Engineering Assumptions'!$B$11</f>
        <v>422.05</v>
      </c>
      <c r="P295" s="183" t="n">
        <f aca="false">MROUND(N295+O295,10)</f>
        <v>2530</v>
      </c>
      <c r="Q295" s="12" t="n">
        <f aca="false">'Fleet Pricing'!H295</f>
        <v>940</v>
      </c>
      <c r="R295" s="41" t="n">
        <v>14</v>
      </c>
      <c r="S295" s="46" t="n">
        <v>1.55</v>
      </c>
      <c r="T295" s="46" t="n">
        <v>1.35</v>
      </c>
      <c r="U295" s="46" t="n">
        <v>1</v>
      </c>
    </row>
    <row r="296" customFormat="false" ht="15" hidden="false" customHeight="true" outlineLevel="0" collapsed="false">
      <c r="A296" s="9" t="n">
        <v>273</v>
      </c>
      <c r="B296" s="47" t="s">
        <v>129</v>
      </c>
      <c r="C296" s="47" t="s">
        <v>2417</v>
      </c>
      <c r="D296" s="47" t="s">
        <v>915</v>
      </c>
      <c r="E296" s="47" t="s">
        <v>916</v>
      </c>
      <c r="F296" s="45" t="s">
        <v>310</v>
      </c>
      <c r="G296" s="9" t="n">
        <v>14</v>
      </c>
      <c r="H296" s="12" t="n">
        <f aca="false">'Engineering Assumptions'!$C$36*'Engineering Assumptions'!$B$5*U296</f>
        <v>955</v>
      </c>
      <c r="I296" s="12" t="n">
        <f aca="false">'Engineering Assumptions'!$B$8</f>
        <v>650</v>
      </c>
      <c r="J296" s="12" t="n">
        <f aca="false">'Engineering Assumptions'!$D$36*S296*U296</f>
        <v>108.5</v>
      </c>
      <c r="K296" s="12" t="n">
        <f aca="false">'Engineering Assumptions'!$E$36*T296*U296</f>
        <v>121.5</v>
      </c>
      <c r="L296" s="13" t="n">
        <f aca="false">H296+I296+J296+K296</f>
        <v>1835</v>
      </c>
      <c r="M296" s="12" t="n">
        <f aca="false">L296*'Engineering Assumptions'!$B$10</f>
        <v>275.25</v>
      </c>
      <c r="N296" s="13" t="n">
        <f aca="false">L296+M296</f>
        <v>2110.25</v>
      </c>
      <c r="O296" s="12" t="n">
        <f aca="false">N296*'Engineering Assumptions'!$B$11</f>
        <v>422.05</v>
      </c>
      <c r="P296" s="183" t="n">
        <f aca="false">MROUND(N296+O296,10)</f>
        <v>2530</v>
      </c>
      <c r="Q296" s="12" t="n">
        <f aca="false">'Fleet Pricing'!H296</f>
        <v>940</v>
      </c>
      <c r="R296" s="41" t="n">
        <v>14</v>
      </c>
      <c r="S296" s="46" t="n">
        <v>1.55</v>
      </c>
      <c r="T296" s="46" t="n">
        <v>1.35</v>
      </c>
      <c r="U296" s="46" t="n">
        <v>1</v>
      </c>
    </row>
    <row r="297" customFormat="false" ht="15" hidden="false" customHeight="true" outlineLevel="0" collapsed="false">
      <c r="A297" s="9" t="n">
        <v>274</v>
      </c>
      <c r="B297" s="47" t="s">
        <v>129</v>
      </c>
      <c r="C297" s="47" t="s">
        <v>2418</v>
      </c>
      <c r="D297" s="47" t="s">
        <v>907</v>
      </c>
      <c r="E297" s="47" t="s">
        <v>909</v>
      </c>
      <c r="F297" s="45" t="s">
        <v>748</v>
      </c>
      <c r="G297" s="9" t="n">
        <v>15</v>
      </c>
      <c r="H297" s="12" t="n">
        <f aca="false">'Engineering Assumptions'!$C$36*'Engineering Assumptions'!$B$5*U297</f>
        <v>955</v>
      </c>
      <c r="I297" s="12" t="n">
        <f aca="false">'Engineering Assumptions'!$B$8</f>
        <v>650</v>
      </c>
      <c r="J297" s="12" t="n">
        <f aca="false">'Engineering Assumptions'!$D$36*S297*U297</f>
        <v>108.5</v>
      </c>
      <c r="K297" s="12" t="n">
        <f aca="false">'Engineering Assumptions'!$E$36*T297*U297</f>
        <v>121.5</v>
      </c>
      <c r="L297" s="13" t="n">
        <f aca="false">H297+I297+J297+K297</f>
        <v>1835</v>
      </c>
      <c r="M297" s="12" t="n">
        <f aca="false">L297*'Engineering Assumptions'!$B$10</f>
        <v>275.25</v>
      </c>
      <c r="N297" s="13" t="n">
        <f aca="false">L297+M297</f>
        <v>2110.25</v>
      </c>
      <c r="O297" s="12" t="n">
        <f aca="false">N297*'Engineering Assumptions'!$B$11</f>
        <v>422.05</v>
      </c>
      <c r="P297" s="183" t="n">
        <f aca="false">MROUND(N297+O297,10)</f>
        <v>2530</v>
      </c>
      <c r="Q297" s="12" t="n">
        <f aca="false">'Fleet Pricing'!H297</f>
        <v>940</v>
      </c>
      <c r="R297" s="41" t="n">
        <v>15</v>
      </c>
      <c r="S297" s="46" t="n">
        <v>1.55</v>
      </c>
      <c r="T297" s="46" t="n">
        <v>1.35</v>
      </c>
      <c r="U297" s="46" t="n">
        <v>1</v>
      </c>
    </row>
    <row r="298" customFormat="false" ht="15" hidden="false" customHeight="true" outlineLevel="0" collapsed="false">
      <c r="A298" s="9" t="n">
        <v>275</v>
      </c>
      <c r="B298" s="47" t="s">
        <v>129</v>
      </c>
      <c r="C298" s="47" t="s">
        <v>2418</v>
      </c>
      <c r="D298" s="47" t="s">
        <v>905</v>
      </c>
      <c r="E298" s="47" t="s">
        <v>906</v>
      </c>
      <c r="F298" s="45" t="s">
        <v>748</v>
      </c>
      <c r="G298" s="9" t="n">
        <v>15</v>
      </c>
      <c r="H298" s="12" t="n">
        <f aca="false">'Engineering Assumptions'!$C$36*'Engineering Assumptions'!$B$5*U298</f>
        <v>955</v>
      </c>
      <c r="I298" s="12" t="n">
        <f aca="false">'Engineering Assumptions'!$B$8</f>
        <v>650</v>
      </c>
      <c r="J298" s="12" t="n">
        <f aca="false">'Engineering Assumptions'!$D$36*S298*U298</f>
        <v>108.5</v>
      </c>
      <c r="K298" s="12" t="n">
        <f aca="false">'Engineering Assumptions'!$E$36*T298*U298</f>
        <v>121.5</v>
      </c>
      <c r="L298" s="13" t="n">
        <f aca="false">H298+I298+J298+K298</f>
        <v>1835</v>
      </c>
      <c r="M298" s="12" t="n">
        <f aca="false">L298*'Engineering Assumptions'!$B$10</f>
        <v>275.25</v>
      </c>
      <c r="N298" s="13" t="n">
        <f aca="false">L298+M298</f>
        <v>2110.25</v>
      </c>
      <c r="O298" s="12" t="n">
        <f aca="false">N298*'Engineering Assumptions'!$B$11</f>
        <v>422.05</v>
      </c>
      <c r="P298" s="183" t="n">
        <f aca="false">MROUND(N298+O298,10)</f>
        <v>2530</v>
      </c>
      <c r="Q298" s="12" t="n">
        <f aca="false">'Fleet Pricing'!H298</f>
        <v>940</v>
      </c>
      <c r="R298" s="41" t="n">
        <v>15</v>
      </c>
      <c r="S298" s="46" t="n">
        <v>1.55</v>
      </c>
      <c r="T298" s="46" t="n">
        <v>1.35</v>
      </c>
      <c r="U298" s="46" t="n">
        <v>1</v>
      </c>
    </row>
    <row r="299" customFormat="false" ht="15" hidden="false" customHeight="true" outlineLevel="0" collapsed="false">
      <c r="A299" s="9" t="n">
        <v>276</v>
      </c>
      <c r="B299" s="47" t="s">
        <v>129</v>
      </c>
      <c r="C299" s="47" t="s">
        <v>2419</v>
      </c>
      <c r="D299" s="47" t="s">
        <v>912</v>
      </c>
      <c r="E299" s="47" t="s">
        <v>914</v>
      </c>
      <c r="F299" s="45" t="s">
        <v>348</v>
      </c>
      <c r="G299" s="9" t="n">
        <v>20</v>
      </c>
      <c r="H299" s="12" t="n">
        <f aca="false">'Engineering Assumptions'!$C$36*'Engineering Assumptions'!$B$5*U299</f>
        <v>955</v>
      </c>
      <c r="I299" s="12" t="n">
        <f aca="false">'Engineering Assumptions'!$B$8</f>
        <v>650</v>
      </c>
      <c r="J299" s="12" t="n">
        <f aca="false">'Engineering Assumptions'!$D$36*S299*U299</f>
        <v>136.5</v>
      </c>
      <c r="K299" s="12" t="n">
        <f aca="false">'Engineering Assumptions'!$E$36*T299*U299</f>
        <v>189</v>
      </c>
      <c r="L299" s="13" t="n">
        <f aca="false">H299+I299+J299+K299</f>
        <v>1930.5</v>
      </c>
      <c r="M299" s="12" t="n">
        <f aca="false">L299*'Engineering Assumptions'!$B$10</f>
        <v>289.575</v>
      </c>
      <c r="N299" s="13" t="n">
        <f aca="false">L299+M299</f>
        <v>2220.075</v>
      </c>
      <c r="O299" s="12" t="n">
        <f aca="false">N299*'Engineering Assumptions'!$B$11</f>
        <v>444.015</v>
      </c>
      <c r="P299" s="183" t="n">
        <f aca="false">MROUND(N299+O299,10)</f>
        <v>2660</v>
      </c>
      <c r="Q299" s="12" t="n">
        <f aca="false">'Fleet Pricing'!H299</f>
        <v>830</v>
      </c>
      <c r="R299" s="41" t="n">
        <v>20</v>
      </c>
      <c r="S299" s="46" t="n">
        <v>1.95</v>
      </c>
      <c r="T299" s="46" t="n">
        <v>2.1</v>
      </c>
      <c r="U299" s="46" t="n">
        <v>1</v>
      </c>
    </row>
    <row r="300" customFormat="false" ht="15" hidden="false" customHeight="true" outlineLevel="0" collapsed="false">
      <c r="A300" s="9" t="n">
        <v>277</v>
      </c>
      <c r="B300" s="47" t="s">
        <v>129</v>
      </c>
      <c r="C300" s="47" t="s">
        <v>2420</v>
      </c>
      <c r="D300" s="47" t="s">
        <v>910</v>
      </c>
      <c r="E300" s="47" t="s">
        <v>911</v>
      </c>
      <c r="F300" s="45" t="s">
        <v>472</v>
      </c>
      <c r="G300" s="9" t="n">
        <v>30</v>
      </c>
      <c r="H300" s="12" t="n">
        <f aca="false">'Engineering Assumptions'!$C$36*'Engineering Assumptions'!$B$5*U300</f>
        <v>955</v>
      </c>
      <c r="I300" s="12" t="n">
        <f aca="false">'Engineering Assumptions'!$B$8</f>
        <v>650</v>
      </c>
      <c r="J300" s="12" t="n">
        <f aca="false">'Engineering Assumptions'!$D$36*S300*U300</f>
        <v>168</v>
      </c>
      <c r="K300" s="12" t="n">
        <f aca="false">'Engineering Assumptions'!$E$36*T300*U300</f>
        <v>270</v>
      </c>
      <c r="L300" s="13" t="n">
        <f aca="false">H300+I300+J300+K300</f>
        <v>2043</v>
      </c>
      <c r="M300" s="12" t="n">
        <f aca="false">L300*'Engineering Assumptions'!$B$10</f>
        <v>306.45</v>
      </c>
      <c r="N300" s="13" t="n">
        <f aca="false">L300+M300</f>
        <v>2349.45</v>
      </c>
      <c r="O300" s="12" t="n">
        <f aca="false">N300*'Engineering Assumptions'!$B$11</f>
        <v>469.89</v>
      </c>
      <c r="P300" s="183" t="n">
        <f aca="false">MROUND(N300+O300,10)</f>
        <v>2820</v>
      </c>
      <c r="Q300" s="12" t="n">
        <f aca="false">'Fleet Pricing'!H300</f>
        <v>670</v>
      </c>
      <c r="R300" s="41" t="n">
        <v>30</v>
      </c>
      <c r="S300" s="46" t="n">
        <v>2.4</v>
      </c>
      <c r="T300" s="46" t="n">
        <v>3</v>
      </c>
      <c r="U300" s="46" t="n">
        <v>1</v>
      </c>
    </row>
    <row r="301" customFormat="false" ht="15" hidden="false" customHeight="true" outlineLevel="0" collapsed="false">
      <c r="A301" s="42" t="s">
        <v>917</v>
      </c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 customFormat="false" ht="15" hidden="false" customHeight="true" outlineLevel="0" collapsed="false">
      <c r="A302" s="9" t="n">
        <v>278</v>
      </c>
      <c r="B302" s="47" t="s">
        <v>131</v>
      </c>
      <c r="C302" s="47" t="s">
        <v>2421</v>
      </c>
      <c r="D302" s="47" t="s">
        <v>918</v>
      </c>
      <c r="E302" s="47" t="s">
        <v>920</v>
      </c>
      <c r="F302" s="45" t="s">
        <v>297</v>
      </c>
      <c r="G302" s="9" t="n">
        <v>5</v>
      </c>
      <c r="H302" s="12" t="n">
        <f aca="false">'Engineering Assumptions'!$C$37*'Engineering Assumptions'!$B$5*U302</f>
        <v>2865</v>
      </c>
      <c r="I302" s="12" t="n">
        <f aca="false">'Engineering Assumptions'!$B$8</f>
        <v>650</v>
      </c>
      <c r="J302" s="12" t="n">
        <f aca="false">'Engineering Assumptions'!$D$37*S302*U302</f>
        <v>230</v>
      </c>
      <c r="K302" s="12" t="n">
        <f aca="false">'Engineering Assumptions'!$E$37*T302*U302</f>
        <v>93</v>
      </c>
      <c r="L302" s="13" t="n">
        <f aca="false">H302+I302+J302+K302</f>
        <v>3838</v>
      </c>
      <c r="M302" s="12" t="n">
        <f aca="false">L302*'Engineering Assumptions'!$B$10</f>
        <v>575.7</v>
      </c>
      <c r="N302" s="13" t="n">
        <f aca="false">L302+M302</f>
        <v>4413.7</v>
      </c>
      <c r="O302" s="12" t="n">
        <f aca="false">N302*'Engineering Assumptions'!$B$11</f>
        <v>882.74</v>
      </c>
      <c r="P302" s="183" t="n">
        <f aca="false">MROUND(N302+O302,10)</f>
        <v>5300</v>
      </c>
      <c r="Q302" s="12" t="n">
        <f aca="false">'Fleet Pricing'!H302</f>
        <v>3250</v>
      </c>
      <c r="R302" s="41" t="n">
        <v>5</v>
      </c>
      <c r="S302" s="46" t="n">
        <v>1</v>
      </c>
      <c r="T302" s="46" t="n">
        <v>0.3</v>
      </c>
      <c r="U302" s="46" t="n">
        <v>1</v>
      </c>
    </row>
    <row r="303" customFormat="false" ht="15" hidden="false" customHeight="true" outlineLevel="0" collapsed="false">
      <c r="A303" s="9" t="n">
        <v>279</v>
      </c>
      <c r="B303" s="47" t="s">
        <v>131</v>
      </c>
      <c r="C303" s="47" t="s">
        <v>2421</v>
      </c>
      <c r="D303" s="47" t="s">
        <v>981</v>
      </c>
      <c r="E303" s="47" t="s">
        <v>982</v>
      </c>
      <c r="F303" s="45" t="s">
        <v>297</v>
      </c>
      <c r="G303" s="9" t="n">
        <v>5</v>
      </c>
      <c r="H303" s="12" t="n">
        <f aca="false">'Engineering Assumptions'!$C$37*'Engineering Assumptions'!$B$5*U303</f>
        <v>2865</v>
      </c>
      <c r="I303" s="12" t="n">
        <f aca="false">'Engineering Assumptions'!$B$8</f>
        <v>650</v>
      </c>
      <c r="J303" s="12" t="n">
        <f aca="false">'Engineering Assumptions'!$D$37*S303*U303</f>
        <v>230</v>
      </c>
      <c r="K303" s="12" t="n">
        <f aca="false">'Engineering Assumptions'!$E$37*T303*U303</f>
        <v>93</v>
      </c>
      <c r="L303" s="13" t="n">
        <f aca="false">H303+I303+J303+K303</f>
        <v>3838</v>
      </c>
      <c r="M303" s="12" t="n">
        <f aca="false">L303*'Engineering Assumptions'!$B$10</f>
        <v>575.7</v>
      </c>
      <c r="N303" s="13" t="n">
        <f aca="false">L303+M303</f>
        <v>4413.7</v>
      </c>
      <c r="O303" s="12" t="n">
        <f aca="false">N303*'Engineering Assumptions'!$B$11</f>
        <v>882.74</v>
      </c>
      <c r="P303" s="183" t="n">
        <f aca="false">MROUND(N303+O303,10)</f>
        <v>5300</v>
      </c>
      <c r="Q303" s="12" t="n">
        <f aca="false">'Fleet Pricing'!H303</f>
        <v>3250</v>
      </c>
      <c r="R303" s="41" t="n">
        <v>5</v>
      </c>
      <c r="S303" s="46" t="n">
        <v>1</v>
      </c>
      <c r="T303" s="46" t="n">
        <v>0.3</v>
      </c>
      <c r="U303" s="46" t="n">
        <v>1</v>
      </c>
    </row>
    <row r="304" customFormat="false" ht="15" hidden="false" customHeight="true" outlineLevel="0" collapsed="false">
      <c r="A304" s="9" t="n">
        <v>280</v>
      </c>
      <c r="B304" s="47" t="s">
        <v>131</v>
      </c>
      <c r="C304" s="47" t="s">
        <v>2421</v>
      </c>
      <c r="D304" s="47" t="s">
        <v>988</v>
      </c>
      <c r="E304" s="47" t="s">
        <v>989</v>
      </c>
      <c r="F304" s="45" t="s">
        <v>297</v>
      </c>
      <c r="G304" s="9" t="n">
        <v>5</v>
      </c>
      <c r="H304" s="12" t="n">
        <f aca="false">'Engineering Assumptions'!$C$37*'Engineering Assumptions'!$B$5*U304</f>
        <v>2865</v>
      </c>
      <c r="I304" s="12" t="n">
        <f aca="false">'Engineering Assumptions'!$B$8</f>
        <v>650</v>
      </c>
      <c r="J304" s="12" t="n">
        <f aca="false">'Engineering Assumptions'!$D$37*S304*U304</f>
        <v>230</v>
      </c>
      <c r="K304" s="12" t="n">
        <f aca="false">'Engineering Assumptions'!$E$37*T304*U304</f>
        <v>93</v>
      </c>
      <c r="L304" s="13" t="n">
        <f aca="false">H304+I304+J304+K304</f>
        <v>3838</v>
      </c>
      <c r="M304" s="12" t="n">
        <f aca="false">L304*'Engineering Assumptions'!$B$10</f>
        <v>575.7</v>
      </c>
      <c r="N304" s="13" t="n">
        <f aca="false">L304+M304</f>
        <v>4413.7</v>
      </c>
      <c r="O304" s="12" t="n">
        <f aca="false">N304*'Engineering Assumptions'!$B$11</f>
        <v>882.74</v>
      </c>
      <c r="P304" s="183" t="n">
        <f aca="false">MROUND(N304+O304,10)</f>
        <v>5300</v>
      </c>
      <c r="Q304" s="12" t="n">
        <f aca="false">'Fleet Pricing'!H304</f>
        <v>3250</v>
      </c>
      <c r="R304" s="41" t="n">
        <v>5</v>
      </c>
      <c r="S304" s="46" t="n">
        <v>1</v>
      </c>
      <c r="T304" s="46" t="n">
        <v>0.3</v>
      </c>
      <c r="U304" s="46" t="n">
        <v>1</v>
      </c>
    </row>
    <row r="305" customFormat="false" ht="15" hidden="false" customHeight="true" outlineLevel="0" collapsed="false">
      <c r="A305" s="9" t="n">
        <v>281</v>
      </c>
      <c r="B305" s="47" t="s">
        <v>131</v>
      </c>
      <c r="C305" s="47" t="s">
        <v>2421</v>
      </c>
      <c r="D305" s="47" t="s">
        <v>990</v>
      </c>
      <c r="E305" s="47" t="s">
        <v>991</v>
      </c>
      <c r="F305" s="45" t="s">
        <v>297</v>
      </c>
      <c r="G305" s="9" t="n">
        <v>5</v>
      </c>
      <c r="H305" s="12" t="n">
        <f aca="false">'Engineering Assumptions'!$C$37*'Engineering Assumptions'!$B$5*U305</f>
        <v>2865</v>
      </c>
      <c r="I305" s="12" t="n">
        <f aca="false">'Engineering Assumptions'!$B$8</f>
        <v>650</v>
      </c>
      <c r="J305" s="12" t="n">
        <f aca="false">'Engineering Assumptions'!$D$37*S305*U305</f>
        <v>230</v>
      </c>
      <c r="K305" s="12" t="n">
        <f aca="false">'Engineering Assumptions'!$E$37*T305*U305</f>
        <v>93</v>
      </c>
      <c r="L305" s="13" t="n">
        <f aca="false">H305+I305+J305+K305</f>
        <v>3838</v>
      </c>
      <c r="M305" s="12" t="n">
        <f aca="false">L305*'Engineering Assumptions'!$B$10</f>
        <v>575.7</v>
      </c>
      <c r="N305" s="13" t="n">
        <f aca="false">L305+M305</f>
        <v>4413.7</v>
      </c>
      <c r="O305" s="12" t="n">
        <f aca="false">N305*'Engineering Assumptions'!$B$11</f>
        <v>882.74</v>
      </c>
      <c r="P305" s="183" t="n">
        <f aca="false">MROUND(N305+O305,10)</f>
        <v>5300</v>
      </c>
      <c r="Q305" s="12" t="n">
        <f aca="false">'Fleet Pricing'!H305</f>
        <v>3250</v>
      </c>
      <c r="R305" s="41" t="n">
        <v>5</v>
      </c>
      <c r="S305" s="46" t="n">
        <v>1</v>
      </c>
      <c r="T305" s="46" t="n">
        <v>0.3</v>
      </c>
      <c r="U305" s="46" t="n">
        <v>1</v>
      </c>
    </row>
    <row r="306" customFormat="false" ht="15" hidden="false" customHeight="true" outlineLevel="0" collapsed="false">
      <c r="A306" s="9" t="n">
        <v>282</v>
      </c>
      <c r="B306" s="47" t="s">
        <v>131</v>
      </c>
      <c r="C306" s="47" t="s">
        <v>2421</v>
      </c>
      <c r="D306" s="47" t="s">
        <v>992</v>
      </c>
      <c r="E306" s="47" t="s">
        <v>993</v>
      </c>
      <c r="F306" s="45" t="s">
        <v>297</v>
      </c>
      <c r="G306" s="9" t="n">
        <v>5</v>
      </c>
      <c r="H306" s="12" t="n">
        <f aca="false">'Engineering Assumptions'!$C$37*'Engineering Assumptions'!$B$5*U306</f>
        <v>2865</v>
      </c>
      <c r="I306" s="12" t="n">
        <f aca="false">'Engineering Assumptions'!$B$8</f>
        <v>650</v>
      </c>
      <c r="J306" s="12" t="n">
        <f aca="false">'Engineering Assumptions'!$D$37*S306*U306</f>
        <v>230</v>
      </c>
      <c r="K306" s="12" t="n">
        <f aca="false">'Engineering Assumptions'!$E$37*T306*U306</f>
        <v>93</v>
      </c>
      <c r="L306" s="13" t="n">
        <f aca="false">H306+I306+J306+K306</f>
        <v>3838</v>
      </c>
      <c r="M306" s="12" t="n">
        <f aca="false">L306*'Engineering Assumptions'!$B$10</f>
        <v>575.7</v>
      </c>
      <c r="N306" s="13" t="n">
        <f aca="false">L306+M306</f>
        <v>4413.7</v>
      </c>
      <c r="O306" s="12" t="n">
        <f aca="false">N306*'Engineering Assumptions'!$B$11</f>
        <v>882.74</v>
      </c>
      <c r="P306" s="183" t="n">
        <f aca="false">MROUND(N306+O306,10)</f>
        <v>5300</v>
      </c>
      <c r="Q306" s="12" t="n">
        <f aca="false">'Fleet Pricing'!H306</f>
        <v>3250</v>
      </c>
      <c r="R306" s="41" t="n">
        <v>5</v>
      </c>
      <c r="S306" s="46" t="n">
        <v>1</v>
      </c>
      <c r="T306" s="46" t="n">
        <v>0.3</v>
      </c>
      <c r="U306" s="46" t="n">
        <v>1</v>
      </c>
    </row>
    <row r="307" customFormat="false" ht="15" hidden="false" customHeight="true" outlineLevel="0" collapsed="false">
      <c r="A307" s="9" t="n">
        <v>283</v>
      </c>
      <c r="B307" s="47" t="s">
        <v>131</v>
      </c>
      <c r="C307" s="47" t="s">
        <v>2421</v>
      </c>
      <c r="D307" s="47" t="s">
        <v>994</v>
      </c>
      <c r="E307" s="47" t="s">
        <v>995</v>
      </c>
      <c r="F307" s="45" t="s">
        <v>297</v>
      </c>
      <c r="G307" s="9" t="n">
        <v>5</v>
      </c>
      <c r="H307" s="12" t="n">
        <f aca="false">'Engineering Assumptions'!$C$37*'Engineering Assumptions'!$B$5*U307</f>
        <v>2865</v>
      </c>
      <c r="I307" s="12" t="n">
        <f aca="false">'Engineering Assumptions'!$B$8</f>
        <v>650</v>
      </c>
      <c r="J307" s="12" t="n">
        <f aca="false">'Engineering Assumptions'!$D$37*S307*U307</f>
        <v>230</v>
      </c>
      <c r="K307" s="12" t="n">
        <f aca="false">'Engineering Assumptions'!$E$37*T307*U307</f>
        <v>93</v>
      </c>
      <c r="L307" s="13" t="n">
        <f aca="false">H307+I307+J307+K307</f>
        <v>3838</v>
      </c>
      <c r="M307" s="12" t="n">
        <f aca="false">L307*'Engineering Assumptions'!$B$10</f>
        <v>575.7</v>
      </c>
      <c r="N307" s="13" t="n">
        <f aca="false">L307+M307</f>
        <v>4413.7</v>
      </c>
      <c r="O307" s="12" t="n">
        <f aca="false">N307*'Engineering Assumptions'!$B$11</f>
        <v>882.74</v>
      </c>
      <c r="P307" s="183" t="n">
        <f aca="false">MROUND(N307+O307,10)</f>
        <v>5300</v>
      </c>
      <c r="Q307" s="12" t="n">
        <f aca="false">'Fleet Pricing'!H307</f>
        <v>3250</v>
      </c>
      <c r="R307" s="41" t="n">
        <v>5</v>
      </c>
      <c r="S307" s="46" t="n">
        <v>1</v>
      </c>
      <c r="T307" s="46" t="n">
        <v>0.3</v>
      </c>
      <c r="U307" s="46" t="n">
        <v>1</v>
      </c>
    </row>
    <row r="308" customFormat="false" ht="15" hidden="false" customHeight="true" outlineLevel="0" collapsed="false">
      <c r="A308" s="9" t="n">
        <v>284</v>
      </c>
      <c r="B308" s="47" t="s">
        <v>131</v>
      </c>
      <c r="C308" s="47" t="s">
        <v>2421</v>
      </c>
      <c r="D308" s="47" t="s">
        <v>996</v>
      </c>
      <c r="E308" s="47" t="s">
        <v>997</v>
      </c>
      <c r="F308" s="45" t="s">
        <v>297</v>
      </c>
      <c r="G308" s="9" t="n">
        <v>5</v>
      </c>
      <c r="H308" s="12" t="n">
        <f aca="false">'Engineering Assumptions'!$C$37*'Engineering Assumptions'!$B$5*U308</f>
        <v>2865</v>
      </c>
      <c r="I308" s="12" t="n">
        <f aca="false">'Engineering Assumptions'!$B$8</f>
        <v>650</v>
      </c>
      <c r="J308" s="12" t="n">
        <f aca="false">'Engineering Assumptions'!$D$37*S308*U308</f>
        <v>230</v>
      </c>
      <c r="K308" s="12" t="n">
        <f aca="false">'Engineering Assumptions'!$E$37*T308*U308</f>
        <v>93</v>
      </c>
      <c r="L308" s="13" t="n">
        <f aca="false">H308+I308+J308+K308</f>
        <v>3838</v>
      </c>
      <c r="M308" s="12" t="n">
        <f aca="false">L308*'Engineering Assumptions'!$B$10</f>
        <v>575.7</v>
      </c>
      <c r="N308" s="13" t="n">
        <f aca="false">L308+M308</f>
        <v>4413.7</v>
      </c>
      <c r="O308" s="12" t="n">
        <f aca="false">N308*'Engineering Assumptions'!$B$11</f>
        <v>882.74</v>
      </c>
      <c r="P308" s="183" t="n">
        <f aca="false">MROUND(N308+O308,10)</f>
        <v>5300</v>
      </c>
      <c r="Q308" s="12" t="n">
        <f aca="false">'Fleet Pricing'!H308</f>
        <v>3250</v>
      </c>
      <c r="R308" s="41" t="n">
        <v>5</v>
      </c>
      <c r="S308" s="46" t="n">
        <v>1</v>
      </c>
      <c r="T308" s="46" t="n">
        <v>0.3</v>
      </c>
      <c r="U308" s="46" t="n">
        <v>1</v>
      </c>
    </row>
    <row r="309" customFormat="false" ht="15" hidden="false" customHeight="true" outlineLevel="0" collapsed="false">
      <c r="A309" s="9" t="n">
        <v>285</v>
      </c>
      <c r="B309" s="47" t="s">
        <v>131</v>
      </c>
      <c r="C309" s="47" t="s">
        <v>2421</v>
      </c>
      <c r="D309" s="47" t="s">
        <v>998</v>
      </c>
      <c r="E309" s="47" t="s">
        <v>999</v>
      </c>
      <c r="F309" s="45" t="s">
        <v>297</v>
      </c>
      <c r="G309" s="9" t="n">
        <v>5</v>
      </c>
      <c r="H309" s="12" t="n">
        <f aca="false">'Engineering Assumptions'!$C$37*'Engineering Assumptions'!$B$5*U309</f>
        <v>2865</v>
      </c>
      <c r="I309" s="12" t="n">
        <f aca="false">'Engineering Assumptions'!$B$8</f>
        <v>650</v>
      </c>
      <c r="J309" s="12" t="n">
        <f aca="false">'Engineering Assumptions'!$D$37*S309*U309</f>
        <v>230</v>
      </c>
      <c r="K309" s="12" t="n">
        <f aca="false">'Engineering Assumptions'!$E$37*T309*U309</f>
        <v>93</v>
      </c>
      <c r="L309" s="13" t="n">
        <f aca="false">H309+I309+J309+K309</f>
        <v>3838</v>
      </c>
      <c r="M309" s="12" t="n">
        <f aca="false">L309*'Engineering Assumptions'!$B$10</f>
        <v>575.7</v>
      </c>
      <c r="N309" s="13" t="n">
        <f aca="false">L309+M309</f>
        <v>4413.7</v>
      </c>
      <c r="O309" s="12" t="n">
        <f aca="false">N309*'Engineering Assumptions'!$B$11</f>
        <v>882.74</v>
      </c>
      <c r="P309" s="183" t="n">
        <f aca="false">MROUND(N309+O309,10)</f>
        <v>5300</v>
      </c>
      <c r="Q309" s="12" t="n">
        <f aca="false">'Fleet Pricing'!H309</f>
        <v>3250</v>
      </c>
      <c r="R309" s="41" t="n">
        <v>5</v>
      </c>
      <c r="S309" s="46" t="n">
        <v>1</v>
      </c>
      <c r="T309" s="46" t="n">
        <v>0.3</v>
      </c>
      <c r="U309" s="46" t="n">
        <v>1</v>
      </c>
    </row>
    <row r="310" customFormat="false" ht="15" hidden="false" customHeight="true" outlineLevel="0" collapsed="false">
      <c r="A310" s="9" t="n">
        <v>286</v>
      </c>
      <c r="B310" s="47" t="s">
        <v>131</v>
      </c>
      <c r="C310" s="47" t="s">
        <v>2421</v>
      </c>
      <c r="D310" s="47" t="s">
        <v>1000</v>
      </c>
      <c r="E310" s="47" t="s">
        <v>1001</v>
      </c>
      <c r="F310" s="45" t="s">
        <v>297</v>
      </c>
      <c r="G310" s="9" t="n">
        <v>5</v>
      </c>
      <c r="H310" s="12" t="n">
        <f aca="false">'Engineering Assumptions'!$C$37*'Engineering Assumptions'!$B$5*U310</f>
        <v>2865</v>
      </c>
      <c r="I310" s="12" t="n">
        <f aca="false">'Engineering Assumptions'!$B$8</f>
        <v>650</v>
      </c>
      <c r="J310" s="12" t="n">
        <f aca="false">'Engineering Assumptions'!$D$37*S310*U310</f>
        <v>230</v>
      </c>
      <c r="K310" s="12" t="n">
        <f aca="false">'Engineering Assumptions'!$E$37*T310*U310</f>
        <v>93</v>
      </c>
      <c r="L310" s="13" t="n">
        <f aca="false">H310+I310+J310+K310</f>
        <v>3838</v>
      </c>
      <c r="M310" s="12" t="n">
        <f aca="false">L310*'Engineering Assumptions'!$B$10</f>
        <v>575.7</v>
      </c>
      <c r="N310" s="13" t="n">
        <f aca="false">L310+M310</f>
        <v>4413.7</v>
      </c>
      <c r="O310" s="12" t="n">
        <f aca="false">N310*'Engineering Assumptions'!$B$11</f>
        <v>882.74</v>
      </c>
      <c r="P310" s="183" t="n">
        <f aca="false">MROUND(N310+O310,10)</f>
        <v>5300</v>
      </c>
      <c r="Q310" s="12" t="n">
        <f aca="false">'Fleet Pricing'!H310</f>
        <v>3250</v>
      </c>
      <c r="R310" s="41" t="n">
        <v>5</v>
      </c>
      <c r="S310" s="46" t="n">
        <v>1</v>
      </c>
      <c r="T310" s="46" t="n">
        <v>0.3</v>
      </c>
      <c r="U310" s="46" t="n">
        <v>1</v>
      </c>
    </row>
    <row r="311" customFormat="false" ht="15" hidden="false" customHeight="true" outlineLevel="0" collapsed="false">
      <c r="A311" s="9" t="n">
        <v>287</v>
      </c>
      <c r="B311" s="47" t="s">
        <v>131</v>
      </c>
      <c r="C311" s="47" t="s">
        <v>2421</v>
      </c>
      <c r="D311" s="47" t="s">
        <v>1002</v>
      </c>
      <c r="E311" s="47" t="s">
        <v>1003</v>
      </c>
      <c r="F311" s="45" t="s">
        <v>297</v>
      </c>
      <c r="G311" s="9" t="n">
        <v>5</v>
      </c>
      <c r="H311" s="12" t="n">
        <f aca="false">'Engineering Assumptions'!$C$37*'Engineering Assumptions'!$B$5*U311</f>
        <v>2865</v>
      </c>
      <c r="I311" s="12" t="n">
        <f aca="false">'Engineering Assumptions'!$B$8</f>
        <v>650</v>
      </c>
      <c r="J311" s="12" t="n">
        <f aca="false">'Engineering Assumptions'!$D$37*S311*U311</f>
        <v>230</v>
      </c>
      <c r="K311" s="12" t="n">
        <f aca="false">'Engineering Assumptions'!$E$37*T311*U311</f>
        <v>93</v>
      </c>
      <c r="L311" s="13" t="n">
        <f aca="false">H311+I311+J311+K311</f>
        <v>3838</v>
      </c>
      <c r="M311" s="12" t="n">
        <f aca="false">L311*'Engineering Assumptions'!$B$10</f>
        <v>575.7</v>
      </c>
      <c r="N311" s="13" t="n">
        <f aca="false">L311+M311</f>
        <v>4413.7</v>
      </c>
      <c r="O311" s="12" t="n">
        <f aca="false">N311*'Engineering Assumptions'!$B$11</f>
        <v>882.74</v>
      </c>
      <c r="P311" s="183" t="n">
        <f aca="false">MROUND(N311+O311,10)</f>
        <v>5300</v>
      </c>
      <c r="Q311" s="12" t="n">
        <f aca="false">'Fleet Pricing'!H311</f>
        <v>3250</v>
      </c>
      <c r="R311" s="41" t="n">
        <v>5</v>
      </c>
      <c r="S311" s="46" t="n">
        <v>1</v>
      </c>
      <c r="T311" s="46" t="n">
        <v>0.3</v>
      </c>
      <c r="U311" s="46" t="n">
        <v>1</v>
      </c>
    </row>
    <row r="312" customFormat="false" ht="15" hidden="false" customHeight="true" outlineLevel="0" collapsed="false">
      <c r="A312" s="9" t="n">
        <v>288</v>
      </c>
      <c r="B312" s="47" t="s">
        <v>131</v>
      </c>
      <c r="C312" s="47" t="s">
        <v>2421</v>
      </c>
      <c r="D312" s="47" t="s">
        <v>1004</v>
      </c>
      <c r="E312" s="47" t="s">
        <v>1005</v>
      </c>
      <c r="F312" s="45" t="s">
        <v>297</v>
      </c>
      <c r="G312" s="9" t="n">
        <v>5</v>
      </c>
      <c r="H312" s="12" t="n">
        <f aca="false">'Engineering Assumptions'!$C$37*'Engineering Assumptions'!$B$5*U312</f>
        <v>2865</v>
      </c>
      <c r="I312" s="12" t="n">
        <f aca="false">'Engineering Assumptions'!$B$8</f>
        <v>650</v>
      </c>
      <c r="J312" s="12" t="n">
        <f aca="false">'Engineering Assumptions'!$D$37*S312*U312</f>
        <v>230</v>
      </c>
      <c r="K312" s="12" t="n">
        <f aca="false">'Engineering Assumptions'!$E$37*T312*U312</f>
        <v>93</v>
      </c>
      <c r="L312" s="13" t="n">
        <f aca="false">H312+I312+J312+K312</f>
        <v>3838</v>
      </c>
      <c r="M312" s="12" t="n">
        <f aca="false">L312*'Engineering Assumptions'!$B$10</f>
        <v>575.7</v>
      </c>
      <c r="N312" s="13" t="n">
        <f aca="false">L312+M312</f>
        <v>4413.7</v>
      </c>
      <c r="O312" s="12" t="n">
        <f aca="false">N312*'Engineering Assumptions'!$B$11</f>
        <v>882.74</v>
      </c>
      <c r="P312" s="183" t="n">
        <f aca="false">MROUND(N312+O312,10)</f>
        <v>5300</v>
      </c>
      <c r="Q312" s="12" t="n">
        <f aca="false">'Fleet Pricing'!H312</f>
        <v>3250</v>
      </c>
      <c r="R312" s="41" t="n">
        <v>5</v>
      </c>
      <c r="S312" s="46" t="n">
        <v>1</v>
      </c>
      <c r="T312" s="46" t="n">
        <v>0.3</v>
      </c>
      <c r="U312" s="46" t="n">
        <v>1</v>
      </c>
    </row>
    <row r="313" customFormat="false" ht="15" hidden="false" customHeight="true" outlineLevel="0" collapsed="false">
      <c r="A313" s="9" t="n">
        <v>289</v>
      </c>
      <c r="B313" s="47" t="s">
        <v>131</v>
      </c>
      <c r="C313" s="47" t="s">
        <v>2421</v>
      </c>
      <c r="D313" s="47" t="s">
        <v>1006</v>
      </c>
      <c r="E313" s="47" t="s">
        <v>1007</v>
      </c>
      <c r="F313" s="45" t="s">
        <v>297</v>
      </c>
      <c r="G313" s="9" t="n">
        <v>5</v>
      </c>
      <c r="H313" s="12" t="n">
        <f aca="false">'Engineering Assumptions'!$C$37*'Engineering Assumptions'!$B$5*U313</f>
        <v>2865</v>
      </c>
      <c r="I313" s="12" t="n">
        <f aca="false">'Engineering Assumptions'!$B$8</f>
        <v>650</v>
      </c>
      <c r="J313" s="12" t="n">
        <f aca="false">'Engineering Assumptions'!$D$37*S313*U313</f>
        <v>230</v>
      </c>
      <c r="K313" s="12" t="n">
        <f aca="false">'Engineering Assumptions'!$E$37*T313*U313</f>
        <v>93</v>
      </c>
      <c r="L313" s="13" t="n">
        <f aca="false">H313+I313+J313+K313</f>
        <v>3838</v>
      </c>
      <c r="M313" s="12" t="n">
        <f aca="false">L313*'Engineering Assumptions'!$B$10</f>
        <v>575.7</v>
      </c>
      <c r="N313" s="13" t="n">
        <f aca="false">L313+M313</f>
        <v>4413.7</v>
      </c>
      <c r="O313" s="12" t="n">
        <f aca="false">N313*'Engineering Assumptions'!$B$11</f>
        <v>882.74</v>
      </c>
      <c r="P313" s="183" t="n">
        <f aca="false">MROUND(N313+O313,10)</f>
        <v>5300</v>
      </c>
      <c r="Q313" s="12" t="n">
        <f aca="false">'Fleet Pricing'!H313</f>
        <v>3250</v>
      </c>
      <c r="R313" s="41" t="n">
        <v>5</v>
      </c>
      <c r="S313" s="46" t="n">
        <v>1</v>
      </c>
      <c r="T313" s="46" t="n">
        <v>0.3</v>
      </c>
      <c r="U313" s="46" t="n">
        <v>1</v>
      </c>
    </row>
    <row r="314" customFormat="false" ht="15" hidden="false" customHeight="true" outlineLevel="0" collapsed="false">
      <c r="A314" s="9" t="n">
        <v>290</v>
      </c>
      <c r="B314" s="47" t="s">
        <v>131</v>
      </c>
      <c r="C314" s="47" t="s">
        <v>2421</v>
      </c>
      <c r="D314" s="47" t="s">
        <v>1014</v>
      </c>
      <c r="E314" s="47" t="s">
        <v>1015</v>
      </c>
      <c r="F314" s="45" t="s">
        <v>297</v>
      </c>
      <c r="G314" s="9" t="n">
        <v>5</v>
      </c>
      <c r="H314" s="12" t="n">
        <f aca="false">'Engineering Assumptions'!$C$37*'Engineering Assumptions'!$B$5*U314</f>
        <v>2865</v>
      </c>
      <c r="I314" s="12" t="n">
        <f aca="false">'Engineering Assumptions'!$B$8</f>
        <v>650</v>
      </c>
      <c r="J314" s="12" t="n">
        <f aca="false">'Engineering Assumptions'!$D$37*S314*U314</f>
        <v>230</v>
      </c>
      <c r="K314" s="12" t="n">
        <f aca="false">'Engineering Assumptions'!$E$37*T314*U314</f>
        <v>93</v>
      </c>
      <c r="L314" s="13" t="n">
        <f aca="false">H314+I314+J314+K314</f>
        <v>3838</v>
      </c>
      <c r="M314" s="12" t="n">
        <f aca="false">L314*'Engineering Assumptions'!$B$10</f>
        <v>575.7</v>
      </c>
      <c r="N314" s="13" t="n">
        <f aca="false">L314+M314</f>
        <v>4413.7</v>
      </c>
      <c r="O314" s="12" t="n">
        <f aca="false">N314*'Engineering Assumptions'!$B$11</f>
        <v>882.74</v>
      </c>
      <c r="P314" s="183" t="n">
        <f aca="false">MROUND(N314+O314,10)</f>
        <v>5300</v>
      </c>
      <c r="Q314" s="12" t="n">
        <f aca="false">'Fleet Pricing'!H314</f>
        <v>3250</v>
      </c>
      <c r="R314" s="41" t="n">
        <v>5</v>
      </c>
      <c r="S314" s="46" t="n">
        <v>1</v>
      </c>
      <c r="T314" s="46" t="n">
        <v>0.3</v>
      </c>
      <c r="U314" s="46" t="n">
        <v>1</v>
      </c>
    </row>
    <row r="315" customFormat="false" ht="15" hidden="false" customHeight="true" outlineLevel="0" collapsed="false">
      <c r="A315" s="9" t="n">
        <v>291</v>
      </c>
      <c r="B315" s="47" t="s">
        <v>131</v>
      </c>
      <c r="C315" s="47" t="s">
        <v>2421</v>
      </c>
      <c r="D315" s="47" t="s">
        <v>1016</v>
      </c>
      <c r="E315" s="47" t="s">
        <v>1017</v>
      </c>
      <c r="F315" s="45" t="s">
        <v>297</v>
      </c>
      <c r="G315" s="9" t="n">
        <v>5</v>
      </c>
      <c r="H315" s="12" t="n">
        <f aca="false">'Engineering Assumptions'!$C$37*'Engineering Assumptions'!$B$5*U315</f>
        <v>2865</v>
      </c>
      <c r="I315" s="12" t="n">
        <f aca="false">'Engineering Assumptions'!$B$8</f>
        <v>650</v>
      </c>
      <c r="J315" s="12" t="n">
        <f aca="false">'Engineering Assumptions'!$D$37*S315*U315</f>
        <v>230</v>
      </c>
      <c r="K315" s="12" t="n">
        <f aca="false">'Engineering Assumptions'!$E$37*T315*U315</f>
        <v>93</v>
      </c>
      <c r="L315" s="13" t="n">
        <f aca="false">H315+I315+J315+K315</f>
        <v>3838</v>
      </c>
      <c r="M315" s="12" t="n">
        <f aca="false">L315*'Engineering Assumptions'!$B$10</f>
        <v>575.7</v>
      </c>
      <c r="N315" s="13" t="n">
        <f aca="false">L315+M315</f>
        <v>4413.7</v>
      </c>
      <c r="O315" s="12" t="n">
        <f aca="false">N315*'Engineering Assumptions'!$B$11</f>
        <v>882.74</v>
      </c>
      <c r="P315" s="183" t="n">
        <f aca="false">MROUND(N315+O315,10)</f>
        <v>5300</v>
      </c>
      <c r="Q315" s="12" t="n">
        <f aca="false">'Fleet Pricing'!H315</f>
        <v>3250</v>
      </c>
      <c r="R315" s="41" t="n">
        <v>5</v>
      </c>
      <c r="S315" s="46" t="n">
        <v>1</v>
      </c>
      <c r="T315" s="46" t="n">
        <v>0.3</v>
      </c>
      <c r="U315" s="46" t="n">
        <v>1</v>
      </c>
    </row>
    <row r="316" customFormat="false" ht="15" hidden="false" customHeight="true" outlineLevel="0" collapsed="false">
      <c r="A316" s="9" t="n">
        <v>292</v>
      </c>
      <c r="B316" s="47" t="s">
        <v>131</v>
      </c>
      <c r="C316" s="47" t="s">
        <v>2421</v>
      </c>
      <c r="D316" s="47" t="s">
        <v>1018</v>
      </c>
      <c r="E316" s="47" t="s">
        <v>1019</v>
      </c>
      <c r="F316" s="45" t="s">
        <v>297</v>
      </c>
      <c r="G316" s="9" t="n">
        <v>5</v>
      </c>
      <c r="H316" s="12" t="n">
        <f aca="false">'Engineering Assumptions'!$C$37*'Engineering Assumptions'!$B$5*U316</f>
        <v>2865</v>
      </c>
      <c r="I316" s="12" t="n">
        <f aca="false">'Engineering Assumptions'!$B$8</f>
        <v>650</v>
      </c>
      <c r="J316" s="12" t="n">
        <f aca="false">'Engineering Assumptions'!$D$37*S316*U316</f>
        <v>230</v>
      </c>
      <c r="K316" s="12" t="n">
        <f aca="false">'Engineering Assumptions'!$E$37*T316*U316</f>
        <v>93</v>
      </c>
      <c r="L316" s="13" t="n">
        <f aca="false">H316+I316+J316+K316</f>
        <v>3838</v>
      </c>
      <c r="M316" s="12" t="n">
        <f aca="false">L316*'Engineering Assumptions'!$B$10</f>
        <v>575.7</v>
      </c>
      <c r="N316" s="13" t="n">
        <f aca="false">L316+M316</f>
        <v>4413.7</v>
      </c>
      <c r="O316" s="12" t="n">
        <f aca="false">N316*'Engineering Assumptions'!$B$11</f>
        <v>882.74</v>
      </c>
      <c r="P316" s="183" t="n">
        <f aca="false">MROUND(N316+O316,10)</f>
        <v>5300</v>
      </c>
      <c r="Q316" s="12" t="n">
        <f aca="false">'Fleet Pricing'!H316</f>
        <v>3250</v>
      </c>
      <c r="R316" s="41" t="n">
        <v>5</v>
      </c>
      <c r="S316" s="46" t="n">
        <v>1</v>
      </c>
      <c r="T316" s="46" t="n">
        <v>0.3</v>
      </c>
      <c r="U316" s="46" t="n">
        <v>1</v>
      </c>
    </row>
    <row r="317" customFormat="false" ht="15" hidden="false" customHeight="true" outlineLevel="0" collapsed="false">
      <c r="A317" s="9" t="n">
        <v>293</v>
      </c>
      <c r="B317" s="47" t="s">
        <v>131</v>
      </c>
      <c r="C317" s="47" t="s">
        <v>2421</v>
      </c>
      <c r="D317" s="47" t="s">
        <v>1020</v>
      </c>
      <c r="E317" s="47" t="s">
        <v>1021</v>
      </c>
      <c r="F317" s="45" t="s">
        <v>297</v>
      </c>
      <c r="G317" s="9" t="n">
        <v>5</v>
      </c>
      <c r="H317" s="12" t="n">
        <f aca="false">'Engineering Assumptions'!$C$37*'Engineering Assumptions'!$B$5*U317</f>
        <v>2865</v>
      </c>
      <c r="I317" s="12" t="n">
        <f aca="false">'Engineering Assumptions'!$B$8</f>
        <v>650</v>
      </c>
      <c r="J317" s="12" t="n">
        <f aca="false">'Engineering Assumptions'!$D$37*S317*U317</f>
        <v>230</v>
      </c>
      <c r="K317" s="12" t="n">
        <f aca="false">'Engineering Assumptions'!$E$37*T317*U317</f>
        <v>93</v>
      </c>
      <c r="L317" s="13" t="n">
        <f aca="false">H317+I317+J317+K317</f>
        <v>3838</v>
      </c>
      <c r="M317" s="12" t="n">
        <f aca="false">L317*'Engineering Assumptions'!$B$10</f>
        <v>575.7</v>
      </c>
      <c r="N317" s="13" t="n">
        <f aca="false">L317+M317</f>
        <v>4413.7</v>
      </c>
      <c r="O317" s="12" t="n">
        <f aca="false">N317*'Engineering Assumptions'!$B$11</f>
        <v>882.74</v>
      </c>
      <c r="P317" s="183" t="n">
        <f aca="false">MROUND(N317+O317,10)</f>
        <v>5300</v>
      </c>
      <c r="Q317" s="12" t="n">
        <f aca="false">'Fleet Pricing'!H317</f>
        <v>3250</v>
      </c>
      <c r="R317" s="41" t="n">
        <v>5</v>
      </c>
      <c r="S317" s="46" t="n">
        <v>1</v>
      </c>
      <c r="T317" s="46" t="n">
        <v>0.3</v>
      </c>
      <c r="U317" s="46" t="n">
        <v>1</v>
      </c>
    </row>
    <row r="318" customFormat="false" ht="15" hidden="false" customHeight="true" outlineLevel="0" collapsed="false">
      <c r="A318" s="9" t="n">
        <v>294</v>
      </c>
      <c r="B318" s="47" t="s">
        <v>131</v>
      </c>
      <c r="C318" s="47" t="s">
        <v>2421</v>
      </c>
      <c r="D318" s="47" t="s">
        <v>1022</v>
      </c>
      <c r="E318" s="47" t="s">
        <v>1023</v>
      </c>
      <c r="F318" s="45" t="s">
        <v>297</v>
      </c>
      <c r="G318" s="9" t="n">
        <v>5</v>
      </c>
      <c r="H318" s="12" t="n">
        <f aca="false">'Engineering Assumptions'!$C$37*'Engineering Assumptions'!$B$5*U318</f>
        <v>2865</v>
      </c>
      <c r="I318" s="12" t="n">
        <f aca="false">'Engineering Assumptions'!$B$8</f>
        <v>650</v>
      </c>
      <c r="J318" s="12" t="n">
        <f aca="false">'Engineering Assumptions'!$D$37*S318*U318</f>
        <v>230</v>
      </c>
      <c r="K318" s="12" t="n">
        <f aca="false">'Engineering Assumptions'!$E$37*T318*U318</f>
        <v>93</v>
      </c>
      <c r="L318" s="13" t="n">
        <f aca="false">H318+I318+J318+K318</f>
        <v>3838</v>
      </c>
      <c r="M318" s="12" t="n">
        <f aca="false">L318*'Engineering Assumptions'!$B$10</f>
        <v>575.7</v>
      </c>
      <c r="N318" s="13" t="n">
        <f aca="false">L318+M318</f>
        <v>4413.7</v>
      </c>
      <c r="O318" s="12" t="n">
        <f aca="false">N318*'Engineering Assumptions'!$B$11</f>
        <v>882.74</v>
      </c>
      <c r="P318" s="183" t="n">
        <f aca="false">MROUND(N318+O318,10)</f>
        <v>5300</v>
      </c>
      <c r="Q318" s="12" t="n">
        <f aca="false">'Fleet Pricing'!H318</f>
        <v>3250</v>
      </c>
      <c r="R318" s="41" t="n">
        <v>5</v>
      </c>
      <c r="S318" s="46" t="n">
        <v>1</v>
      </c>
      <c r="T318" s="46" t="n">
        <v>0.3</v>
      </c>
      <c r="U318" s="46" t="n">
        <v>1</v>
      </c>
    </row>
    <row r="319" customFormat="false" ht="15" hidden="false" customHeight="true" outlineLevel="0" collapsed="false">
      <c r="A319" s="9" t="n">
        <v>295</v>
      </c>
      <c r="B319" s="47" t="s">
        <v>131</v>
      </c>
      <c r="C319" s="47" t="s">
        <v>2421</v>
      </c>
      <c r="D319" s="47" t="s">
        <v>1024</v>
      </c>
      <c r="E319" s="47" t="s">
        <v>1025</v>
      </c>
      <c r="F319" s="45" t="s">
        <v>297</v>
      </c>
      <c r="G319" s="9" t="n">
        <v>5</v>
      </c>
      <c r="H319" s="12" t="n">
        <f aca="false">'Engineering Assumptions'!$C$37*'Engineering Assumptions'!$B$5*U319</f>
        <v>2865</v>
      </c>
      <c r="I319" s="12" t="n">
        <f aca="false">'Engineering Assumptions'!$B$8</f>
        <v>650</v>
      </c>
      <c r="J319" s="12" t="n">
        <f aca="false">'Engineering Assumptions'!$D$37*S319*U319</f>
        <v>230</v>
      </c>
      <c r="K319" s="12" t="n">
        <f aca="false">'Engineering Assumptions'!$E$37*T319*U319</f>
        <v>93</v>
      </c>
      <c r="L319" s="13" t="n">
        <f aca="false">H319+I319+J319+K319</f>
        <v>3838</v>
      </c>
      <c r="M319" s="12" t="n">
        <f aca="false">L319*'Engineering Assumptions'!$B$10</f>
        <v>575.7</v>
      </c>
      <c r="N319" s="13" t="n">
        <f aca="false">L319+M319</f>
        <v>4413.7</v>
      </c>
      <c r="O319" s="12" t="n">
        <f aca="false">N319*'Engineering Assumptions'!$B$11</f>
        <v>882.74</v>
      </c>
      <c r="P319" s="183" t="n">
        <f aca="false">MROUND(N319+O319,10)</f>
        <v>5300</v>
      </c>
      <c r="Q319" s="12" t="n">
        <f aca="false">'Fleet Pricing'!H319</f>
        <v>3250</v>
      </c>
      <c r="R319" s="41" t="n">
        <v>5</v>
      </c>
      <c r="S319" s="46" t="n">
        <v>1</v>
      </c>
      <c r="T319" s="46" t="n">
        <v>0.3</v>
      </c>
      <c r="U319" s="46" t="n">
        <v>1</v>
      </c>
    </row>
    <row r="320" customFormat="false" ht="15" hidden="false" customHeight="true" outlineLevel="0" collapsed="false">
      <c r="A320" s="9" t="n">
        <v>296</v>
      </c>
      <c r="B320" s="47" t="s">
        <v>131</v>
      </c>
      <c r="C320" s="47" t="s">
        <v>2421</v>
      </c>
      <c r="D320" s="47" t="s">
        <v>1026</v>
      </c>
      <c r="E320" s="47" t="s">
        <v>1027</v>
      </c>
      <c r="F320" s="45" t="s">
        <v>297</v>
      </c>
      <c r="G320" s="9" t="n">
        <v>5</v>
      </c>
      <c r="H320" s="12" t="n">
        <f aca="false">'Engineering Assumptions'!$C$37*'Engineering Assumptions'!$B$5*U320</f>
        <v>2865</v>
      </c>
      <c r="I320" s="12" t="n">
        <f aca="false">'Engineering Assumptions'!$B$8</f>
        <v>650</v>
      </c>
      <c r="J320" s="12" t="n">
        <f aca="false">'Engineering Assumptions'!$D$37*S320*U320</f>
        <v>230</v>
      </c>
      <c r="K320" s="12" t="n">
        <f aca="false">'Engineering Assumptions'!$E$37*T320*U320</f>
        <v>93</v>
      </c>
      <c r="L320" s="13" t="n">
        <f aca="false">H320+I320+J320+K320</f>
        <v>3838</v>
      </c>
      <c r="M320" s="12" t="n">
        <f aca="false">L320*'Engineering Assumptions'!$B$10</f>
        <v>575.7</v>
      </c>
      <c r="N320" s="13" t="n">
        <f aca="false">L320+M320</f>
        <v>4413.7</v>
      </c>
      <c r="O320" s="12" t="n">
        <f aca="false">N320*'Engineering Assumptions'!$B$11</f>
        <v>882.74</v>
      </c>
      <c r="P320" s="183" t="n">
        <f aca="false">MROUND(N320+O320,10)</f>
        <v>5300</v>
      </c>
      <c r="Q320" s="12" t="n">
        <f aca="false">'Fleet Pricing'!H320</f>
        <v>3250</v>
      </c>
      <c r="R320" s="41" t="n">
        <v>5</v>
      </c>
      <c r="S320" s="46" t="n">
        <v>1</v>
      </c>
      <c r="T320" s="46" t="n">
        <v>0.3</v>
      </c>
      <c r="U320" s="46" t="n">
        <v>1</v>
      </c>
    </row>
    <row r="321" customFormat="false" ht="15" hidden="false" customHeight="true" outlineLevel="0" collapsed="false">
      <c r="A321" s="9" t="n">
        <v>297</v>
      </c>
      <c r="B321" s="47" t="s">
        <v>131</v>
      </c>
      <c r="C321" s="47" t="s">
        <v>2421</v>
      </c>
      <c r="D321" s="47" t="s">
        <v>1028</v>
      </c>
      <c r="E321" s="47" t="s">
        <v>1029</v>
      </c>
      <c r="F321" s="45" t="s">
        <v>297</v>
      </c>
      <c r="G321" s="9" t="n">
        <v>5</v>
      </c>
      <c r="H321" s="12" t="n">
        <f aca="false">'Engineering Assumptions'!$C$37*'Engineering Assumptions'!$B$5*U321</f>
        <v>2865</v>
      </c>
      <c r="I321" s="12" t="n">
        <f aca="false">'Engineering Assumptions'!$B$8</f>
        <v>650</v>
      </c>
      <c r="J321" s="12" t="n">
        <f aca="false">'Engineering Assumptions'!$D$37*S321*U321</f>
        <v>230</v>
      </c>
      <c r="K321" s="12" t="n">
        <f aca="false">'Engineering Assumptions'!$E$37*T321*U321</f>
        <v>93</v>
      </c>
      <c r="L321" s="13" t="n">
        <f aca="false">H321+I321+J321+K321</f>
        <v>3838</v>
      </c>
      <c r="M321" s="12" t="n">
        <f aca="false">L321*'Engineering Assumptions'!$B$10</f>
        <v>575.7</v>
      </c>
      <c r="N321" s="13" t="n">
        <f aca="false">L321+M321</f>
        <v>4413.7</v>
      </c>
      <c r="O321" s="12" t="n">
        <f aca="false">N321*'Engineering Assumptions'!$B$11</f>
        <v>882.74</v>
      </c>
      <c r="P321" s="183" t="n">
        <f aca="false">MROUND(N321+O321,10)</f>
        <v>5300</v>
      </c>
      <c r="Q321" s="12" t="n">
        <f aca="false">'Fleet Pricing'!H321</f>
        <v>3250</v>
      </c>
      <c r="R321" s="41" t="n">
        <v>5</v>
      </c>
      <c r="S321" s="46" t="n">
        <v>1</v>
      </c>
      <c r="T321" s="46" t="n">
        <v>0.3</v>
      </c>
      <c r="U321" s="46" t="n">
        <v>1</v>
      </c>
    </row>
    <row r="322" customFormat="false" ht="15" hidden="false" customHeight="true" outlineLevel="0" collapsed="false">
      <c r="A322" s="9" t="n">
        <v>298</v>
      </c>
      <c r="B322" s="47" t="s">
        <v>131</v>
      </c>
      <c r="C322" s="47" t="s">
        <v>2421</v>
      </c>
      <c r="D322" s="47" t="s">
        <v>1030</v>
      </c>
      <c r="E322" s="47" t="s">
        <v>1031</v>
      </c>
      <c r="F322" s="45" t="s">
        <v>297</v>
      </c>
      <c r="G322" s="9" t="n">
        <v>5</v>
      </c>
      <c r="H322" s="12" t="n">
        <f aca="false">'Engineering Assumptions'!$C$37*'Engineering Assumptions'!$B$5*U322</f>
        <v>2865</v>
      </c>
      <c r="I322" s="12" t="n">
        <f aca="false">'Engineering Assumptions'!$B$8</f>
        <v>650</v>
      </c>
      <c r="J322" s="12" t="n">
        <f aca="false">'Engineering Assumptions'!$D$37*S322*U322</f>
        <v>230</v>
      </c>
      <c r="K322" s="12" t="n">
        <f aca="false">'Engineering Assumptions'!$E$37*T322*U322</f>
        <v>93</v>
      </c>
      <c r="L322" s="13" t="n">
        <f aca="false">H322+I322+J322+K322</f>
        <v>3838</v>
      </c>
      <c r="M322" s="12" t="n">
        <f aca="false">L322*'Engineering Assumptions'!$B$10</f>
        <v>575.7</v>
      </c>
      <c r="N322" s="13" t="n">
        <f aca="false">L322+M322</f>
        <v>4413.7</v>
      </c>
      <c r="O322" s="12" t="n">
        <f aca="false">N322*'Engineering Assumptions'!$B$11</f>
        <v>882.74</v>
      </c>
      <c r="P322" s="183" t="n">
        <f aca="false">MROUND(N322+O322,10)</f>
        <v>5300</v>
      </c>
      <c r="Q322" s="12" t="n">
        <f aca="false">'Fleet Pricing'!H322</f>
        <v>3250</v>
      </c>
      <c r="R322" s="41" t="n">
        <v>5</v>
      </c>
      <c r="S322" s="46" t="n">
        <v>1</v>
      </c>
      <c r="T322" s="46" t="n">
        <v>0.3</v>
      </c>
      <c r="U322" s="46" t="n">
        <v>1</v>
      </c>
    </row>
    <row r="323" customFormat="false" ht="15" hidden="false" customHeight="true" outlineLevel="0" collapsed="false">
      <c r="A323" s="9" t="n">
        <v>299</v>
      </c>
      <c r="B323" s="47" t="s">
        <v>131</v>
      </c>
      <c r="C323" s="47" t="s">
        <v>2421</v>
      </c>
      <c r="D323" s="47" t="s">
        <v>1034</v>
      </c>
      <c r="E323" s="47" t="s">
        <v>1035</v>
      </c>
      <c r="F323" s="45" t="s">
        <v>297</v>
      </c>
      <c r="G323" s="9" t="n">
        <v>5</v>
      </c>
      <c r="H323" s="12" t="n">
        <f aca="false">'Engineering Assumptions'!$C$37*'Engineering Assumptions'!$B$5*U323</f>
        <v>2865</v>
      </c>
      <c r="I323" s="12" t="n">
        <f aca="false">'Engineering Assumptions'!$B$8</f>
        <v>650</v>
      </c>
      <c r="J323" s="12" t="n">
        <f aca="false">'Engineering Assumptions'!$D$37*S323*U323</f>
        <v>230</v>
      </c>
      <c r="K323" s="12" t="n">
        <f aca="false">'Engineering Assumptions'!$E$37*T323*U323</f>
        <v>93</v>
      </c>
      <c r="L323" s="13" t="n">
        <f aca="false">H323+I323+J323+K323</f>
        <v>3838</v>
      </c>
      <c r="M323" s="12" t="n">
        <f aca="false">L323*'Engineering Assumptions'!$B$10</f>
        <v>575.7</v>
      </c>
      <c r="N323" s="13" t="n">
        <f aca="false">L323+M323</f>
        <v>4413.7</v>
      </c>
      <c r="O323" s="12" t="n">
        <f aca="false">N323*'Engineering Assumptions'!$B$11</f>
        <v>882.74</v>
      </c>
      <c r="P323" s="183" t="n">
        <f aca="false">MROUND(N323+O323,10)</f>
        <v>5300</v>
      </c>
      <c r="Q323" s="12" t="n">
        <f aca="false">'Fleet Pricing'!H323</f>
        <v>3250</v>
      </c>
      <c r="R323" s="41" t="n">
        <v>5</v>
      </c>
      <c r="S323" s="46" t="n">
        <v>1</v>
      </c>
      <c r="T323" s="46" t="n">
        <v>0.3</v>
      </c>
      <c r="U323" s="46" t="n">
        <v>1</v>
      </c>
    </row>
    <row r="324" customFormat="false" ht="15" hidden="false" customHeight="true" outlineLevel="0" collapsed="false">
      <c r="A324" s="9" t="n">
        <v>300</v>
      </c>
      <c r="B324" s="47" t="s">
        <v>131</v>
      </c>
      <c r="C324" s="47" t="s">
        <v>2421</v>
      </c>
      <c r="D324" s="47" t="s">
        <v>1036</v>
      </c>
      <c r="E324" s="47" t="s">
        <v>1037</v>
      </c>
      <c r="F324" s="45" t="s">
        <v>297</v>
      </c>
      <c r="G324" s="9" t="n">
        <v>5</v>
      </c>
      <c r="H324" s="12" t="n">
        <f aca="false">'Engineering Assumptions'!$C$37*'Engineering Assumptions'!$B$5*U324</f>
        <v>2865</v>
      </c>
      <c r="I324" s="12" t="n">
        <f aca="false">'Engineering Assumptions'!$B$8</f>
        <v>650</v>
      </c>
      <c r="J324" s="12" t="n">
        <f aca="false">'Engineering Assumptions'!$D$37*S324*U324</f>
        <v>230</v>
      </c>
      <c r="K324" s="12" t="n">
        <f aca="false">'Engineering Assumptions'!$E$37*T324*U324</f>
        <v>93</v>
      </c>
      <c r="L324" s="13" t="n">
        <f aca="false">H324+I324+J324+K324</f>
        <v>3838</v>
      </c>
      <c r="M324" s="12" t="n">
        <f aca="false">L324*'Engineering Assumptions'!$B$10</f>
        <v>575.7</v>
      </c>
      <c r="N324" s="13" t="n">
        <f aca="false">L324+M324</f>
        <v>4413.7</v>
      </c>
      <c r="O324" s="12" t="n">
        <f aca="false">N324*'Engineering Assumptions'!$B$11</f>
        <v>882.74</v>
      </c>
      <c r="P324" s="183" t="n">
        <f aca="false">MROUND(N324+O324,10)</f>
        <v>5300</v>
      </c>
      <c r="Q324" s="12" t="n">
        <f aca="false">'Fleet Pricing'!H324</f>
        <v>3250</v>
      </c>
      <c r="R324" s="41" t="n">
        <v>5</v>
      </c>
      <c r="S324" s="46" t="n">
        <v>1</v>
      </c>
      <c r="T324" s="46" t="n">
        <v>0.3</v>
      </c>
      <c r="U324" s="46" t="n">
        <v>1</v>
      </c>
    </row>
    <row r="325" customFormat="false" ht="15" hidden="false" customHeight="true" outlineLevel="0" collapsed="false">
      <c r="A325" s="9" t="n">
        <v>301</v>
      </c>
      <c r="B325" s="47" t="s">
        <v>131</v>
      </c>
      <c r="C325" s="47" t="s">
        <v>2421</v>
      </c>
      <c r="D325" s="47" t="s">
        <v>1057</v>
      </c>
      <c r="E325" s="47" t="s">
        <v>1058</v>
      </c>
      <c r="F325" s="45" t="s">
        <v>297</v>
      </c>
      <c r="G325" s="9" t="n">
        <v>5</v>
      </c>
      <c r="H325" s="12" t="n">
        <f aca="false">'Engineering Assumptions'!$C$37*'Engineering Assumptions'!$B$5*U325</f>
        <v>2865</v>
      </c>
      <c r="I325" s="12" t="n">
        <f aca="false">'Engineering Assumptions'!$B$8</f>
        <v>650</v>
      </c>
      <c r="J325" s="12" t="n">
        <f aca="false">'Engineering Assumptions'!$D$37*S325*U325</f>
        <v>230</v>
      </c>
      <c r="K325" s="12" t="n">
        <f aca="false">'Engineering Assumptions'!$E$37*T325*U325</f>
        <v>93</v>
      </c>
      <c r="L325" s="13" t="n">
        <f aca="false">H325+I325+J325+K325</f>
        <v>3838</v>
      </c>
      <c r="M325" s="12" t="n">
        <f aca="false">L325*'Engineering Assumptions'!$B$10</f>
        <v>575.7</v>
      </c>
      <c r="N325" s="13" t="n">
        <f aca="false">L325+M325</f>
        <v>4413.7</v>
      </c>
      <c r="O325" s="12" t="n">
        <f aca="false">N325*'Engineering Assumptions'!$B$11</f>
        <v>882.74</v>
      </c>
      <c r="P325" s="183" t="n">
        <f aca="false">MROUND(N325+O325,10)</f>
        <v>5300</v>
      </c>
      <c r="Q325" s="12" t="n">
        <f aca="false">'Fleet Pricing'!H325</f>
        <v>3250</v>
      </c>
      <c r="R325" s="41" t="n">
        <v>5</v>
      </c>
      <c r="S325" s="46" t="n">
        <v>1</v>
      </c>
      <c r="T325" s="46" t="n">
        <v>0.3</v>
      </c>
      <c r="U325" s="46" t="n">
        <v>1</v>
      </c>
    </row>
    <row r="326" customFormat="false" ht="15" hidden="false" customHeight="true" outlineLevel="0" collapsed="false">
      <c r="A326" s="9" t="n">
        <v>302</v>
      </c>
      <c r="B326" s="47" t="s">
        <v>131</v>
      </c>
      <c r="C326" s="47" t="s">
        <v>2421</v>
      </c>
      <c r="D326" s="47" t="s">
        <v>1062</v>
      </c>
      <c r="E326" s="47" t="s">
        <v>1063</v>
      </c>
      <c r="F326" s="45" t="s">
        <v>297</v>
      </c>
      <c r="G326" s="9" t="n">
        <v>5</v>
      </c>
      <c r="H326" s="12" t="n">
        <f aca="false">'Engineering Assumptions'!$C$37*'Engineering Assumptions'!$B$5*U326</f>
        <v>2865</v>
      </c>
      <c r="I326" s="12" t="n">
        <f aca="false">'Engineering Assumptions'!$B$8</f>
        <v>650</v>
      </c>
      <c r="J326" s="12" t="n">
        <f aca="false">'Engineering Assumptions'!$D$37*S326*U326</f>
        <v>230</v>
      </c>
      <c r="K326" s="12" t="n">
        <f aca="false">'Engineering Assumptions'!$E$37*T326*U326</f>
        <v>93</v>
      </c>
      <c r="L326" s="13" t="n">
        <f aca="false">H326+I326+J326+K326</f>
        <v>3838</v>
      </c>
      <c r="M326" s="12" t="n">
        <f aca="false">L326*'Engineering Assumptions'!$B$10</f>
        <v>575.7</v>
      </c>
      <c r="N326" s="13" t="n">
        <f aca="false">L326+M326</f>
        <v>4413.7</v>
      </c>
      <c r="O326" s="12" t="n">
        <f aca="false">N326*'Engineering Assumptions'!$B$11</f>
        <v>882.74</v>
      </c>
      <c r="P326" s="183" t="n">
        <f aca="false">MROUND(N326+O326,10)</f>
        <v>5300</v>
      </c>
      <c r="Q326" s="12" t="n">
        <f aca="false">'Fleet Pricing'!H326</f>
        <v>3250</v>
      </c>
      <c r="R326" s="41" t="n">
        <v>5</v>
      </c>
      <c r="S326" s="46" t="n">
        <v>1</v>
      </c>
      <c r="T326" s="46" t="n">
        <v>0.3</v>
      </c>
      <c r="U326" s="46" t="n">
        <v>1</v>
      </c>
    </row>
    <row r="327" customFormat="false" ht="15" hidden="false" customHeight="true" outlineLevel="0" collapsed="false">
      <c r="A327" s="9" t="n">
        <v>303</v>
      </c>
      <c r="B327" s="47" t="s">
        <v>131</v>
      </c>
      <c r="C327" s="47" t="s">
        <v>2421</v>
      </c>
      <c r="D327" s="47" t="s">
        <v>975</v>
      </c>
      <c r="E327" s="47" t="s">
        <v>976</v>
      </c>
      <c r="F327" s="45" t="s">
        <v>297</v>
      </c>
      <c r="G327" s="9" t="n">
        <v>5</v>
      </c>
      <c r="H327" s="12" t="n">
        <f aca="false">'Engineering Assumptions'!$C$37*'Engineering Assumptions'!$B$5*U327</f>
        <v>2865</v>
      </c>
      <c r="I327" s="12" t="n">
        <f aca="false">'Engineering Assumptions'!$B$8</f>
        <v>650</v>
      </c>
      <c r="J327" s="12" t="n">
        <f aca="false">'Engineering Assumptions'!$D$37*S327*U327</f>
        <v>230</v>
      </c>
      <c r="K327" s="12" t="n">
        <f aca="false">'Engineering Assumptions'!$E$37*T327*U327</f>
        <v>93</v>
      </c>
      <c r="L327" s="13" t="n">
        <f aca="false">H327+I327+J327+K327</f>
        <v>3838</v>
      </c>
      <c r="M327" s="12" t="n">
        <f aca="false">L327*'Engineering Assumptions'!$B$10</f>
        <v>575.7</v>
      </c>
      <c r="N327" s="13" t="n">
        <f aca="false">L327+M327</f>
        <v>4413.7</v>
      </c>
      <c r="O327" s="12" t="n">
        <f aca="false">N327*'Engineering Assumptions'!$B$11</f>
        <v>882.74</v>
      </c>
      <c r="P327" s="183" t="n">
        <f aca="false">MROUND(N327+O327,10)</f>
        <v>5300</v>
      </c>
      <c r="Q327" s="12" t="n">
        <f aca="false">'Fleet Pricing'!H327</f>
        <v>3250</v>
      </c>
      <c r="R327" s="41" t="n">
        <v>5</v>
      </c>
      <c r="S327" s="46" t="n">
        <v>1</v>
      </c>
      <c r="T327" s="46" t="n">
        <v>0.3</v>
      </c>
      <c r="U327" s="46" t="n">
        <v>1</v>
      </c>
    </row>
    <row r="328" customFormat="false" ht="15" hidden="false" customHeight="true" outlineLevel="0" collapsed="false">
      <c r="A328" s="9" t="n">
        <v>304</v>
      </c>
      <c r="B328" s="47" t="s">
        <v>131</v>
      </c>
      <c r="C328" s="47" t="s">
        <v>2421</v>
      </c>
      <c r="D328" s="47" t="s">
        <v>951</v>
      </c>
      <c r="E328" s="47" t="s">
        <v>952</v>
      </c>
      <c r="F328" s="45" t="s">
        <v>297</v>
      </c>
      <c r="G328" s="9" t="n">
        <v>5</v>
      </c>
      <c r="H328" s="12" t="n">
        <f aca="false">'Engineering Assumptions'!$C$37*'Engineering Assumptions'!$B$5*U328</f>
        <v>2865</v>
      </c>
      <c r="I328" s="12" t="n">
        <f aca="false">'Engineering Assumptions'!$B$8</f>
        <v>650</v>
      </c>
      <c r="J328" s="12" t="n">
        <f aca="false">'Engineering Assumptions'!$D$37*S328*U328</f>
        <v>230</v>
      </c>
      <c r="K328" s="12" t="n">
        <f aca="false">'Engineering Assumptions'!$E$37*T328*U328</f>
        <v>93</v>
      </c>
      <c r="L328" s="13" t="n">
        <f aca="false">H328+I328+J328+K328</f>
        <v>3838</v>
      </c>
      <c r="M328" s="12" t="n">
        <f aca="false">L328*'Engineering Assumptions'!$B$10</f>
        <v>575.7</v>
      </c>
      <c r="N328" s="13" t="n">
        <f aca="false">L328+M328</f>
        <v>4413.7</v>
      </c>
      <c r="O328" s="12" t="n">
        <f aca="false">N328*'Engineering Assumptions'!$B$11</f>
        <v>882.74</v>
      </c>
      <c r="P328" s="183" t="n">
        <f aca="false">MROUND(N328+O328,10)</f>
        <v>5300</v>
      </c>
      <c r="Q328" s="12" t="n">
        <f aca="false">'Fleet Pricing'!H328</f>
        <v>3250</v>
      </c>
      <c r="R328" s="41" t="n">
        <v>5</v>
      </c>
      <c r="S328" s="46" t="n">
        <v>1</v>
      </c>
      <c r="T328" s="46" t="n">
        <v>0.3</v>
      </c>
      <c r="U328" s="46" t="n">
        <v>1</v>
      </c>
    </row>
    <row r="329" customFormat="false" ht="15" hidden="false" customHeight="true" outlineLevel="0" collapsed="false">
      <c r="A329" s="9" t="n">
        <v>305</v>
      </c>
      <c r="B329" s="47" t="s">
        <v>131</v>
      </c>
      <c r="C329" s="47" t="s">
        <v>2421</v>
      </c>
      <c r="D329" s="47" t="s">
        <v>953</v>
      </c>
      <c r="E329" s="47" t="s">
        <v>954</v>
      </c>
      <c r="F329" s="45" t="s">
        <v>297</v>
      </c>
      <c r="G329" s="9" t="n">
        <v>5</v>
      </c>
      <c r="H329" s="12" t="n">
        <f aca="false">'Engineering Assumptions'!$C$37*'Engineering Assumptions'!$B$5*U329</f>
        <v>2865</v>
      </c>
      <c r="I329" s="12" t="n">
        <f aca="false">'Engineering Assumptions'!$B$8</f>
        <v>650</v>
      </c>
      <c r="J329" s="12" t="n">
        <f aca="false">'Engineering Assumptions'!$D$37*S329*U329</f>
        <v>230</v>
      </c>
      <c r="K329" s="12" t="n">
        <f aca="false">'Engineering Assumptions'!$E$37*T329*U329</f>
        <v>93</v>
      </c>
      <c r="L329" s="13" t="n">
        <f aca="false">H329+I329+J329+K329</f>
        <v>3838</v>
      </c>
      <c r="M329" s="12" t="n">
        <f aca="false">L329*'Engineering Assumptions'!$B$10</f>
        <v>575.7</v>
      </c>
      <c r="N329" s="13" t="n">
        <f aca="false">L329+M329</f>
        <v>4413.7</v>
      </c>
      <c r="O329" s="12" t="n">
        <f aca="false">N329*'Engineering Assumptions'!$B$11</f>
        <v>882.74</v>
      </c>
      <c r="P329" s="183" t="n">
        <f aca="false">MROUND(N329+O329,10)</f>
        <v>5300</v>
      </c>
      <c r="Q329" s="12" t="n">
        <f aca="false">'Fleet Pricing'!H329</f>
        <v>3250</v>
      </c>
      <c r="R329" s="41" t="n">
        <v>5</v>
      </c>
      <c r="S329" s="46" t="n">
        <v>1</v>
      </c>
      <c r="T329" s="46" t="n">
        <v>0.3</v>
      </c>
      <c r="U329" s="46" t="n">
        <v>1</v>
      </c>
    </row>
    <row r="330" customFormat="false" ht="15" hidden="false" customHeight="true" outlineLevel="0" collapsed="false">
      <c r="A330" s="9" t="n">
        <v>306</v>
      </c>
      <c r="B330" s="47" t="s">
        <v>131</v>
      </c>
      <c r="C330" s="47" t="s">
        <v>2293</v>
      </c>
      <c r="D330" s="47" t="s">
        <v>955</v>
      </c>
      <c r="E330" s="47" t="s">
        <v>956</v>
      </c>
      <c r="F330" s="45" t="s">
        <v>450</v>
      </c>
      <c r="G330" s="9" t="n">
        <v>8</v>
      </c>
      <c r="H330" s="12" t="n">
        <f aca="false">'Engineering Assumptions'!$C$37*'Engineering Assumptions'!$B$5*U330</f>
        <v>2865</v>
      </c>
      <c r="I330" s="12" t="n">
        <f aca="false">'Engineering Assumptions'!$B$8</f>
        <v>650</v>
      </c>
      <c r="J330" s="12" t="n">
        <f aca="false">'Engineering Assumptions'!$D$37*S330*U330</f>
        <v>287.5</v>
      </c>
      <c r="K330" s="12" t="n">
        <f aca="false">'Engineering Assumptions'!$E$37*T330*U330</f>
        <v>232.5</v>
      </c>
      <c r="L330" s="13" t="n">
        <f aca="false">H330+I330+J330+K330</f>
        <v>4035</v>
      </c>
      <c r="M330" s="12" t="n">
        <f aca="false">L330*'Engineering Assumptions'!$B$10</f>
        <v>605.25</v>
      </c>
      <c r="N330" s="13" t="n">
        <f aca="false">L330+M330</f>
        <v>4640.25</v>
      </c>
      <c r="O330" s="12" t="n">
        <f aca="false">N330*'Engineering Assumptions'!$B$11</f>
        <v>928.05</v>
      </c>
      <c r="P330" s="183" t="n">
        <f aca="false">MROUND(N330+O330,10)</f>
        <v>5570</v>
      </c>
      <c r="Q330" s="12" t="n">
        <f aca="false">'Fleet Pricing'!H330</f>
        <v>2990</v>
      </c>
      <c r="R330" s="41" t="n">
        <v>8</v>
      </c>
      <c r="S330" s="46" t="n">
        <v>1.25</v>
      </c>
      <c r="T330" s="46" t="n">
        <v>0.75</v>
      </c>
      <c r="U330" s="46" t="n">
        <v>1</v>
      </c>
    </row>
    <row r="331" customFormat="false" ht="15" hidden="false" customHeight="true" outlineLevel="0" collapsed="false">
      <c r="A331" s="9" t="n">
        <v>307</v>
      </c>
      <c r="B331" s="47" t="s">
        <v>131</v>
      </c>
      <c r="C331" s="47" t="s">
        <v>2293</v>
      </c>
      <c r="D331" s="47" t="s">
        <v>983</v>
      </c>
      <c r="E331" s="47" t="s">
        <v>984</v>
      </c>
      <c r="F331" s="45" t="s">
        <v>450</v>
      </c>
      <c r="G331" s="9" t="n">
        <v>8</v>
      </c>
      <c r="H331" s="12" t="n">
        <f aca="false">'Engineering Assumptions'!$C$37*'Engineering Assumptions'!$B$5*U331</f>
        <v>2865</v>
      </c>
      <c r="I331" s="12" t="n">
        <f aca="false">'Engineering Assumptions'!$B$8</f>
        <v>650</v>
      </c>
      <c r="J331" s="12" t="n">
        <f aca="false">'Engineering Assumptions'!$D$37*S331*U331</f>
        <v>287.5</v>
      </c>
      <c r="K331" s="12" t="n">
        <f aca="false">'Engineering Assumptions'!$E$37*T331*U331</f>
        <v>232.5</v>
      </c>
      <c r="L331" s="13" t="n">
        <f aca="false">H331+I331+J331+K331</f>
        <v>4035</v>
      </c>
      <c r="M331" s="12" t="n">
        <f aca="false">L331*'Engineering Assumptions'!$B$10</f>
        <v>605.25</v>
      </c>
      <c r="N331" s="13" t="n">
        <f aca="false">L331+M331</f>
        <v>4640.25</v>
      </c>
      <c r="O331" s="12" t="n">
        <f aca="false">N331*'Engineering Assumptions'!$B$11</f>
        <v>928.05</v>
      </c>
      <c r="P331" s="183" t="n">
        <f aca="false">MROUND(N331+O331,10)</f>
        <v>5570</v>
      </c>
      <c r="Q331" s="12" t="n">
        <f aca="false">'Fleet Pricing'!H331</f>
        <v>2990</v>
      </c>
      <c r="R331" s="41" t="n">
        <v>8</v>
      </c>
      <c r="S331" s="46" t="n">
        <v>1.25</v>
      </c>
      <c r="T331" s="46" t="n">
        <v>0.75</v>
      </c>
      <c r="U331" s="46" t="n">
        <v>1</v>
      </c>
    </row>
    <row r="332" customFormat="false" ht="15" hidden="false" customHeight="true" outlineLevel="0" collapsed="false">
      <c r="A332" s="9" t="n">
        <v>308</v>
      </c>
      <c r="B332" s="47" t="s">
        <v>131</v>
      </c>
      <c r="C332" s="47" t="s">
        <v>2293</v>
      </c>
      <c r="D332" s="47" t="s">
        <v>985</v>
      </c>
      <c r="E332" s="47" t="s">
        <v>987</v>
      </c>
      <c r="F332" s="45" t="s">
        <v>450</v>
      </c>
      <c r="G332" s="9" t="n">
        <v>8</v>
      </c>
      <c r="H332" s="12" t="n">
        <f aca="false">'Engineering Assumptions'!$C$37*'Engineering Assumptions'!$B$5*U332</f>
        <v>2865</v>
      </c>
      <c r="I332" s="12" t="n">
        <f aca="false">'Engineering Assumptions'!$B$8</f>
        <v>650</v>
      </c>
      <c r="J332" s="12" t="n">
        <f aca="false">'Engineering Assumptions'!$D$37*S332*U332</f>
        <v>287.5</v>
      </c>
      <c r="K332" s="12" t="n">
        <f aca="false">'Engineering Assumptions'!$E$37*T332*U332</f>
        <v>232.5</v>
      </c>
      <c r="L332" s="13" t="n">
        <f aca="false">H332+I332+J332+K332</f>
        <v>4035</v>
      </c>
      <c r="M332" s="12" t="n">
        <f aca="false">L332*'Engineering Assumptions'!$B$10</f>
        <v>605.25</v>
      </c>
      <c r="N332" s="13" t="n">
        <f aca="false">L332+M332</f>
        <v>4640.25</v>
      </c>
      <c r="O332" s="12" t="n">
        <f aca="false">N332*'Engineering Assumptions'!$B$11</f>
        <v>928.05</v>
      </c>
      <c r="P332" s="183" t="n">
        <f aca="false">MROUND(N332+O332,10)</f>
        <v>5570</v>
      </c>
      <c r="Q332" s="12" t="n">
        <f aca="false">'Fleet Pricing'!H332</f>
        <v>2990</v>
      </c>
      <c r="R332" s="41" t="n">
        <v>8</v>
      </c>
      <c r="S332" s="46" t="n">
        <v>1.25</v>
      </c>
      <c r="T332" s="46" t="n">
        <v>0.75</v>
      </c>
      <c r="U332" s="46" t="n">
        <v>1</v>
      </c>
    </row>
    <row r="333" customFormat="false" ht="15" hidden="false" customHeight="true" outlineLevel="0" collapsed="false">
      <c r="A333" s="9" t="n">
        <v>309</v>
      </c>
      <c r="B333" s="47" t="s">
        <v>131</v>
      </c>
      <c r="C333" s="47" t="s">
        <v>2293</v>
      </c>
      <c r="D333" s="47" t="s">
        <v>961</v>
      </c>
      <c r="E333" s="47" t="s">
        <v>962</v>
      </c>
      <c r="F333" s="45" t="s">
        <v>450</v>
      </c>
      <c r="G333" s="9" t="n">
        <v>8</v>
      </c>
      <c r="H333" s="12" t="n">
        <f aca="false">'Engineering Assumptions'!$C$37*'Engineering Assumptions'!$B$5*U333</f>
        <v>2865</v>
      </c>
      <c r="I333" s="12" t="n">
        <f aca="false">'Engineering Assumptions'!$B$8</f>
        <v>650</v>
      </c>
      <c r="J333" s="12" t="n">
        <f aca="false">'Engineering Assumptions'!$D$37*S333*U333</f>
        <v>287.5</v>
      </c>
      <c r="K333" s="12" t="n">
        <f aca="false">'Engineering Assumptions'!$E$37*T333*U333</f>
        <v>232.5</v>
      </c>
      <c r="L333" s="13" t="n">
        <f aca="false">H333+I333+J333+K333</f>
        <v>4035</v>
      </c>
      <c r="M333" s="12" t="n">
        <f aca="false">L333*'Engineering Assumptions'!$B$10</f>
        <v>605.25</v>
      </c>
      <c r="N333" s="13" t="n">
        <f aca="false">L333+M333</f>
        <v>4640.25</v>
      </c>
      <c r="O333" s="12" t="n">
        <f aca="false">N333*'Engineering Assumptions'!$B$11</f>
        <v>928.05</v>
      </c>
      <c r="P333" s="183" t="n">
        <f aca="false">MROUND(N333+O333,10)</f>
        <v>5570</v>
      </c>
      <c r="Q333" s="12" t="n">
        <f aca="false">'Fleet Pricing'!H333</f>
        <v>2990</v>
      </c>
      <c r="R333" s="41" t="n">
        <v>8</v>
      </c>
      <c r="S333" s="46" t="n">
        <v>1.25</v>
      </c>
      <c r="T333" s="46" t="n">
        <v>0.75</v>
      </c>
      <c r="U333" s="46" t="n">
        <v>1</v>
      </c>
    </row>
    <row r="334" customFormat="false" ht="15" hidden="false" customHeight="true" outlineLevel="0" collapsed="false">
      <c r="A334" s="9" t="n">
        <v>310</v>
      </c>
      <c r="B334" s="47" t="s">
        <v>131</v>
      </c>
      <c r="C334" s="47" t="s">
        <v>2421</v>
      </c>
      <c r="D334" s="47" t="s">
        <v>963</v>
      </c>
      <c r="E334" s="47" t="s">
        <v>964</v>
      </c>
      <c r="F334" s="45" t="s">
        <v>450</v>
      </c>
      <c r="G334" s="9" t="n">
        <v>8</v>
      </c>
      <c r="H334" s="12" t="n">
        <f aca="false">'Engineering Assumptions'!$C$37*'Engineering Assumptions'!$B$5*U334</f>
        <v>2865</v>
      </c>
      <c r="I334" s="12" t="n">
        <f aca="false">'Engineering Assumptions'!$B$8</f>
        <v>650</v>
      </c>
      <c r="J334" s="12" t="n">
        <f aca="false">'Engineering Assumptions'!$D$37*S334*U334</f>
        <v>287.5</v>
      </c>
      <c r="K334" s="12" t="n">
        <f aca="false">'Engineering Assumptions'!$E$37*T334*U334</f>
        <v>232.5</v>
      </c>
      <c r="L334" s="13" t="n">
        <f aca="false">H334+I334+J334+K334</f>
        <v>4035</v>
      </c>
      <c r="M334" s="12" t="n">
        <f aca="false">L334*'Engineering Assumptions'!$B$10</f>
        <v>605.25</v>
      </c>
      <c r="N334" s="13" t="n">
        <f aca="false">L334+M334</f>
        <v>4640.25</v>
      </c>
      <c r="O334" s="12" t="n">
        <f aca="false">N334*'Engineering Assumptions'!$B$11</f>
        <v>928.05</v>
      </c>
      <c r="P334" s="183" t="n">
        <f aca="false">MROUND(N334+O334,10)</f>
        <v>5570</v>
      </c>
      <c r="Q334" s="12" t="n">
        <f aca="false">'Fleet Pricing'!H334</f>
        <v>2990</v>
      </c>
      <c r="R334" s="41" t="n">
        <v>8</v>
      </c>
      <c r="S334" s="46" t="n">
        <v>1.25</v>
      </c>
      <c r="T334" s="46" t="n">
        <v>0.75</v>
      </c>
      <c r="U334" s="46" t="n">
        <v>1</v>
      </c>
    </row>
    <row r="335" customFormat="false" ht="15" hidden="false" customHeight="true" outlineLevel="0" collapsed="false">
      <c r="A335" s="9" t="n">
        <v>311</v>
      </c>
      <c r="B335" s="47" t="s">
        <v>131</v>
      </c>
      <c r="C335" s="47" t="s">
        <v>2422</v>
      </c>
      <c r="D335" s="47" t="s">
        <v>965</v>
      </c>
      <c r="E335" s="47" t="s">
        <v>966</v>
      </c>
      <c r="F335" s="45" t="s">
        <v>450</v>
      </c>
      <c r="G335" s="9" t="n">
        <v>8</v>
      </c>
      <c r="H335" s="12" t="n">
        <f aca="false">'Engineering Assumptions'!$C$37*'Engineering Assumptions'!$B$5*U335</f>
        <v>2865</v>
      </c>
      <c r="I335" s="12" t="n">
        <f aca="false">'Engineering Assumptions'!$B$8</f>
        <v>650</v>
      </c>
      <c r="J335" s="12" t="n">
        <f aca="false">'Engineering Assumptions'!$D$37*S335*U335</f>
        <v>287.5</v>
      </c>
      <c r="K335" s="12" t="n">
        <f aca="false">'Engineering Assumptions'!$E$37*T335*U335</f>
        <v>232.5</v>
      </c>
      <c r="L335" s="13" t="n">
        <f aca="false">H335+I335+J335+K335</f>
        <v>4035</v>
      </c>
      <c r="M335" s="12" t="n">
        <f aca="false">L335*'Engineering Assumptions'!$B$10</f>
        <v>605.25</v>
      </c>
      <c r="N335" s="13" t="n">
        <f aca="false">L335+M335</f>
        <v>4640.25</v>
      </c>
      <c r="O335" s="12" t="n">
        <f aca="false">N335*'Engineering Assumptions'!$B$11</f>
        <v>928.05</v>
      </c>
      <c r="P335" s="183" t="n">
        <f aca="false">MROUND(N335+O335,10)</f>
        <v>5570</v>
      </c>
      <c r="Q335" s="12" t="n">
        <f aca="false">'Fleet Pricing'!H335</f>
        <v>2990</v>
      </c>
      <c r="R335" s="41" t="n">
        <v>8</v>
      </c>
      <c r="S335" s="46" t="n">
        <v>1.25</v>
      </c>
      <c r="T335" s="46" t="n">
        <v>0.75</v>
      </c>
      <c r="U335" s="46" t="n">
        <v>1</v>
      </c>
    </row>
    <row r="336" customFormat="false" ht="15" hidden="false" customHeight="true" outlineLevel="0" collapsed="false">
      <c r="A336" s="9" t="n">
        <v>312</v>
      </c>
      <c r="B336" s="47" t="s">
        <v>131</v>
      </c>
      <c r="C336" s="47" t="s">
        <v>2422</v>
      </c>
      <c r="D336" s="47" t="s">
        <v>967</v>
      </c>
      <c r="E336" s="47" t="s">
        <v>968</v>
      </c>
      <c r="F336" s="45" t="s">
        <v>450</v>
      </c>
      <c r="G336" s="9" t="n">
        <v>8</v>
      </c>
      <c r="H336" s="12" t="n">
        <f aca="false">'Engineering Assumptions'!$C$37*'Engineering Assumptions'!$B$5*U336</f>
        <v>2865</v>
      </c>
      <c r="I336" s="12" t="n">
        <f aca="false">'Engineering Assumptions'!$B$8</f>
        <v>650</v>
      </c>
      <c r="J336" s="12" t="n">
        <f aca="false">'Engineering Assumptions'!$D$37*S336*U336</f>
        <v>287.5</v>
      </c>
      <c r="K336" s="12" t="n">
        <f aca="false">'Engineering Assumptions'!$E$37*T336*U336</f>
        <v>232.5</v>
      </c>
      <c r="L336" s="13" t="n">
        <f aca="false">H336+I336+J336+K336</f>
        <v>4035</v>
      </c>
      <c r="M336" s="12" t="n">
        <f aca="false">L336*'Engineering Assumptions'!$B$10</f>
        <v>605.25</v>
      </c>
      <c r="N336" s="13" t="n">
        <f aca="false">L336+M336</f>
        <v>4640.25</v>
      </c>
      <c r="O336" s="12" t="n">
        <f aca="false">N336*'Engineering Assumptions'!$B$11</f>
        <v>928.05</v>
      </c>
      <c r="P336" s="183" t="n">
        <f aca="false">MROUND(N336+O336,10)</f>
        <v>5570</v>
      </c>
      <c r="Q336" s="12" t="n">
        <f aca="false">'Fleet Pricing'!H336</f>
        <v>2990</v>
      </c>
      <c r="R336" s="41" t="n">
        <v>8</v>
      </c>
      <c r="S336" s="46" t="n">
        <v>1.25</v>
      </c>
      <c r="T336" s="46" t="n">
        <v>0.75</v>
      </c>
      <c r="U336" s="46" t="n">
        <v>1</v>
      </c>
    </row>
    <row r="337" customFormat="false" ht="15" hidden="false" customHeight="true" outlineLevel="0" collapsed="false">
      <c r="A337" s="9" t="n">
        <v>313</v>
      </c>
      <c r="B337" s="47" t="s">
        <v>131</v>
      </c>
      <c r="C337" s="47" t="s">
        <v>2422</v>
      </c>
      <c r="D337" s="47" t="s">
        <v>969</v>
      </c>
      <c r="E337" s="47" t="s">
        <v>970</v>
      </c>
      <c r="F337" s="45" t="s">
        <v>450</v>
      </c>
      <c r="G337" s="9" t="n">
        <v>8</v>
      </c>
      <c r="H337" s="12" t="n">
        <f aca="false">'Engineering Assumptions'!$C$37*'Engineering Assumptions'!$B$5*U337</f>
        <v>2865</v>
      </c>
      <c r="I337" s="12" t="n">
        <f aca="false">'Engineering Assumptions'!$B$8</f>
        <v>650</v>
      </c>
      <c r="J337" s="12" t="n">
        <f aca="false">'Engineering Assumptions'!$D$37*S337*U337</f>
        <v>287.5</v>
      </c>
      <c r="K337" s="12" t="n">
        <f aca="false">'Engineering Assumptions'!$E$37*T337*U337</f>
        <v>232.5</v>
      </c>
      <c r="L337" s="13" t="n">
        <f aca="false">H337+I337+J337+K337</f>
        <v>4035</v>
      </c>
      <c r="M337" s="12" t="n">
        <f aca="false">L337*'Engineering Assumptions'!$B$10</f>
        <v>605.25</v>
      </c>
      <c r="N337" s="13" t="n">
        <f aca="false">L337+M337</f>
        <v>4640.25</v>
      </c>
      <c r="O337" s="12" t="n">
        <f aca="false">N337*'Engineering Assumptions'!$B$11</f>
        <v>928.05</v>
      </c>
      <c r="P337" s="183" t="n">
        <f aca="false">MROUND(N337+O337,10)</f>
        <v>5570</v>
      </c>
      <c r="Q337" s="12" t="n">
        <f aca="false">'Fleet Pricing'!H337</f>
        <v>2990</v>
      </c>
      <c r="R337" s="41" t="n">
        <v>8</v>
      </c>
      <c r="S337" s="46" t="n">
        <v>1.25</v>
      </c>
      <c r="T337" s="46" t="n">
        <v>0.75</v>
      </c>
      <c r="U337" s="46" t="n">
        <v>1</v>
      </c>
    </row>
    <row r="338" customFormat="false" ht="15" hidden="false" customHeight="true" outlineLevel="0" collapsed="false">
      <c r="A338" s="9" t="n">
        <v>314</v>
      </c>
      <c r="B338" s="47" t="s">
        <v>131</v>
      </c>
      <c r="C338" s="47" t="s">
        <v>2422</v>
      </c>
      <c r="D338" s="47" t="s">
        <v>971</v>
      </c>
      <c r="E338" s="47" t="s">
        <v>972</v>
      </c>
      <c r="F338" s="45" t="s">
        <v>450</v>
      </c>
      <c r="G338" s="9" t="n">
        <v>8</v>
      </c>
      <c r="H338" s="12" t="n">
        <f aca="false">'Engineering Assumptions'!$C$37*'Engineering Assumptions'!$B$5*U338</f>
        <v>2865</v>
      </c>
      <c r="I338" s="12" t="n">
        <f aca="false">'Engineering Assumptions'!$B$8</f>
        <v>650</v>
      </c>
      <c r="J338" s="12" t="n">
        <f aca="false">'Engineering Assumptions'!$D$37*S338*U338</f>
        <v>287.5</v>
      </c>
      <c r="K338" s="12" t="n">
        <f aca="false">'Engineering Assumptions'!$E$37*T338*U338</f>
        <v>232.5</v>
      </c>
      <c r="L338" s="13" t="n">
        <f aca="false">H338+I338+J338+K338</f>
        <v>4035</v>
      </c>
      <c r="M338" s="12" t="n">
        <f aca="false">L338*'Engineering Assumptions'!$B$10</f>
        <v>605.25</v>
      </c>
      <c r="N338" s="13" t="n">
        <f aca="false">L338+M338</f>
        <v>4640.25</v>
      </c>
      <c r="O338" s="12" t="n">
        <f aca="false">N338*'Engineering Assumptions'!$B$11</f>
        <v>928.05</v>
      </c>
      <c r="P338" s="183" t="n">
        <f aca="false">MROUND(N338+O338,10)</f>
        <v>5570</v>
      </c>
      <c r="Q338" s="12" t="n">
        <f aca="false">'Fleet Pricing'!H338</f>
        <v>2990</v>
      </c>
      <c r="R338" s="41" t="n">
        <v>8</v>
      </c>
      <c r="S338" s="46" t="n">
        <v>1.25</v>
      </c>
      <c r="T338" s="46" t="n">
        <v>0.75</v>
      </c>
      <c r="U338" s="46" t="n">
        <v>1</v>
      </c>
    </row>
    <row r="339" customFormat="false" ht="15" hidden="false" customHeight="true" outlineLevel="0" collapsed="false">
      <c r="A339" s="9" t="n">
        <v>315</v>
      </c>
      <c r="B339" s="47" t="s">
        <v>131</v>
      </c>
      <c r="C339" s="47" t="s">
        <v>2422</v>
      </c>
      <c r="D339" s="47" t="s">
        <v>973</v>
      </c>
      <c r="E339" s="47" t="s">
        <v>974</v>
      </c>
      <c r="F339" s="45" t="s">
        <v>450</v>
      </c>
      <c r="G339" s="9" t="n">
        <v>8</v>
      </c>
      <c r="H339" s="12" t="n">
        <f aca="false">'Engineering Assumptions'!$C$37*'Engineering Assumptions'!$B$5*U339</f>
        <v>2865</v>
      </c>
      <c r="I339" s="12" t="n">
        <f aca="false">'Engineering Assumptions'!$B$8</f>
        <v>650</v>
      </c>
      <c r="J339" s="12" t="n">
        <f aca="false">'Engineering Assumptions'!$D$37*S339*U339</f>
        <v>287.5</v>
      </c>
      <c r="K339" s="12" t="n">
        <f aca="false">'Engineering Assumptions'!$E$37*T339*U339</f>
        <v>232.5</v>
      </c>
      <c r="L339" s="13" t="n">
        <f aca="false">H339+I339+J339+K339</f>
        <v>4035</v>
      </c>
      <c r="M339" s="12" t="n">
        <f aca="false">L339*'Engineering Assumptions'!$B$10</f>
        <v>605.25</v>
      </c>
      <c r="N339" s="13" t="n">
        <f aca="false">L339+M339</f>
        <v>4640.25</v>
      </c>
      <c r="O339" s="12" t="n">
        <f aca="false">N339*'Engineering Assumptions'!$B$11</f>
        <v>928.05</v>
      </c>
      <c r="P339" s="183" t="n">
        <f aca="false">MROUND(N339+O339,10)</f>
        <v>5570</v>
      </c>
      <c r="Q339" s="12" t="n">
        <f aca="false">'Fleet Pricing'!H339</f>
        <v>2990</v>
      </c>
      <c r="R339" s="41" t="n">
        <v>8</v>
      </c>
      <c r="S339" s="46" t="n">
        <v>1.25</v>
      </c>
      <c r="T339" s="46" t="n">
        <v>0.75</v>
      </c>
      <c r="U339" s="46" t="n">
        <v>1</v>
      </c>
    </row>
    <row r="340" customFormat="false" ht="15" hidden="false" customHeight="true" outlineLevel="0" collapsed="false">
      <c r="A340" s="9" t="n">
        <v>316</v>
      </c>
      <c r="B340" s="47" t="s">
        <v>131</v>
      </c>
      <c r="C340" s="47" t="s">
        <v>2422</v>
      </c>
      <c r="D340" s="47" t="s">
        <v>977</v>
      </c>
      <c r="E340" s="47" t="s">
        <v>978</v>
      </c>
      <c r="F340" s="45" t="s">
        <v>450</v>
      </c>
      <c r="G340" s="9" t="n">
        <v>8</v>
      </c>
      <c r="H340" s="12" t="n">
        <f aca="false">'Engineering Assumptions'!$C$37*'Engineering Assumptions'!$B$5*U340</f>
        <v>2865</v>
      </c>
      <c r="I340" s="12" t="n">
        <f aca="false">'Engineering Assumptions'!$B$8</f>
        <v>650</v>
      </c>
      <c r="J340" s="12" t="n">
        <f aca="false">'Engineering Assumptions'!$D$37*S340*U340</f>
        <v>287.5</v>
      </c>
      <c r="K340" s="12" t="n">
        <f aca="false">'Engineering Assumptions'!$E$37*T340*U340</f>
        <v>232.5</v>
      </c>
      <c r="L340" s="13" t="n">
        <f aca="false">H340+I340+J340+K340</f>
        <v>4035</v>
      </c>
      <c r="M340" s="12" t="n">
        <f aca="false">L340*'Engineering Assumptions'!$B$10</f>
        <v>605.25</v>
      </c>
      <c r="N340" s="13" t="n">
        <f aca="false">L340+M340</f>
        <v>4640.25</v>
      </c>
      <c r="O340" s="12" t="n">
        <f aca="false">N340*'Engineering Assumptions'!$B$11</f>
        <v>928.05</v>
      </c>
      <c r="P340" s="183" t="n">
        <f aca="false">MROUND(N340+O340,10)</f>
        <v>5570</v>
      </c>
      <c r="Q340" s="12" t="n">
        <f aca="false">'Fleet Pricing'!H340</f>
        <v>2990</v>
      </c>
      <c r="R340" s="41" t="n">
        <v>8</v>
      </c>
      <c r="S340" s="46" t="n">
        <v>1.25</v>
      </c>
      <c r="T340" s="46" t="n">
        <v>0.75</v>
      </c>
      <c r="U340" s="46" t="n">
        <v>1</v>
      </c>
    </row>
    <row r="341" customFormat="false" ht="15" hidden="false" customHeight="true" outlineLevel="0" collapsed="false">
      <c r="A341" s="9" t="n">
        <v>317</v>
      </c>
      <c r="B341" s="47" t="s">
        <v>131</v>
      </c>
      <c r="C341" s="47" t="s">
        <v>2422</v>
      </c>
      <c r="D341" s="47" t="s">
        <v>979</v>
      </c>
      <c r="E341" s="47" t="s">
        <v>980</v>
      </c>
      <c r="F341" s="45" t="s">
        <v>450</v>
      </c>
      <c r="G341" s="9" t="n">
        <v>8</v>
      </c>
      <c r="H341" s="12" t="n">
        <f aca="false">'Engineering Assumptions'!$C$37*'Engineering Assumptions'!$B$5*U341</f>
        <v>2865</v>
      </c>
      <c r="I341" s="12" t="n">
        <f aca="false">'Engineering Assumptions'!$B$8</f>
        <v>650</v>
      </c>
      <c r="J341" s="12" t="n">
        <f aca="false">'Engineering Assumptions'!$D$37*S341*U341</f>
        <v>287.5</v>
      </c>
      <c r="K341" s="12" t="n">
        <f aca="false">'Engineering Assumptions'!$E$37*T341*U341</f>
        <v>232.5</v>
      </c>
      <c r="L341" s="13" t="n">
        <f aca="false">H341+I341+J341+K341</f>
        <v>4035</v>
      </c>
      <c r="M341" s="12" t="n">
        <f aca="false">L341*'Engineering Assumptions'!$B$10</f>
        <v>605.25</v>
      </c>
      <c r="N341" s="13" t="n">
        <f aca="false">L341+M341</f>
        <v>4640.25</v>
      </c>
      <c r="O341" s="12" t="n">
        <f aca="false">N341*'Engineering Assumptions'!$B$11</f>
        <v>928.05</v>
      </c>
      <c r="P341" s="183" t="n">
        <f aca="false">MROUND(N341+O341,10)</f>
        <v>5570</v>
      </c>
      <c r="Q341" s="12" t="n">
        <f aca="false">'Fleet Pricing'!H341</f>
        <v>2990</v>
      </c>
      <c r="R341" s="41" t="n">
        <v>8</v>
      </c>
      <c r="S341" s="46" t="n">
        <v>1.25</v>
      </c>
      <c r="T341" s="46" t="n">
        <v>0.75</v>
      </c>
      <c r="U341" s="46" t="n">
        <v>1</v>
      </c>
    </row>
    <row r="342" customFormat="false" ht="15" hidden="false" customHeight="true" outlineLevel="0" collapsed="false">
      <c r="A342" s="9" t="n">
        <v>318</v>
      </c>
      <c r="B342" s="47" t="s">
        <v>131</v>
      </c>
      <c r="C342" s="47" t="s">
        <v>2422</v>
      </c>
      <c r="D342" s="47" t="s">
        <v>1032</v>
      </c>
      <c r="E342" s="47" t="s">
        <v>1033</v>
      </c>
      <c r="F342" s="45" t="s">
        <v>450</v>
      </c>
      <c r="G342" s="9" t="n">
        <v>8</v>
      </c>
      <c r="H342" s="12" t="n">
        <f aca="false">'Engineering Assumptions'!$C$37*'Engineering Assumptions'!$B$5*U342</f>
        <v>2865</v>
      </c>
      <c r="I342" s="12" t="n">
        <f aca="false">'Engineering Assumptions'!$B$8</f>
        <v>650</v>
      </c>
      <c r="J342" s="12" t="n">
        <f aca="false">'Engineering Assumptions'!$D$37*S342*U342</f>
        <v>287.5</v>
      </c>
      <c r="K342" s="12" t="n">
        <f aca="false">'Engineering Assumptions'!$E$37*T342*U342</f>
        <v>232.5</v>
      </c>
      <c r="L342" s="13" t="n">
        <f aca="false">H342+I342+J342+K342</f>
        <v>4035</v>
      </c>
      <c r="M342" s="12" t="n">
        <f aca="false">L342*'Engineering Assumptions'!$B$10</f>
        <v>605.25</v>
      </c>
      <c r="N342" s="13" t="n">
        <f aca="false">L342+M342</f>
        <v>4640.25</v>
      </c>
      <c r="O342" s="12" t="n">
        <f aca="false">N342*'Engineering Assumptions'!$B$11</f>
        <v>928.05</v>
      </c>
      <c r="P342" s="183" t="n">
        <f aca="false">MROUND(N342+O342,10)</f>
        <v>5570</v>
      </c>
      <c r="Q342" s="12" t="n">
        <f aca="false">'Fleet Pricing'!H342</f>
        <v>2990</v>
      </c>
      <c r="R342" s="41" t="n">
        <v>8</v>
      </c>
      <c r="S342" s="46" t="n">
        <v>1.25</v>
      </c>
      <c r="T342" s="46" t="n">
        <v>0.75</v>
      </c>
      <c r="U342" s="46" t="n">
        <v>1</v>
      </c>
    </row>
    <row r="343" customFormat="false" ht="15" hidden="false" customHeight="true" outlineLevel="0" collapsed="false">
      <c r="A343" s="9" t="n">
        <v>319</v>
      </c>
      <c r="B343" s="47" t="s">
        <v>131</v>
      </c>
      <c r="C343" s="47" t="s">
        <v>2422</v>
      </c>
      <c r="D343" s="47" t="s">
        <v>957</v>
      </c>
      <c r="E343" s="47" t="s">
        <v>958</v>
      </c>
      <c r="F343" s="45" t="s">
        <v>450</v>
      </c>
      <c r="G343" s="9" t="n">
        <v>8</v>
      </c>
      <c r="H343" s="12" t="n">
        <f aca="false">'Engineering Assumptions'!$C$37*'Engineering Assumptions'!$B$5*U343</f>
        <v>2865</v>
      </c>
      <c r="I343" s="12" t="n">
        <f aca="false">'Engineering Assumptions'!$B$8</f>
        <v>650</v>
      </c>
      <c r="J343" s="12" t="n">
        <f aca="false">'Engineering Assumptions'!$D$37*S343*U343</f>
        <v>287.5</v>
      </c>
      <c r="K343" s="12" t="n">
        <f aca="false">'Engineering Assumptions'!$E$37*T343*U343</f>
        <v>232.5</v>
      </c>
      <c r="L343" s="13" t="n">
        <f aca="false">H343+I343+J343+K343</f>
        <v>4035</v>
      </c>
      <c r="M343" s="12" t="n">
        <f aca="false">L343*'Engineering Assumptions'!$B$10</f>
        <v>605.25</v>
      </c>
      <c r="N343" s="13" t="n">
        <f aca="false">L343+M343</f>
        <v>4640.25</v>
      </c>
      <c r="O343" s="12" t="n">
        <f aca="false">N343*'Engineering Assumptions'!$B$11</f>
        <v>928.05</v>
      </c>
      <c r="P343" s="183" t="n">
        <f aca="false">MROUND(N343+O343,10)</f>
        <v>5570</v>
      </c>
      <c r="Q343" s="12" t="n">
        <f aca="false">'Fleet Pricing'!H343</f>
        <v>2990</v>
      </c>
      <c r="R343" s="41" t="n">
        <v>8</v>
      </c>
      <c r="S343" s="46" t="n">
        <v>1.25</v>
      </c>
      <c r="T343" s="46" t="n">
        <v>0.75</v>
      </c>
      <c r="U343" s="46" t="n">
        <v>1</v>
      </c>
    </row>
    <row r="344" customFormat="false" ht="15" hidden="false" customHeight="true" outlineLevel="0" collapsed="false">
      <c r="A344" s="9" t="n">
        <v>320</v>
      </c>
      <c r="B344" s="47" t="s">
        <v>131</v>
      </c>
      <c r="C344" s="47" t="s">
        <v>2422</v>
      </c>
      <c r="D344" s="47" t="s">
        <v>959</v>
      </c>
      <c r="E344" s="47" t="s">
        <v>960</v>
      </c>
      <c r="F344" s="45" t="s">
        <v>450</v>
      </c>
      <c r="G344" s="9" t="n">
        <v>8</v>
      </c>
      <c r="H344" s="12" t="n">
        <f aca="false">'Engineering Assumptions'!$C$37*'Engineering Assumptions'!$B$5*U344</f>
        <v>2865</v>
      </c>
      <c r="I344" s="12" t="n">
        <f aca="false">'Engineering Assumptions'!$B$8</f>
        <v>650</v>
      </c>
      <c r="J344" s="12" t="n">
        <f aca="false">'Engineering Assumptions'!$D$37*S344*U344</f>
        <v>287.5</v>
      </c>
      <c r="K344" s="12" t="n">
        <f aca="false">'Engineering Assumptions'!$E$37*T344*U344</f>
        <v>232.5</v>
      </c>
      <c r="L344" s="13" t="n">
        <f aca="false">H344+I344+J344+K344</f>
        <v>4035</v>
      </c>
      <c r="M344" s="12" t="n">
        <f aca="false">L344*'Engineering Assumptions'!$B$10</f>
        <v>605.25</v>
      </c>
      <c r="N344" s="13" t="n">
        <f aca="false">L344+M344</f>
        <v>4640.25</v>
      </c>
      <c r="O344" s="12" t="n">
        <f aca="false">N344*'Engineering Assumptions'!$B$11</f>
        <v>928.05</v>
      </c>
      <c r="P344" s="183" t="n">
        <f aca="false">MROUND(N344+O344,10)</f>
        <v>5570</v>
      </c>
      <c r="Q344" s="12" t="n">
        <f aca="false">'Fleet Pricing'!H344</f>
        <v>2990</v>
      </c>
      <c r="R344" s="41" t="n">
        <v>8</v>
      </c>
      <c r="S344" s="46" t="n">
        <v>1.25</v>
      </c>
      <c r="T344" s="46" t="n">
        <v>0.75</v>
      </c>
      <c r="U344" s="46" t="n">
        <v>1</v>
      </c>
    </row>
    <row r="345" customFormat="false" ht="15" hidden="false" customHeight="true" outlineLevel="0" collapsed="false">
      <c r="A345" s="9" t="n">
        <v>321</v>
      </c>
      <c r="B345" s="47" t="s">
        <v>131</v>
      </c>
      <c r="C345" s="47" t="s">
        <v>2422</v>
      </c>
      <c r="D345" s="47" t="s">
        <v>1041</v>
      </c>
      <c r="E345" s="47" t="s">
        <v>1042</v>
      </c>
      <c r="F345" s="45" t="s">
        <v>450</v>
      </c>
      <c r="G345" s="9" t="n">
        <v>8</v>
      </c>
      <c r="H345" s="12" t="n">
        <f aca="false">'Engineering Assumptions'!$C$37*'Engineering Assumptions'!$B$5*U345</f>
        <v>2865</v>
      </c>
      <c r="I345" s="12" t="n">
        <f aca="false">'Engineering Assumptions'!$B$8</f>
        <v>650</v>
      </c>
      <c r="J345" s="12" t="n">
        <f aca="false">'Engineering Assumptions'!$D$37*S345*U345</f>
        <v>287.5</v>
      </c>
      <c r="K345" s="12" t="n">
        <f aca="false">'Engineering Assumptions'!$E$37*T345*U345</f>
        <v>232.5</v>
      </c>
      <c r="L345" s="13" t="n">
        <f aca="false">H345+I345+J345+K345</f>
        <v>4035</v>
      </c>
      <c r="M345" s="12" t="n">
        <f aca="false">L345*'Engineering Assumptions'!$B$10</f>
        <v>605.25</v>
      </c>
      <c r="N345" s="13" t="n">
        <f aca="false">L345+M345</f>
        <v>4640.25</v>
      </c>
      <c r="O345" s="12" t="n">
        <f aca="false">N345*'Engineering Assumptions'!$B$11</f>
        <v>928.05</v>
      </c>
      <c r="P345" s="183" t="n">
        <f aca="false">MROUND(N345+O345,10)</f>
        <v>5570</v>
      </c>
      <c r="Q345" s="12" t="n">
        <f aca="false">'Fleet Pricing'!H345</f>
        <v>2990</v>
      </c>
      <c r="R345" s="41" t="n">
        <v>8</v>
      </c>
      <c r="S345" s="46" t="n">
        <v>1.25</v>
      </c>
      <c r="T345" s="46" t="n">
        <v>0.75</v>
      </c>
      <c r="U345" s="46" t="n">
        <v>1</v>
      </c>
    </row>
    <row r="346" customFormat="false" ht="15" hidden="false" customHeight="true" outlineLevel="0" collapsed="false">
      <c r="A346" s="9" t="n">
        <v>322</v>
      </c>
      <c r="B346" s="47" t="s">
        <v>131</v>
      </c>
      <c r="C346" s="47" t="s">
        <v>2423</v>
      </c>
      <c r="D346" s="47" t="s">
        <v>1008</v>
      </c>
      <c r="E346" s="47" t="s">
        <v>1010</v>
      </c>
      <c r="F346" s="45" t="s">
        <v>397</v>
      </c>
      <c r="G346" s="9" t="n">
        <v>9</v>
      </c>
      <c r="H346" s="12" t="n">
        <f aca="false">'Engineering Assumptions'!$C$37*'Engineering Assumptions'!$B$5*U346</f>
        <v>2865</v>
      </c>
      <c r="I346" s="12" t="n">
        <f aca="false">'Engineering Assumptions'!$B$8</f>
        <v>650</v>
      </c>
      <c r="J346" s="12" t="n">
        <f aca="false">'Engineering Assumptions'!$D$37*S346*U346</f>
        <v>287.5</v>
      </c>
      <c r="K346" s="12" t="n">
        <f aca="false">'Engineering Assumptions'!$E$37*T346*U346</f>
        <v>232.5</v>
      </c>
      <c r="L346" s="13" t="n">
        <f aca="false">H346+I346+J346+K346</f>
        <v>4035</v>
      </c>
      <c r="M346" s="12" t="n">
        <f aca="false">L346*'Engineering Assumptions'!$B$10</f>
        <v>605.25</v>
      </c>
      <c r="N346" s="13" t="n">
        <f aca="false">L346+M346</f>
        <v>4640.25</v>
      </c>
      <c r="O346" s="12" t="n">
        <f aca="false">N346*'Engineering Assumptions'!$B$11</f>
        <v>928.05</v>
      </c>
      <c r="P346" s="183" t="n">
        <f aca="false">MROUND(N346+O346,10)</f>
        <v>5570</v>
      </c>
      <c r="Q346" s="12" t="n">
        <f aca="false">'Fleet Pricing'!H346</f>
        <v>2990</v>
      </c>
      <c r="R346" s="41" t="n">
        <v>9</v>
      </c>
      <c r="S346" s="46" t="n">
        <v>1.25</v>
      </c>
      <c r="T346" s="46" t="n">
        <v>0.75</v>
      </c>
      <c r="U346" s="46" t="n">
        <v>1</v>
      </c>
    </row>
    <row r="347" customFormat="false" ht="15" hidden="false" customHeight="true" outlineLevel="0" collapsed="false">
      <c r="A347" s="9" t="n">
        <v>323</v>
      </c>
      <c r="B347" s="47" t="s">
        <v>131</v>
      </c>
      <c r="C347" s="47" t="s">
        <v>2424</v>
      </c>
      <c r="D347" s="47" t="s">
        <v>1011</v>
      </c>
      <c r="E347" s="47" t="s">
        <v>1013</v>
      </c>
      <c r="F347" s="45" t="s">
        <v>318</v>
      </c>
      <c r="G347" s="9" t="n">
        <v>10</v>
      </c>
      <c r="H347" s="12" t="n">
        <f aca="false">'Engineering Assumptions'!$C$37*'Engineering Assumptions'!$B$5*U347</f>
        <v>2865</v>
      </c>
      <c r="I347" s="12" t="n">
        <f aca="false">'Engineering Assumptions'!$B$8</f>
        <v>650</v>
      </c>
      <c r="J347" s="12" t="n">
        <f aca="false">'Engineering Assumptions'!$D$37*S347*U347</f>
        <v>287.5</v>
      </c>
      <c r="K347" s="12" t="n">
        <f aca="false">'Engineering Assumptions'!$E$37*T347*U347</f>
        <v>232.5</v>
      </c>
      <c r="L347" s="13" t="n">
        <f aca="false">H347+I347+J347+K347</f>
        <v>4035</v>
      </c>
      <c r="M347" s="12" t="n">
        <f aca="false">L347*'Engineering Assumptions'!$B$10</f>
        <v>605.25</v>
      </c>
      <c r="N347" s="13" t="n">
        <f aca="false">L347+M347</f>
        <v>4640.25</v>
      </c>
      <c r="O347" s="12" t="n">
        <f aca="false">N347*'Engineering Assumptions'!$B$11</f>
        <v>928.05</v>
      </c>
      <c r="P347" s="183" t="n">
        <f aca="false">MROUND(N347+O347,10)</f>
        <v>5570</v>
      </c>
      <c r="Q347" s="12" t="n">
        <f aca="false">'Fleet Pricing'!H347</f>
        <v>2990</v>
      </c>
      <c r="R347" s="41" t="n">
        <v>10</v>
      </c>
      <c r="S347" s="46" t="n">
        <v>1.25</v>
      </c>
      <c r="T347" s="46" t="n">
        <v>0.75</v>
      </c>
      <c r="U347" s="46" t="n">
        <v>1</v>
      </c>
    </row>
    <row r="348" customFormat="false" ht="15" hidden="false" customHeight="true" outlineLevel="0" collapsed="false">
      <c r="A348" s="9" t="n">
        <v>324</v>
      </c>
      <c r="B348" s="47" t="s">
        <v>131</v>
      </c>
      <c r="C348" s="47" t="s">
        <v>2424</v>
      </c>
      <c r="D348" s="47" t="s">
        <v>929</v>
      </c>
      <c r="E348" s="47" t="s">
        <v>930</v>
      </c>
      <c r="F348" s="45" t="s">
        <v>318</v>
      </c>
      <c r="G348" s="9" t="n">
        <v>10</v>
      </c>
      <c r="H348" s="12" t="n">
        <f aca="false">'Engineering Assumptions'!$C$37*'Engineering Assumptions'!$B$5*U348</f>
        <v>2865</v>
      </c>
      <c r="I348" s="12" t="n">
        <f aca="false">'Engineering Assumptions'!$B$8</f>
        <v>650</v>
      </c>
      <c r="J348" s="12" t="n">
        <f aca="false">'Engineering Assumptions'!$D$37*S348*U348</f>
        <v>287.5</v>
      </c>
      <c r="K348" s="12" t="n">
        <f aca="false">'Engineering Assumptions'!$E$37*T348*U348</f>
        <v>232.5</v>
      </c>
      <c r="L348" s="13" t="n">
        <f aca="false">H348+I348+J348+K348</f>
        <v>4035</v>
      </c>
      <c r="M348" s="12" t="n">
        <f aca="false">L348*'Engineering Assumptions'!$B$10</f>
        <v>605.25</v>
      </c>
      <c r="N348" s="13" t="n">
        <f aca="false">L348+M348</f>
        <v>4640.25</v>
      </c>
      <c r="O348" s="12" t="n">
        <f aca="false">N348*'Engineering Assumptions'!$B$11</f>
        <v>928.05</v>
      </c>
      <c r="P348" s="183" t="n">
        <f aca="false">MROUND(N348+O348,10)</f>
        <v>5570</v>
      </c>
      <c r="Q348" s="12" t="n">
        <f aca="false">'Fleet Pricing'!H348</f>
        <v>2990</v>
      </c>
      <c r="R348" s="41" t="n">
        <v>10</v>
      </c>
      <c r="S348" s="46" t="n">
        <v>1.25</v>
      </c>
      <c r="T348" s="46" t="n">
        <v>0.75</v>
      </c>
      <c r="U348" s="46" t="n">
        <v>1</v>
      </c>
    </row>
    <row r="349" customFormat="false" ht="15" hidden="false" customHeight="true" outlineLevel="0" collapsed="false">
      <c r="A349" s="9" t="n">
        <v>325</v>
      </c>
      <c r="B349" s="47" t="s">
        <v>131</v>
      </c>
      <c r="C349" s="47" t="s">
        <v>2424</v>
      </c>
      <c r="D349" s="47" t="s">
        <v>935</v>
      </c>
      <c r="E349" s="47" t="s">
        <v>936</v>
      </c>
      <c r="F349" s="45" t="s">
        <v>318</v>
      </c>
      <c r="G349" s="9" t="n">
        <v>10</v>
      </c>
      <c r="H349" s="12" t="n">
        <f aca="false">'Engineering Assumptions'!$C$37*'Engineering Assumptions'!$B$5*U349</f>
        <v>2865</v>
      </c>
      <c r="I349" s="12" t="n">
        <f aca="false">'Engineering Assumptions'!$B$8</f>
        <v>650</v>
      </c>
      <c r="J349" s="12" t="n">
        <f aca="false">'Engineering Assumptions'!$D$37*S349*U349</f>
        <v>287.5</v>
      </c>
      <c r="K349" s="12" t="n">
        <f aca="false">'Engineering Assumptions'!$E$37*T349*U349</f>
        <v>232.5</v>
      </c>
      <c r="L349" s="13" t="n">
        <f aca="false">H349+I349+J349+K349</f>
        <v>4035</v>
      </c>
      <c r="M349" s="12" t="n">
        <f aca="false">L349*'Engineering Assumptions'!$B$10</f>
        <v>605.25</v>
      </c>
      <c r="N349" s="13" t="n">
        <f aca="false">L349+M349</f>
        <v>4640.25</v>
      </c>
      <c r="O349" s="12" t="n">
        <f aca="false">N349*'Engineering Assumptions'!$B$11</f>
        <v>928.05</v>
      </c>
      <c r="P349" s="183" t="n">
        <f aca="false">MROUND(N349+O349,10)</f>
        <v>5570</v>
      </c>
      <c r="Q349" s="12" t="n">
        <f aca="false">'Fleet Pricing'!H349</f>
        <v>2990</v>
      </c>
      <c r="R349" s="41" t="n">
        <v>10</v>
      </c>
      <c r="S349" s="46" t="n">
        <v>1.25</v>
      </c>
      <c r="T349" s="46" t="n">
        <v>0.75</v>
      </c>
      <c r="U349" s="46" t="n">
        <v>1</v>
      </c>
    </row>
    <row r="350" customFormat="false" ht="15" hidden="false" customHeight="true" outlineLevel="0" collapsed="false">
      <c r="A350" s="9" t="n">
        <v>326</v>
      </c>
      <c r="B350" s="47" t="s">
        <v>131</v>
      </c>
      <c r="C350" s="47" t="s">
        <v>2424</v>
      </c>
      <c r="D350" s="47" t="s">
        <v>937</v>
      </c>
      <c r="E350" s="47" t="s">
        <v>938</v>
      </c>
      <c r="F350" s="45" t="s">
        <v>318</v>
      </c>
      <c r="G350" s="9" t="n">
        <v>10</v>
      </c>
      <c r="H350" s="12" t="n">
        <f aca="false">'Engineering Assumptions'!$C$37*'Engineering Assumptions'!$B$5*U350</f>
        <v>2865</v>
      </c>
      <c r="I350" s="12" t="n">
        <f aca="false">'Engineering Assumptions'!$B$8</f>
        <v>650</v>
      </c>
      <c r="J350" s="12" t="n">
        <f aca="false">'Engineering Assumptions'!$D$37*S350*U350</f>
        <v>287.5</v>
      </c>
      <c r="K350" s="12" t="n">
        <f aca="false">'Engineering Assumptions'!$E$37*T350*U350</f>
        <v>232.5</v>
      </c>
      <c r="L350" s="13" t="n">
        <f aca="false">H350+I350+J350+K350</f>
        <v>4035</v>
      </c>
      <c r="M350" s="12" t="n">
        <f aca="false">L350*'Engineering Assumptions'!$B$10</f>
        <v>605.25</v>
      </c>
      <c r="N350" s="13" t="n">
        <f aca="false">L350+M350</f>
        <v>4640.25</v>
      </c>
      <c r="O350" s="12" t="n">
        <f aca="false">N350*'Engineering Assumptions'!$B$11</f>
        <v>928.05</v>
      </c>
      <c r="P350" s="183" t="n">
        <f aca="false">MROUND(N350+O350,10)</f>
        <v>5570</v>
      </c>
      <c r="Q350" s="12" t="n">
        <f aca="false">'Fleet Pricing'!H350</f>
        <v>2990</v>
      </c>
      <c r="R350" s="41" t="n">
        <v>10</v>
      </c>
      <c r="S350" s="46" t="n">
        <v>1.25</v>
      </c>
      <c r="T350" s="46" t="n">
        <v>0.75</v>
      </c>
      <c r="U350" s="46" t="n">
        <v>1</v>
      </c>
    </row>
    <row r="351" customFormat="false" ht="15" hidden="false" customHeight="true" outlineLevel="0" collapsed="false">
      <c r="A351" s="9" t="n">
        <v>327</v>
      </c>
      <c r="B351" s="47" t="s">
        <v>131</v>
      </c>
      <c r="C351" s="47" t="s">
        <v>2424</v>
      </c>
      <c r="D351" s="47" t="s">
        <v>939</v>
      </c>
      <c r="E351" s="47" t="s">
        <v>940</v>
      </c>
      <c r="F351" s="45" t="s">
        <v>318</v>
      </c>
      <c r="G351" s="9" t="n">
        <v>10</v>
      </c>
      <c r="H351" s="12" t="n">
        <f aca="false">'Engineering Assumptions'!$C$37*'Engineering Assumptions'!$B$5*U351</f>
        <v>2865</v>
      </c>
      <c r="I351" s="12" t="n">
        <f aca="false">'Engineering Assumptions'!$B$8</f>
        <v>650</v>
      </c>
      <c r="J351" s="12" t="n">
        <f aca="false">'Engineering Assumptions'!$D$37*S351*U351</f>
        <v>287.5</v>
      </c>
      <c r="K351" s="12" t="n">
        <f aca="false">'Engineering Assumptions'!$E$37*T351*U351</f>
        <v>232.5</v>
      </c>
      <c r="L351" s="13" t="n">
        <f aca="false">H351+I351+J351+K351</f>
        <v>4035</v>
      </c>
      <c r="M351" s="12" t="n">
        <f aca="false">L351*'Engineering Assumptions'!$B$10</f>
        <v>605.25</v>
      </c>
      <c r="N351" s="13" t="n">
        <f aca="false">L351+M351</f>
        <v>4640.25</v>
      </c>
      <c r="O351" s="12" t="n">
        <f aca="false">N351*'Engineering Assumptions'!$B$11</f>
        <v>928.05</v>
      </c>
      <c r="P351" s="183" t="n">
        <f aca="false">MROUND(N351+O351,10)</f>
        <v>5570</v>
      </c>
      <c r="Q351" s="12" t="n">
        <f aca="false">'Fleet Pricing'!H351</f>
        <v>2990</v>
      </c>
      <c r="R351" s="41" t="n">
        <v>10</v>
      </c>
      <c r="S351" s="46" t="n">
        <v>1.25</v>
      </c>
      <c r="T351" s="46" t="n">
        <v>0.75</v>
      </c>
      <c r="U351" s="46" t="n">
        <v>1</v>
      </c>
    </row>
    <row r="352" customFormat="false" ht="15" hidden="false" customHeight="true" outlineLevel="0" collapsed="false">
      <c r="A352" s="9" t="n">
        <v>328</v>
      </c>
      <c r="B352" s="47" t="s">
        <v>131</v>
      </c>
      <c r="C352" s="47" t="s">
        <v>2424</v>
      </c>
      <c r="D352" s="47" t="s">
        <v>941</v>
      </c>
      <c r="E352" s="47" t="s">
        <v>942</v>
      </c>
      <c r="F352" s="45" t="s">
        <v>318</v>
      </c>
      <c r="G352" s="9" t="n">
        <v>10</v>
      </c>
      <c r="H352" s="12" t="n">
        <f aca="false">'Engineering Assumptions'!$C$37*'Engineering Assumptions'!$B$5*U352</f>
        <v>2865</v>
      </c>
      <c r="I352" s="12" t="n">
        <f aca="false">'Engineering Assumptions'!$B$8</f>
        <v>650</v>
      </c>
      <c r="J352" s="12" t="n">
        <f aca="false">'Engineering Assumptions'!$D$37*S352*U352</f>
        <v>287.5</v>
      </c>
      <c r="K352" s="12" t="n">
        <f aca="false">'Engineering Assumptions'!$E$37*T352*U352</f>
        <v>232.5</v>
      </c>
      <c r="L352" s="13" t="n">
        <f aca="false">H352+I352+J352+K352</f>
        <v>4035</v>
      </c>
      <c r="M352" s="12" t="n">
        <f aca="false">L352*'Engineering Assumptions'!$B$10</f>
        <v>605.25</v>
      </c>
      <c r="N352" s="13" t="n">
        <f aca="false">L352+M352</f>
        <v>4640.25</v>
      </c>
      <c r="O352" s="12" t="n">
        <f aca="false">N352*'Engineering Assumptions'!$B$11</f>
        <v>928.05</v>
      </c>
      <c r="P352" s="183" t="n">
        <f aca="false">MROUND(N352+O352,10)</f>
        <v>5570</v>
      </c>
      <c r="Q352" s="12" t="n">
        <f aca="false">'Fleet Pricing'!H352</f>
        <v>2990</v>
      </c>
      <c r="R352" s="41" t="n">
        <v>10</v>
      </c>
      <c r="S352" s="46" t="n">
        <v>1.25</v>
      </c>
      <c r="T352" s="46" t="n">
        <v>0.75</v>
      </c>
      <c r="U352" s="46" t="n">
        <v>1</v>
      </c>
    </row>
    <row r="353" customFormat="false" ht="15" hidden="false" customHeight="true" outlineLevel="0" collapsed="false">
      <c r="A353" s="9" t="n">
        <v>329</v>
      </c>
      <c r="B353" s="47" t="s">
        <v>131</v>
      </c>
      <c r="C353" s="47" t="s">
        <v>2424</v>
      </c>
      <c r="D353" s="47" t="s">
        <v>943</v>
      </c>
      <c r="E353" s="47" t="s">
        <v>944</v>
      </c>
      <c r="F353" s="45" t="s">
        <v>318</v>
      </c>
      <c r="G353" s="9" t="n">
        <v>10</v>
      </c>
      <c r="H353" s="12" t="n">
        <f aca="false">'Engineering Assumptions'!$C$37*'Engineering Assumptions'!$B$5*U353</f>
        <v>2865</v>
      </c>
      <c r="I353" s="12" t="n">
        <f aca="false">'Engineering Assumptions'!$B$8</f>
        <v>650</v>
      </c>
      <c r="J353" s="12" t="n">
        <f aca="false">'Engineering Assumptions'!$D$37*S353*U353</f>
        <v>287.5</v>
      </c>
      <c r="K353" s="12" t="n">
        <f aca="false">'Engineering Assumptions'!$E$37*T353*U353</f>
        <v>232.5</v>
      </c>
      <c r="L353" s="13" t="n">
        <f aca="false">H353+I353+J353+K353</f>
        <v>4035</v>
      </c>
      <c r="M353" s="12" t="n">
        <f aca="false">L353*'Engineering Assumptions'!$B$10</f>
        <v>605.25</v>
      </c>
      <c r="N353" s="13" t="n">
        <f aca="false">L353+M353</f>
        <v>4640.25</v>
      </c>
      <c r="O353" s="12" t="n">
        <f aca="false">N353*'Engineering Assumptions'!$B$11</f>
        <v>928.05</v>
      </c>
      <c r="P353" s="183" t="n">
        <f aca="false">MROUND(N353+O353,10)</f>
        <v>5570</v>
      </c>
      <c r="Q353" s="12" t="n">
        <f aca="false">'Fleet Pricing'!H353</f>
        <v>2990</v>
      </c>
      <c r="R353" s="41" t="n">
        <v>10</v>
      </c>
      <c r="S353" s="46" t="n">
        <v>1.25</v>
      </c>
      <c r="T353" s="46" t="n">
        <v>0.75</v>
      </c>
      <c r="U353" s="46" t="n">
        <v>1</v>
      </c>
    </row>
    <row r="354" customFormat="false" ht="15" hidden="false" customHeight="true" outlineLevel="0" collapsed="false">
      <c r="A354" s="9" t="n">
        <v>330</v>
      </c>
      <c r="B354" s="47" t="s">
        <v>131</v>
      </c>
      <c r="C354" s="47" t="s">
        <v>2424</v>
      </c>
      <c r="D354" s="47" t="s">
        <v>945</v>
      </c>
      <c r="E354" s="47" t="s">
        <v>946</v>
      </c>
      <c r="F354" s="45" t="s">
        <v>318</v>
      </c>
      <c r="G354" s="9" t="n">
        <v>10</v>
      </c>
      <c r="H354" s="12" t="n">
        <f aca="false">'Engineering Assumptions'!$C$37*'Engineering Assumptions'!$B$5*U354</f>
        <v>2865</v>
      </c>
      <c r="I354" s="12" t="n">
        <f aca="false">'Engineering Assumptions'!$B$8</f>
        <v>650</v>
      </c>
      <c r="J354" s="12" t="n">
        <f aca="false">'Engineering Assumptions'!$D$37*S354*U354</f>
        <v>287.5</v>
      </c>
      <c r="K354" s="12" t="n">
        <f aca="false">'Engineering Assumptions'!$E$37*T354*U354</f>
        <v>232.5</v>
      </c>
      <c r="L354" s="13" t="n">
        <f aca="false">H354+I354+J354+K354</f>
        <v>4035</v>
      </c>
      <c r="M354" s="12" t="n">
        <f aca="false">L354*'Engineering Assumptions'!$B$10</f>
        <v>605.25</v>
      </c>
      <c r="N354" s="13" t="n">
        <f aca="false">L354+M354</f>
        <v>4640.25</v>
      </c>
      <c r="O354" s="12" t="n">
        <f aca="false">N354*'Engineering Assumptions'!$B$11</f>
        <v>928.05</v>
      </c>
      <c r="P354" s="183" t="n">
        <f aca="false">MROUND(N354+O354,10)</f>
        <v>5570</v>
      </c>
      <c r="Q354" s="12" t="n">
        <f aca="false">'Fleet Pricing'!H354</f>
        <v>2990</v>
      </c>
      <c r="R354" s="41" t="n">
        <v>10</v>
      </c>
      <c r="S354" s="46" t="n">
        <v>1.25</v>
      </c>
      <c r="T354" s="46" t="n">
        <v>0.75</v>
      </c>
      <c r="U354" s="46" t="n">
        <v>1</v>
      </c>
    </row>
    <row r="355" customFormat="false" ht="15" hidden="false" customHeight="true" outlineLevel="0" collapsed="false">
      <c r="A355" s="9" t="n">
        <v>331</v>
      </c>
      <c r="B355" s="47" t="s">
        <v>131</v>
      </c>
      <c r="C355" s="47" t="s">
        <v>2424</v>
      </c>
      <c r="D355" s="47" t="s">
        <v>947</v>
      </c>
      <c r="E355" s="47" t="s">
        <v>948</v>
      </c>
      <c r="F355" s="45" t="s">
        <v>318</v>
      </c>
      <c r="G355" s="9" t="n">
        <v>10</v>
      </c>
      <c r="H355" s="12" t="n">
        <f aca="false">'Engineering Assumptions'!$C$37*'Engineering Assumptions'!$B$5*U355</f>
        <v>2865</v>
      </c>
      <c r="I355" s="12" t="n">
        <f aca="false">'Engineering Assumptions'!$B$8</f>
        <v>650</v>
      </c>
      <c r="J355" s="12" t="n">
        <f aca="false">'Engineering Assumptions'!$D$37*S355*U355</f>
        <v>287.5</v>
      </c>
      <c r="K355" s="12" t="n">
        <f aca="false">'Engineering Assumptions'!$E$37*T355*U355</f>
        <v>232.5</v>
      </c>
      <c r="L355" s="13" t="n">
        <f aca="false">H355+I355+J355+K355</f>
        <v>4035</v>
      </c>
      <c r="M355" s="12" t="n">
        <f aca="false">L355*'Engineering Assumptions'!$B$10</f>
        <v>605.25</v>
      </c>
      <c r="N355" s="13" t="n">
        <f aca="false">L355+M355</f>
        <v>4640.25</v>
      </c>
      <c r="O355" s="12" t="n">
        <f aca="false">N355*'Engineering Assumptions'!$B$11</f>
        <v>928.05</v>
      </c>
      <c r="P355" s="183" t="n">
        <f aca="false">MROUND(N355+O355,10)</f>
        <v>5570</v>
      </c>
      <c r="Q355" s="12" t="n">
        <f aca="false">'Fleet Pricing'!H355</f>
        <v>2990</v>
      </c>
      <c r="R355" s="41" t="n">
        <v>10</v>
      </c>
      <c r="S355" s="46" t="n">
        <v>1.25</v>
      </c>
      <c r="T355" s="46" t="n">
        <v>0.75</v>
      </c>
      <c r="U355" s="46" t="n">
        <v>1</v>
      </c>
    </row>
    <row r="356" customFormat="false" ht="15" hidden="false" customHeight="true" outlineLevel="0" collapsed="false">
      <c r="A356" s="9" t="n">
        <v>332</v>
      </c>
      <c r="B356" s="47" t="s">
        <v>131</v>
      </c>
      <c r="C356" s="47" t="s">
        <v>2424</v>
      </c>
      <c r="D356" s="47" t="s">
        <v>949</v>
      </c>
      <c r="E356" s="47" t="s">
        <v>950</v>
      </c>
      <c r="F356" s="45" t="s">
        <v>318</v>
      </c>
      <c r="G356" s="9" t="n">
        <v>10</v>
      </c>
      <c r="H356" s="12" t="n">
        <f aca="false">'Engineering Assumptions'!$C$37*'Engineering Assumptions'!$B$5*U356</f>
        <v>2865</v>
      </c>
      <c r="I356" s="12" t="n">
        <f aca="false">'Engineering Assumptions'!$B$8</f>
        <v>650</v>
      </c>
      <c r="J356" s="12" t="n">
        <f aca="false">'Engineering Assumptions'!$D$37*S356*U356</f>
        <v>287.5</v>
      </c>
      <c r="K356" s="12" t="n">
        <f aca="false">'Engineering Assumptions'!$E$37*T356*U356</f>
        <v>232.5</v>
      </c>
      <c r="L356" s="13" t="n">
        <f aca="false">H356+I356+J356+K356</f>
        <v>4035</v>
      </c>
      <c r="M356" s="12" t="n">
        <f aca="false">L356*'Engineering Assumptions'!$B$10</f>
        <v>605.25</v>
      </c>
      <c r="N356" s="13" t="n">
        <f aca="false">L356+M356</f>
        <v>4640.25</v>
      </c>
      <c r="O356" s="12" t="n">
        <f aca="false">N356*'Engineering Assumptions'!$B$11</f>
        <v>928.05</v>
      </c>
      <c r="P356" s="183" t="n">
        <f aca="false">MROUND(N356+O356,10)</f>
        <v>5570</v>
      </c>
      <c r="Q356" s="12" t="n">
        <f aca="false">'Fleet Pricing'!H356</f>
        <v>2990</v>
      </c>
      <c r="R356" s="41" t="n">
        <v>10</v>
      </c>
      <c r="S356" s="46" t="n">
        <v>1.25</v>
      </c>
      <c r="T356" s="46" t="n">
        <v>0.75</v>
      </c>
      <c r="U356" s="46" t="n">
        <v>1</v>
      </c>
    </row>
    <row r="357" customFormat="false" ht="15" hidden="false" customHeight="true" outlineLevel="0" collapsed="false">
      <c r="A357" s="9" t="n">
        <v>333</v>
      </c>
      <c r="B357" s="47" t="s">
        <v>131</v>
      </c>
      <c r="C357" s="47" t="s">
        <v>2422</v>
      </c>
      <c r="D357" s="47" t="s">
        <v>1077</v>
      </c>
      <c r="E357" s="47" t="s">
        <v>1078</v>
      </c>
      <c r="F357" s="45" t="s">
        <v>318</v>
      </c>
      <c r="G357" s="9" t="n">
        <v>10</v>
      </c>
      <c r="H357" s="12" t="n">
        <f aca="false">'Engineering Assumptions'!$C$37*'Engineering Assumptions'!$B$5*U357</f>
        <v>2865</v>
      </c>
      <c r="I357" s="12" t="n">
        <f aca="false">'Engineering Assumptions'!$B$8</f>
        <v>650</v>
      </c>
      <c r="J357" s="12" t="n">
        <f aca="false">'Engineering Assumptions'!$D$37*S357*U357</f>
        <v>287.5</v>
      </c>
      <c r="K357" s="12" t="n">
        <f aca="false">'Engineering Assumptions'!$E$37*T357*U357</f>
        <v>232.5</v>
      </c>
      <c r="L357" s="13" t="n">
        <f aca="false">H357+I357+J357+K357</f>
        <v>4035</v>
      </c>
      <c r="M357" s="12" t="n">
        <f aca="false">L357*'Engineering Assumptions'!$B$10</f>
        <v>605.25</v>
      </c>
      <c r="N357" s="13" t="n">
        <f aca="false">L357+M357</f>
        <v>4640.25</v>
      </c>
      <c r="O357" s="12" t="n">
        <f aca="false">N357*'Engineering Assumptions'!$B$11</f>
        <v>928.05</v>
      </c>
      <c r="P357" s="183" t="n">
        <f aca="false">MROUND(N357+O357,10)</f>
        <v>5570</v>
      </c>
      <c r="Q357" s="12" t="n">
        <f aca="false">'Fleet Pricing'!H357</f>
        <v>2990</v>
      </c>
      <c r="R357" s="41" t="n">
        <v>10</v>
      </c>
      <c r="S357" s="46" t="n">
        <v>1.25</v>
      </c>
      <c r="T357" s="46" t="n">
        <v>0.75</v>
      </c>
      <c r="U357" s="46" t="n">
        <v>1</v>
      </c>
    </row>
    <row r="358" customFormat="false" ht="15" hidden="false" customHeight="true" outlineLevel="0" collapsed="false">
      <c r="A358" s="9" t="n">
        <v>334</v>
      </c>
      <c r="B358" s="47" t="s">
        <v>131</v>
      </c>
      <c r="C358" s="47" t="s">
        <v>2422</v>
      </c>
      <c r="D358" s="47" t="s">
        <v>921</v>
      </c>
      <c r="E358" s="47" t="s">
        <v>922</v>
      </c>
      <c r="F358" s="45" t="s">
        <v>318</v>
      </c>
      <c r="G358" s="9" t="n">
        <v>10</v>
      </c>
      <c r="H358" s="12" t="n">
        <f aca="false">'Engineering Assumptions'!$C$37*'Engineering Assumptions'!$B$5*U358</f>
        <v>2865</v>
      </c>
      <c r="I358" s="12" t="n">
        <f aca="false">'Engineering Assumptions'!$B$8</f>
        <v>650</v>
      </c>
      <c r="J358" s="12" t="n">
        <f aca="false">'Engineering Assumptions'!$D$37*S358*U358</f>
        <v>287.5</v>
      </c>
      <c r="K358" s="12" t="n">
        <f aca="false">'Engineering Assumptions'!$E$37*T358*U358</f>
        <v>232.5</v>
      </c>
      <c r="L358" s="13" t="n">
        <f aca="false">H358+I358+J358+K358</f>
        <v>4035</v>
      </c>
      <c r="M358" s="12" t="n">
        <f aca="false">L358*'Engineering Assumptions'!$B$10</f>
        <v>605.25</v>
      </c>
      <c r="N358" s="13" t="n">
        <f aca="false">L358+M358</f>
        <v>4640.25</v>
      </c>
      <c r="O358" s="12" t="n">
        <f aca="false">N358*'Engineering Assumptions'!$B$11</f>
        <v>928.05</v>
      </c>
      <c r="P358" s="183" t="n">
        <f aca="false">MROUND(N358+O358,10)</f>
        <v>5570</v>
      </c>
      <c r="Q358" s="12" t="n">
        <f aca="false">'Fleet Pricing'!H358</f>
        <v>2990</v>
      </c>
      <c r="R358" s="41" t="n">
        <v>10</v>
      </c>
      <c r="S358" s="46" t="n">
        <v>1.25</v>
      </c>
      <c r="T358" s="46" t="n">
        <v>0.75</v>
      </c>
      <c r="U358" s="46" t="n">
        <v>1</v>
      </c>
    </row>
    <row r="359" customFormat="false" ht="15" hidden="false" customHeight="true" outlineLevel="0" collapsed="false">
      <c r="A359" s="9" t="n">
        <v>335</v>
      </c>
      <c r="B359" s="47" t="s">
        <v>131</v>
      </c>
      <c r="C359" s="47" t="s">
        <v>2422</v>
      </c>
      <c r="D359" s="47" t="s">
        <v>923</v>
      </c>
      <c r="E359" s="47" t="s">
        <v>924</v>
      </c>
      <c r="F359" s="45" t="s">
        <v>318</v>
      </c>
      <c r="G359" s="9" t="n">
        <v>10</v>
      </c>
      <c r="H359" s="12" t="n">
        <f aca="false">'Engineering Assumptions'!$C$37*'Engineering Assumptions'!$B$5*U359</f>
        <v>2865</v>
      </c>
      <c r="I359" s="12" t="n">
        <f aca="false">'Engineering Assumptions'!$B$8</f>
        <v>650</v>
      </c>
      <c r="J359" s="12" t="n">
        <f aca="false">'Engineering Assumptions'!$D$37*S359*U359</f>
        <v>287.5</v>
      </c>
      <c r="K359" s="12" t="n">
        <f aca="false">'Engineering Assumptions'!$E$37*T359*U359</f>
        <v>232.5</v>
      </c>
      <c r="L359" s="13" t="n">
        <f aca="false">H359+I359+J359+K359</f>
        <v>4035</v>
      </c>
      <c r="M359" s="12" t="n">
        <f aca="false">L359*'Engineering Assumptions'!$B$10</f>
        <v>605.25</v>
      </c>
      <c r="N359" s="13" t="n">
        <f aca="false">L359+M359</f>
        <v>4640.25</v>
      </c>
      <c r="O359" s="12" t="n">
        <f aca="false">N359*'Engineering Assumptions'!$B$11</f>
        <v>928.05</v>
      </c>
      <c r="P359" s="183" t="n">
        <f aca="false">MROUND(N359+O359,10)</f>
        <v>5570</v>
      </c>
      <c r="Q359" s="12" t="n">
        <f aca="false">'Fleet Pricing'!H359</f>
        <v>2990</v>
      </c>
      <c r="R359" s="41" t="n">
        <v>10</v>
      </c>
      <c r="S359" s="46" t="n">
        <v>1.25</v>
      </c>
      <c r="T359" s="46" t="n">
        <v>0.75</v>
      </c>
      <c r="U359" s="46" t="n">
        <v>1</v>
      </c>
    </row>
    <row r="360" customFormat="false" ht="15" hidden="false" customHeight="true" outlineLevel="0" collapsed="false">
      <c r="A360" s="9" t="n">
        <v>336</v>
      </c>
      <c r="B360" s="47" t="s">
        <v>131</v>
      </c>
      <c r="C360" s="47" t="s">
        <v>2425</v>
      </c>
      <c r="D360" s="47" t="s">
        <v>1038</v>
      </c>
      <c r="E360" s="47" t="s">
        <v>1040</v>
      </c>
      <c r="F360" s="45" t="s">
        <v>380</v>
      </c>
      <c r="G360" s="9" t="n">
        <v>13</v>
      </c>
      <c r="H360" s="12" t="n">
        <f aca="false">'Engineering Assumptions'!$C$37*'Engineering Assumptions'!$B$5*U360</f>
        <v>2865</v>
      </c>
      <c r="I360" s="12" t="n">
        <f aca="false">'Engineering Assumptions'!$B$8</f>
        <v>650</v>
      </c>
      <c r="J360" s="12" t="n">
        <f aca="false">'Engineering Assumptions'!$D$37*S360*U360</f>
        <v>356.5</v>
      </c>
      <c r="K360" s="12" t="n">
        <f aca="false">'Engineering Assumptions'!$E$37*T360*U360</f>
        <v>418.5</v>
      </c>
      <c r="L360" s="13" t="n">
        <f aca="false">H360+I360+J360+K360</f>
        <v>4290</v>
      </c>
      <c r="M360" s="12" t="n">
        <f aca="false">L360*'Engineering Assumptions'!$B$10</f>
        <v>643.5</v>
      </c>
      <c r="N360" s="13" t="n">
        <f aca="false">L360+M360</f>
        <v>4933.5</v>
      </c>
      <c r="O360" s="12" t="n">
        <f aca="false">N360*'Engineering Assumptions'!$B$11</f>
        <v>986.7</v>
      </c>
      <c r="P360" s="183" t="n">
        <f aca="false">MROUND(N360+O360,10)</f>
        <v>5920</v>
      </c>
      <c r="Q360" s="12" t="n">
        <f aca="false">'Fleet Pricing'!H360</f>
        <v>2670</v>
      </c>
      <c r="R360" s="41" t="n">
        <v>13</v>
      </c>
      <c r="S360" s="46" t="n">
        <v>1.55</v>
      </c>
      <c r="T360" s="46" t="n">
        <v>1.35</v>
      </c>
      <c r="U360" s="46" t="n">
        <v>1</v>
      </c>
    </row>
    <row r="361" customFormat="false" ht="15" hidden="false" customHeight="true" outlineLevel="0" collapsed="false">
      <c r="A361" s="9" t="n">
        <v>337</v>
      </c>
      <c r="B361" s="47" t="s">
        <v>131</v>
      </c>
      <c r="C361" s="47" t="s">
        <v>2426</v>
      </c>
      <c r="D361" s="47" t="s">
        <v>1055</v>
      </c>
      <c r="E361" s="47" t="s">
        <v>1056</v>
      </c>
      <c r="F361" s="45" t="s">
        <v>380</v>
      </c>
      <c r="G361" s="9" t="n">
        <v>13</v>
      </c>
      <c r="H361" s="12" t="n">
        <f aca="false">'Engineering Assumptions'!$C$37*'Engineering Assumptions'!$B$5*U361</f>
        <v>2865</v>
      </c>
      <c r="I361" s="12" t="n">
        <f aca="false">'Engineering Assumptions'!$B$8</f>
        <v>650</v>
      </c>
      <c r="J361" s="12" t="n">
        <f aca="false">'Engineering Assumptions'!$D$37*S361*U361</f>
        <v>356.5</v>
      </c>
      <c r="K361" s="12" t="n">
        <f aca="false">'Engineering Assumptions'!$E$37*T361*U361</f>
        <v>418.5</v>
      </c>
      <c r="L361" s="13" t="n">
        <f aca="false">H361+I361+J361+K361</f>
        <v>4290</v>
      </c>
      <c r="M361" s="12" t="n">
        <f aca="false">L361*'Engineering Assumptions'!$B$10</f>
        <v>643.5</v>
      </c>
      <c r="N361" s="13" t="n">
        <f aca="false">L361+M361</f>
        <v>4933.5</v>
      </c>
      <c r="O361" s="12" t="n">
        <f aca="false">N361*'Engineering Assumptions'!$B$11</f>
        <v>986.7</v>
      </c>
      <c r="P361" s="183" t="n">
        <f aca="false">MROUND(N361+O361,10)</f>
        <v>5920</v>
      </c>
      <c r="Q361" s="12" t="n">
        <f aca="false">'Fleet Pricing'!H361</f>
        <v>2670</v>
      </c>
      <c r="R361" s="41" t="n">
        <v>13</v>
      </c>
      <c r="S361" s="46" t="n">
        <v>1.55</v>
      </c>
      <c r="T361" s="46" t="n">
        <v>1.35</v>
      </c>
      <c r="U361" s="46" t="n">
        <v>1</v>
      </c>
    </row>
    <row r="362" customFormat="false" ht="23.25" hidden="false" customHeight="true" outlineLevel="0" collapsed="false">
      <c r="A362" s="9" t="n">
        <v>338</v>
      </c>
      <c r="B362" s="47" t="s">
        <v>131</v>
      </c>
      <c r="C362" s="47" t="s">
        <v>2427</v>
      </c>
      <c r="D362" s="47" t="s">
        <v>1043</v>
      </c>
      <c r="E362" s="47" t="s">
        <v>1045</v>
      </c>
      <c r="F362" s="45" t="s">
        <v>310</v>
      </c>
      <c r="G362" s="9" t="n">
        <v>14</v>
      </c>
      <c r="H362" s="12" t="n">
        <f aca="false">'Engineering Assumptions'!$C$37*'Engineering Assumptions'!$B$5*U362</f>
        <v>2865</v>
      </c>
      <c r="I362" s="12" t="n">
        <f aca="false">'Engineering Assumptions'!$B$8</f>
        <v>650</v>
      </c>
      <c r="J362" s="12" t="n">
        <f aca="false">'Engineering Assumptions'!$D$37*S362*U362</f>
        <v>356.5</v>
      </c>
      <c r="K362" s="12" t="n">
        <f aca="false">'Engineering Assumptions'!$E$37*T362*U362</f>
        <v>418.5</v>
      </c>
      <c r="L362" s="13" t="n">
        <f aca="false">H362+I362+J362+K362</f>
        <v>4290</v>
      </c>
      <c r="M362" s="12" t="n">
        <f aca="false">L362*'Engineering Assumptions'!$B$10</f>
        <v>643.5</v>
      </c>
      <c r="N362" s="13" t="n">
        <f aca="false">L362+M362</f>
        <v>4933.5</v>
      </c>
      <c r="O362" s="12" t="n">
        <f aca="false">N362*'Engineering Assumptions'!$B$11</f>
        <v>986.7</v>
      </c>
      <c r="P362" s="183" t="n">
        <f aca="false">MROUND(N362+O362,10)</f>
        <v>5920</v>
      </c>
      <c r="Q362" s="12" t="n">
        <f aca="false">'Fleet Pricing'!H362</f>
        <v>2670</v>
      </c>
      <c r="R362" s="41" t="n">
        <v>14</v>
      </c>
      <c r="S362" s="46" t="n">
        <v>1.55</v>
      </c>
      <c r="T362" s="46" t="n">
        <v>1.35</v>
      </c>
      <c r="U362" s="46" t="n">
        <v>1</v>
      </c>
    </row>
    <row r="363" customFormat="false" ht="23.25" hidden="false" customHeight="true" outlineLevel="0" collapsed="false">
      <c r="A363" s="9" t="n">
        <v>339</v>
      </c>
      <c r="B363" s="47" t="s">
        <v>131</v>
      </c>
      <c r="C363" s="47" t="s">
        <v>2427</v>
      </c>
      <c r="D363" s="47" t="s">
        <v>1048</v>
      </c>
      <c r="E363" s="47" t="s">
        <v>1049</v>
      </c>
      <c r="F363" s="45" t="s">
        <v>310</v>
      </c>
      <c r="G363" s="9" t="n">
        <v>14</v>
      </c>
      <c r="H363" s="12" t="n">
        <f aca="false">'Engineering Assumptions'!$C$37*'Engineering Assumptions'!$B$5*U363</f>
        <v>2865</v>
      </c>
      <c r="I363" s="12" t="n">
        <f aca="false">'Engineering Assumptions'!$B$8</f>
        <v>650</v>
      </c>
      <c r="J363" s="12" t="n">
        <f aca="false">'Engineering Assumptions'!$D$37*S363*U363</f>
        <v>356.5</v>
      </c>
      <c r="K363" s="12" t="n">
        <f aca="false">'Engineering Assumptions'!$E$37*T363*U363</f>
        <v>418.5</v>
      </c>
      <c r="L363" s="13" t="n">
        <f aca="false">H363+I363+J363+K363</f>
        <v>4290</v>
      </c>
      <c r="M363" s="12" t="n">
        <f aca="false">L363*'Engineering Assumptions'!$B$10</f>
        <v>643.5</v>
      </c>
      <c r="N363" s="13" t="n">
        <f aca="false">L363+M363</f>
        <v>4933.5</v>
      </c>
      <c r="O363" s="12" t="n">
        <f aca="false">N363*'Engineering Assumptions'!$B$11</f>
        <v>986.7</v>
      </c>
      <c r="P363" s="183" t="n">
        <f aca="false">MROUND(N363+O363,10)</f>
        <v>5920</v>
      </c>
      <c r="Q363" s="12" t="n">
        <f aca="false">'Fleet Pricing'!H363</f>
        <v>2670</v>
      </c>
      <c r="R363" s="41" t="n">
        <v>14</v>
      </c>
      <c r="S363" s="46" t="n">
        <v>1.55</v>
      </c>
      <c r="T363" s="46" t="n">
        <v>1.35</v>
      </c>
      <c r="U363" s="46" t="n">
        <v>1</v>
      </c>
    </row>
    <row r="364" customFormat="false" ht="23.25" hidden="false" customHeight="true" outlineLevel="0" collapsed="false">
      <c r="A364" s="9" t="n">
        <v>340</v>
      </c>
      <c r="B364" s="47" t="s">
        <v>131</v>
      </c>
      <c r="C364" s="47" t="s">
        <v>2427</v>
      </c>
      <c r="D364" s="47" t="s">
        <v>1053</v>
      </c>
      <c r="E364" s="47" t="s">
        <v>1054</v>
      </c>
      <c r="F364" s="45" t="s">
        <v>310</v>
      </c>
      <c r="G364" s="9" t="n">
        <v>14</v>
      </c>
      <c r="H364" s="12" t="n">
        <f aca="false">'Engineering Assumptions'!$C$37*'Engineering Assumptions'!$B$5*U364</f>
        <v>2865</v>
      </c>
      <c r="I364" s="12" t="n">
        <f aca="false">'Engineering Assumptions'!$B$8</f>
        <v>650</v>
      </c>
      <c r="J364" s="12" t="n">
        <f aca="false">'Engineering Assumptions'!$D$37*S364*U364</f>
        <v>356.5</v>
      </c>
      <c r="K364" s="12" t="n">
        <f aca="false">'Engineering Assumptions'!$E$37*T364*U364</f>
        <v>418.5</v>
      </c>
      <c r="L364" s="13" t="n">
        <f aca="false">H364+I364+J364+K364</f>
        <v>4290</v>
      </c>
      <c r="M364" s="12" t="n">
        <f aca="false">L364*'Engineering Assumptions'!$B$10</f>
        <v>643.5</v>
      </c>
      <c r="N364" s="13" t="n">
        <f aca="false">L364+M364</f>
        <v>4933.5</v>
      </c>
      <c r="O364" s="12" t="n">
        <f aca="false">N364*'Engineering Assumptions'!$B$11</f>
        <v>986.7</v>
      </c>
      <c r="P364" s="183" t="n">
        <f aca="false">MROUND(N364+O364,10)</f>
        <v>5920</v>
      </c>
      <c r="Q364" s="12" t="n">
        <f aca="false">'Fleet Pricing'!H364</f>
        <v>2670</v>
      </c>
      <c r="R364" s="41" t="n">
        <v>14</v>
      </c>
      <c r="S364" s="46" t="n">
        <v>1.55</v>
      </c>
      <c r="T364" s="46" t="n">
        <v>1.35</v>
      </c>
      <c r="U364" s="46" t="n">
        <v>1</v>
      </c>
    </row>
    <row r="365" customFormat="false" ht="15" hidden="false" customHeight="true" outlineLevel="0" collapsed="false">
      <c r="A365" s="9" t="n">
        <v>341</v>
      </c>
      <c r="B365" s="47" t="s">
        <v>131</v>
      </c>
      <c r="C365" s="47" t="s">
        <v>2428</v>
      </c>
      <c r="D365" s="47" t="s">
        <v>1050</v>
      </c>
      <c r="E365" s="47" t="s">
        <v>1052</v>
      </c>
      <c r="F365" s="45" t="s">
        <v>310</v>
      </c>
      <c r="G365" s="9" t="n">
        <v>14</v>
      </c>
      <c r="H365" s="12" t="n">
        <f aca="false">'Engineering Assumptions'!$C$37*'Engineering Assumptions'!$B$5*U365</f>
        <v>2865</v>
      </c>
      <c r="I365" s="12" t="n">
        <f aca="false">'Engineering Assumptions'!$B$8</f>
        <v>650</v>
      </c>
      <c r="J365" s="12" t="n">
        <f aca="false">'Engineering Assumptions'!$D$37*S365*U365</f>
        <v>356.5</v>
      </c>
      <c r="K365" s="12" t="n">
        <f aca="false">'Engineering Assumptions'!$E$37*T365*U365</f>
        <v>418.5</v>
      </c>
      <c r="L365" s="13" t="n">
        <f aca="false">H365+I365+J365+K365</f>
        <v>4290</v>
      </c>
      <c r="M365" s="12" t="n">
        <f aca="false">L365*'Engineering Assumptions'!$B$10</f>
        <v>643.5</v>
      </c>
      <c r="N365" s="13" t="n">
        <f aca="false">L365+M365</f>
        <v>4933.5</v>
      </c>
      <c r="O365" s="12" t="n">
        <f aca="false">N365*'Engineering Assumptions'!$B$11</f>
        <v>986.7</v>
      </c>
      <c r="P365" s="183" t="n">
        <f aca="false">MROUND(N365+O365,10)</f>
        <v>5920</v>
      </c>
      <c r="Q365" s="12" t="n">
        <f aca="false">'Fleet Pricing'!H365</f>
        <v>2670</v>
      </c>
      <c r="R365" s="41" t="n">
        <v>14</v>
      </c>
      <c r="S365" s="46" t="n">
        <v>1.55</v>
      </c>
      <c r="T365" s="46" t="n">
        <v>1.35</v>
      </c>
      <c r="U365" s="46" t="n">
        <v>1</v>
      </c>
    </row>
    <row r="366" customFormat="false" ht="15" hidden="false" customHeight="true" outlineLevel="0" collapsed="false">
      <c r="A366" s="9" t="n">
        <v>342</v>
      </c>
      <c r="B366" s="47" t="s">
        <v>131</v>
      </c>
      <c r="C366" s="47" t="s">
        <v>2428</v>
      </c>
      <c r="D366" s="47" t="s">
        <v>1094</v>
      </c>
      <c r="E366" s="47" t="s">
        <v>1095</v>
      </c>
      <c r="F366" s="45" t="s">
        <v>310</v>
      </c>
      <c r="G366" s="9" t="n">
        <v>14</v>
      </c>
      <c r="H366" s="12" t="n">
        <f aca="false">'Engineering Assumptions'!$C$37*'Engineering Assumptions'!$B$5*U366</f>
        <v>2865</v>
      </c>
      <c r="I366" s="12" t="n">
        <f aca="false">'Engineering Assumptions'!$B$8</f>
        <v>650</v>
      </c>
      <c r="J366" s="12" t="n">
        <f aca="false">'Engineering Assumptions'!$D$37*S366*U366</f>
        <v>356.5</v>
      </c>
      <c r="K366" s="12" t="n">
        <f aca="false">'Engineering Assumptions'!$E$37*T366*U366</f>
        <v>418.5</v>
      </c>
      <c r="L366" s="13" t="n">
        <f aca="false">H366+I366+J366+K366</f>
        <v>4290</v>
      </c>
      <c r="M366" s="12" t="n">
        <f aca="false">L366*'Engineering Assumptions'!$B$10</f>
        <v>643.5</v>
      </c>
      <c r="N366" s="13" t="n">
        <f aca="false">L366+M366</f>
        <v>4933.5</v>
      </c>
      <c r="O366" s="12" t="n">
        <f aca="false">N366*'Engineering Assumptions'!$B$11</f>
        <v>986.7</v>
      </c>
      <c r="P366" s="183" t="n">
        <f aca="false">MROUND(N366+O366,10)</f>
        <v>5920</v>
      </c>
      <c r="Q366" s="12" t="n">
        <f aca="false">'Fleet Pricing'!H366</f>
        <v>2670</v>
      </c>
      <c r="R366" s="41" t="n">
        <v>14</v>
      </c>
      <c r="S366" s="46" t="n">
        <v>1.55</v>
      </c>
      <c r="T366" s="46" t="n">
        <v>1.35</v>
      </c>
      <c r="U366" s="46" t="n">
        <v>1</v>
      </c>
    </row>
    <row r="367" customFormat="false" ht="15" hidden="false" customHeight="true" outlineLevel="0" collapsed="false">
      <c r="A367" s="9" t="n">
        <v>343</v>
      </c>
      <c r="B367" s="47" t="s">
        <v>131</v>
      </c>
      <c r="C367" s="47" t="s">
        <v>2426</v>
      </c>
      <c r="D367" s="47" t="s">
        <v>925</v>
      </c>
      <c r="E367" s="47" t="s">
        <v>926</v>
      </c>
      <c r="F367" s="45" t="s">
        <v>310</v>
      </c>
      <c r="G367" s="9" t="n">
        <v>14</v>
      </c>
      <c r="H367" s="12" t="n">
        <f aca="false">'Engineering Assumptions'!$C$37*'Engineering Assumptions'!$B$5*U367</f>
        <v>2865</v>
      </c>
      <c r="I367" s="12" t="n">
        <f aca="false">'Engineering Assumptions'!$B$8</f>
        <v>650</v>
      </c>
      <c r="J367" s="12" t="n">
        <f aca="false">'Engineering Assumptions'!$D$37*S367*U367</f>
        <v>356.5</v>
      </c>
      <c r="K367" s="12" t="n">
        <f aca="false">'Engineering Assumptions'!$E$37*T367*U367</f>
        <v>418.5</v>
      </c>
      <c r="L367" s="13" t="n">
        <f aca="false">H367+I367+J367+K367</f>
        <v>4290</v>
      </c>
      <c r="M367" s="12" t="n">
        <f aca="false">L367*'Engineering Assumptions'!$B$10</f>
        <v>643.5</v>
      </c>
      <c r="N367" s="13" t="n">
        <f aca="false">L367+M367</f>
        <v>4933.5</v>
      </c>
      <c r="O367" s="12" t="n">
        <f aca="false">N367*'Engineering Assumptions'!$B$11</f>
        <v>986.7</v>
      </c>
      <c r="P367" s="183" t="n">
        <f aca="false">MROUND(N367+O367,10)</f>
        <v>5920</v>
      </c>
      <c r="Q367" s="12" t="n">
        <f aca="false">'Fleet Pricing'!H367</f>
        <v>2670</v>
      </c>
      <c r="R367" s="41" t="n">
        <v>14</v>
      </c>
      <c r="S367" s="46" t="n">
        <v>1.55</v>
      </c>
      <c r="T367" s="46" t="n">
        <v>1.35</v>
      </c>
      <c r="U367" s="46" t="n">
        <v>1</v>
      </c>
    </row>
    <row r="368" customFormat="false" ht="15" hidden="false" customHeight="true" outlineLevel="0" collapsed="false">
      <c r="A368" s="9" t="n">
        <v>344</v>
      </c>
      <c r="B368" s="47" t="s">
        <v>131</v>
      </c>
      <c r="C368" s="47" t="s">
        <v>2426</v>
      </c>
      <c r="D368" s="47" t="s">
        <v>1059</v>
      </c>
      <c r="E368" s="47" t="s">
        <v>1061</v>
      </c>
      <c r="F368" s="45" t="s">
        <v>310</v>
      </c>
      <c r="G368" s="9" t="n">
        <v>14</v>
      </c>
      <c r="H368" s="12" t="n">
        <f aca="false">'Engineering Assumptions'!$C$37*'Engineering Assumptions'!$B$5*U368</f>
        <v>2865</v>
      </c>
      <c r="I368" s="12" t="n">
        <f aca="false">'Engineering Assumptions'!$B$8</f>
        <v>650</v>
      </c>
      <c r="J368" s="12" t="n">
        <f aca="false">'Engineering Assumptions'!$D$37*S368*U368</f>
        <v>356.5</v>
      </c>
      <c r="K368" s="12" t="n">
        <f aca="false">'Engineering Assumptions'!$E$37*T368*U368</f>
        <v>418.5</v>
      </c>
      <c r="L368" s="13" t="n">
        <f aca="false">H368+I368+J368+K368</f>
        <v>4290</v>
      </c>
      <c r="M368" s="12" t="n">
        <f aca="false">L368*'Engineering Assumptions'!$B$10</f>
        <v>643.5</v>
      </c>
      <c r="N368" s="13" t="n">
        <f aca="false">L368+M368</f>
        <v>4933.5</v>
      </c>
      <c r="O368" s="12" t="n">
        <f aca="false">N368*'Engineering Assumptions'!$B$11</f>
        <v>986.7</v>
      </c>
      <c r="P368" s="183" t="n">
        <f aca="false">MROUND(N368+O368,10)</f>
        <v>5920</v>
      </c>
      <c r="Q368" s="12" t="n">
        <f aca="false">'Fleet Pricing'!H368</f>
        <v>2670</v>
      </c>
      <c r="R368" s="41" t="n">
        <v>14</v>
      </c>
      <c r="S368" s="46" t="n">
        <v>1.55</v>
      </c>
      <c r="T368" s="46" t="n">
        <v>1.35</v>
      </c>
      <c r="U368" s="46" t="n">
        <v>1</v>
      </c>
    </row>
    <row r="369" customFormat="false" ht="15" hidden="false" customHeight="true" outlineLevel="0" collapsed="false">
      <c r="A369" s="9" t="n">
        <v>345</v>
      </c>
      <c r="B369" s="47" t="s">
        <v>131</v>
      </c>
      <c r="C369" s="47" t="s">
        <v>2429</v>
      </c>
      <c r="D369" s="47" t="s">
        <v>927</v>
      </c>
      <c r="E369" s="47" t="s">
        <v>928</v>
      </c>
      <c r="F369" s="45" t="s">
        <v>310</v>
      </c>
      <c r="G369" s="9" t="n">
        <v>14</v>
      </c>
      <c r="H369" s="12" t="n">
        <f aca="false">'Engineering Assumptions'!$C$37*'Engineering Assumptions'!$B$5*U369</f>
        <v>2865</v>
      </c>
      <c r="I369" s="12" t="n">
        <f aca="false">'Engineering Assumptions'!$B$8</f>
        <v>650</v>
      </c>
      <c r="J369" s="12" t="n">
        <f aca="false">'Engineering Assumptions'!$D$37*S369*U369</f>
        <v>356.5</v>
      </c>
      <c r="K369" s="12" t="n">
        <f aca="false">'Engineering Assumptions'!$E$37*T369*U369</f>
        <v>418.5</v>
      </c>
      <c r="L369" s="13" t="n">
        <f aca="false">H369+I369+J369+K369</f>
        <v>4290</v>
      </c>
      <c r="M369" s="12" t="n">
        <f aca="false">L369*'Engineering Assumptions'!$B$10</f>
        <v>643.5</v>
      </c>
      <c r="N369" s="13" t="n">
        <f aca="false">L369+M369</f>
        <v>4933.5</v>
      </c>
      <c r="O369" s="12" t="n">
        <f aca="false">N369*'Engineering Assumptions'!$B$11</f>
        <v>986.7</v>
      </c>
      <c r="P369" s="183" t="n">
        <f aca="false">MROUND(N369+O369,10)</f>
        <v>5920</v>
      </c>
      <c r="Q369" s="12" t="n">
        <f aca="false">'Fleet Pricing'!H369</f>
        <v>2670</v>
      </c>
      <c r="R369" s="41" t="n">
        <v>14</v>
      </c>
      <c r="S369" s="46" t="n">
        <v>1.55</v>
      </c>
      <c r="T369" s="46" t="n">
        <v>1.35</v>
      </c>
      <c r="U369" s="46" t="n">
        <v>1</v>
      </c>
    </row>
    <row r="370" customFormat="false" ht="15" hidden="false" customHeight="true" outlineLevel="0" collapsed="false">
      <c r="A370" s="9" t="n">
        <v>346</v>
      </c>
      <c r="B370" s="47" t="s">
        <v>131</v>
      </c>
      <c r="C370" s="47" t="s">
        <v>2429</v>
      </c>
      <c r="D370" s="47" t="s">
        <v>1064</v>
      </c>
      <c r="E370" s="47" t="s">
        <v>1065</v>
      </c>
      <c r="F370" s="45" t="s">
        <v>310</v>
      </c>
      <c r="G370" s="9" t="n">
        <v>14</v>
      </c>
      <c r="H370" s="12" t="n">
        <f aca="false">'Engineering Assumptions'!$C$37*'Engineering Assumptions'!$B$5*U370</f>
        <v>2865</v>
      </c>
      <c r="I370" s="12" t="n">
        <f aca="false">'Engineering Assumptions'!$B$8</f>
        <v>650</v>
      </c>
      <c r="J370" s="12" t="n">
        <f aca="false">'Engineering Assumptions'!$D$37*S370*U370</f>
        <v>356.5</v>
      </c>
      <c r="K370" s="12" t="n">
        <f aca="false">'Engineering Assumptions'!$E$37*T370*U370</f>
        <v>418.5</v>
      </c>
      <c r="L370" s="13" t="n">
        <f aca="false">H370+I370+J370+K370</f>
        <v>4290</v>
      </c>
      <c r="M370" s="12" t="n">
        <f aca="false">L370*'Engineering Assumptions'!$B$10</f>
        <v>643.5</v>
      </c>
      <c r="N370" s="13" t="n">
        <f aca="false">L370+M370</f>
        <v>4933.5</v>
      </c>
      <c r="O370" s="12" t="n">
        <f aca="false">N370*'Engineering Assumptions'!$B$11</f>
        <v>986.7</v>
      </c>
      <c r="P370" s="183" t="n">
        <f aca="false">MROUND(N370+O370,10)</f>
        <v>5920</v>
      </c>
      <c r="Q370" s="12" t="n">
        <f aca="false">'Fleet Pricing'!H370</f>
        <v>2670</v>
      </c>
      <c r="R370" s="41" t="n">
        <v>14</v>
      </c>
      <c r="S370" s="46" t="n">
        <v>1.55</v>
      </c>
      <c r="T370" s="46" t="n">
        <v>1.35</v>
      </c>
      <c r="U370" s="46" t="n">
        <v>1</v>
      </c>
    </row>
    <row r="371" customFormat="false" ht="15" hidden="false" customHeight="true" outlineLevel="0" collapsed="false">
      <c r="A371" s="9" t="n">
        <v>347</v>
      </c>
      <c r="B371" s="47" t="s">
        <v>131</v>
      </c>
      <c r="C371" s="47" t="s">
        <v>2424</v>
      </c>
      <c r="D371" s="47" t="s">
        <v>931</v>
      </c>
      <c r="E371" s="47" t="s">
        <v>932</v>
      </c>
      <c r="F371" s="45" t="s">
        <v>310</v>
      </c>
      <c r="G371" s="9" t="n">
        <v>14</v>
      </c>
      <c r="H371" s="12" t="n">
        <f aca="false">'Engineering Assumptions'!$C$37*'Engineering Assumptions'!$B$5*U371</f>
        <v>2865</v>
      </c>
      <c r="I371" s="12" t="n">
        <f aca="false">'Engineering Assumptions'!$B$8</f>
        <v>650</v>
      </c>
      <c r="J371" s="12" t="n">
        <f aca="false">'Engineering Assumptions'!$D$37*S371*U371</f>
        <v>356.5</v>
      </c>
      <c r="K371" s="12" t="n">
        <f aca="false">'Engineering Assumptions'!$E$37*T371*U371</f>
        <v>418.5</v>
      </c>
      <c r="L371" s="13" t="n">
        <f aca="false">H371+I371+J371+K371</f>
        <v>4290</v>
      </c>
      <c r="M371" s="12" t="n">
        <f aca="false">L371*'Engineering Assumptions'!$B$10</f>
        <v>643.5</v>
      </c>
      <c r="N371" s="13" t="n">
        <f aca="false">L371+M371</f>
        <v>4933.5</v>
      </c>
      <c r="O371" s="12" t="n">
        <f aca="false">N371*'Engineering Assumptions'!$B$11</f>
        <v>986.7</v>
      </c>
      <c r="P371" s="183" t="n">
        <f aca="false">MROUND(N371+O371,10)</f>
        <v>5920</v>
      </c>
      <c r="Q371" s="12" t="n">
        <f aca="false">'Fleet Pricing'!H371</f>
        <v>2670</v>
      </c>
      <c r="R371" s="41" t="n">
        <v>14</v>
      </c>
      <c r="S371" s="46" t="n">
        <v>1.55</v>
      </c>
      <c r="T371" s="46" t="n">
        <v>1.35</v>
      </c>
      <c r="U371" s="46" t="n">
        <v>1</v>
      </c>
    </row>
    <row r="372" customFormat="false" ht="15" hidden="false" customHeight="true" outlineLevel="0" collapsed="false">
      <c r="A372" s="9" t="n">
        <v>348</v>
      </c>
      <c r="B372" s="47" t="s">
        <v>131</v>
      </c>
      <c r="C372" s="47" t="s">
        <v>2424</v>
      </c>
      <c r="D372" s="47" t="s">
        <v>933</v>
      </c>
      <c r="E372" s="47" t="s">
        <v>934</v>
      </c>
      <c r="F372" s="45" t="s">
        <v>310</v>
      </c>
      <c r="G372" s="9" t="n">
        <v>14</v>
      </c>
      <c r="H372" s="12" t="n">
        <f aca="false">'Engineering Assumptions'!$C$37*'Engineering Assumptions'!$B$5*U372</f>
        <v>2865</v>
      </c>
      <c r="I372" s="12" t="n">
        <f aca="false">'Engineering Assumptions'!$B$8</f>
        <v>650</v>
      </c>
      <c r="J372" s="12" t="n">
        <f aca="false">'Engineering Assumptions'!$D$37*S372*U372</f>
        <v>356.5</v>
      </c>
      <c r="K372" s="12" t="n">
        <f aca="false">'Engineering Assumptions'!$E$37*T372*U372</f>
        <v>418.5</v>
      </c>
      <c r="L372" s="13" t="n">
        <f aca="false">H372+I372+J372+K372</f>
        <v>4290</v>
      </c>
      <c r="M372" s="12" t="n">
        <f aca="false">L372*'Engineering Assumptions'!$B$10</f>
        <v>643.5</v>
      </c>
      <c r="N372" s="13" t="n">
        <f aca="false">L372+M372</f>
        <v>4933.5</v>
      </c>
      <c r="O372" s="12" t="n">
        <f aca="false">N372*'Engineering Assumptions'!$B$11</f>
        <v>986.7</v>
      </c>
      <c r="P372" s="183" t="n">
        <f aca="false">MROUND(N372+O372,10)</f>
        <v>5920</v>
      </c>
      <c r="Q372" s="12" t="n">
        <f aca="false">'Fleet Pricing'!H372</f>
        <v>2670</v>
      </c>
      <c r="R372" s="41" t="n">
        <v>14</v>
      </c>
      <c r="S372" s="46" t="n">
        <v>1.55</v>
      </c>
      <c r="T372" s="46" t="n">
        <v>1.35</v>
      </c>
      <c r="U372" s="46" t="n">
        <v>1</v>
      </c>
    </row>
    <row r="373" customFormat="false" ht="15" hidden="false" customHeight="true" outlineLevel="0" collapsed="false">
      <c r="A373" s="9" t="n">
        <v>349</v>
      </c>
      <c r="B373" s="47" t="s">
        <v>131</v>
      </c>
      <c r="C373" s="47" t="s">
        <v>2428</v>
      </c>
      <c r="D373" s="47" t="s">
        <v>1066</v>
      </c>
      <c r="E373" s="47" t="s">
        <v>1067</v>
      </c>
      <c r="F373" s="45" t="s">
        <v>748</v>
      </c>
      <c r="G373" s="9" t="n">
        <v>15</v>
      </c>
      <c r="H373" s="12" t="n">
        <f aca="false">'Engineering Assumptions'!$C$37*'Engineering Assumptions'!$B$5*U373</f>
        <v>2865</v>
      </c>
      <c r="I373" s="12" t="n">
        <f aca="false">'Engineering Assumptions'!$B$8</f>
        <v>650</v>
      </c>
      <c r="J373" s="12" t="n">
        <f aca="false">'Engineering Assumptions'!$D$37*S373*U373</f>
        <v>356.5</v>
      </c>
      <c r="K373" s="12" t="n">
        <f aca="false">'Engineering Assumptions'!$E$37*T373*U373</f>
        <v>418.5</v>
      </c>
      <c r="L373" s="13" t="n">
        <f aca="false">H373+I373+J373+K373</f>
        <v>4290</v>
      </c>
      <c r="M373" s="12" t="n">
        <f aca="false">L373*'Engineering Assumptions'!$B$10</f>
        <v>643.5</v>
      </c>
      <c r="N373" s="13" t="n">
        <f aca="false">L373+M373</f>
        <v>4933.5</v>
      </c>
      <c r="O373" s="12" t="n">
        <f aca="false">N373*'Engineering Assumptions'!$B$11</f>
        <v>986.7</v>
      </c>
      <c r="P373" s="183" t="n">
        <f aca="false">MROUND(N373+O373,10)</f>
        <v>5920</v>
      </c>
      <c r="Q373" s="12" t="n">
        <f aca="false">'Fleet Pricing'!H373</f>
        <v>2670</v>
      </c>
      <c r="R373" s="41" t="n">
        <v>15</v>
      </c>
      <c r="S373" s="46" t="n">
        <v>1.55</v>
      </c>
      <c r="T373" s="46" t="n">
        <v>1.35</v>
      </c>
      <c r="U373" s="46" t="n">
        <v>1</v>
      </c>
    </row>
    <row r="374" customFormat="false" ht="15" hidden="false" customHeight="true" outlineLevel="0" collapsed="false">
      <c r="A374" s="9" t="n">
        <v>350</v>
      </c>
      <c r="B374" s="47" t="s">
        <v>131</v>
      </c>
      <c r="C374" s="47" t="s">
        <v>2430</v>
      </c>
      <c r="D374" s="47" t="s">
        <v>1068</v>
      </c>
      <c r="E374" s="47" t="s">
        <v>1070</v>
      </c>
      <c r="F374" s="45" t="s">
        <v>748</v>
      </c>
      <c r="G374" s="9" t="n">
        <v>15</v>
      </c>
      <c r="H374" s="12" t="n">
        <f aca="false">'Engineering Assumptions'!$C$37*'Engineering Assumptions'!$B$5*U374</f>
        <v>2865</v>
      </c>
      <c r="I374" s="12" t="n">
        <f aca="false">'Engineering Assumptions'!$B$8</f>
        <v>650</v>
      </c>
      <c r="J374" s="12" t="n">
        <f aca="false">'Engineering Assumptions'!$D$37*S374*U374</f>
        <v>356.5</v>
      </c>
      <c r="K374" s="12" t="n">
        <f aca="false">'Engineering Assumptions'!$E$37*T374*U374</f>
        <v>418.5</v>
      </c>
      <c r="L374" s="13" t="n">
        <f aca="false">H374+I374+J374+K374</f>
        <v>4290</v>
      </c>
      <c r="M374" s="12" t="n">
        <f aca="false">L374*'Engineering Assumptions'!$B$10</f>
        <v>643.5</v>
      </c>
      <c r="N374" s="13" t="n">
        <f aca="false">L374+M374</f>
        <v>4933.5</v>
      </c>
      <c r="O374" s="12" t="n">
        <f aca="false">N374*'Engineering Assumptions'!$B$11</f>
        <v>986.7</v>
      </c>
      <c r="P374" s="183" t="n">
        <f aca="false">MROUND(N374+O374,10)</f>
        <v>5920</v>
      </c>
      <c r="Q374" s="12" t="n">
        <f aca="false">'Fleet Pricing'!H374</f>
        <v>2670</v>
      </c>
      <c r="R374" s="41" t="n">
        <v>15</v>
      </c>
      <c r="S374" s="46" t="n">
        <v>1.55</v>
      </c>
      <c r="T374" s="46" t="n">
        <v>1.35</v>
      </c>
      <c r="U374" s="46" t="n">
        <v>1</v>
      </c>
    </row>
    <row r="375" customFormat="false" ht="15" hidden="false" customHeight="true" outlineLevel="0" collapsed="false">
      <c r="A375" s="9" t="n">
        <v>351</v>
      </c>
      <c r="B375" s="47" t="s">
        <v>131</v>
      </c>
      <c r="C375" s="47" t="s">
        <v>2430</v>
      </c>
      <c r="D375" s="47" t="s">
        <v>1071</v>
      </c>
      <c r="E375" s="47" t="s">
        <v>1072</v>
      </c>
      <c r="F375" s="45" t="s">
        <v>748</v>
      </c>
      <c r="G375" s="9" t="n">
        <v>15</v>
      </c>
      <c r="H375" s="12" t="n">
        <f aca="false">'Engineering Assumptions'!$C$37*'Engineering Assumptions'!$B$5*U375</f>
        <v>2865</v>
      </c>
      <c r="I375" s="12" t="n">
        <f aca="false">'Engineering Assumptions'!$B$8</f>
        <v>650</v>
      </c>
      <c r="J375" s="12" t="n">
        <f aca="false">'Engineering Assumptions'!$D$37*S375*U375</f>
        <v>356.5</v>
      </c>
      <c r="K375" s="12" t="n">
        <f aca="false">'Engineering Assumptions'!$E$37*T375*U375</f>
        <v>418.5</v>
      </c>
      <c r="L375" s="13" t="n">
        <f aca="false">H375+I375+J375+K375</f>
        <v>4290</v>
      </c>
      <c r="M375" s="12" t="n">
        <f aca="false">L375*'Engineering Assumptions'!$B$10</f>
        <v>643.5</v>
      </c>
      <c r="N375" s="13" t="n">
        <f aca="false">L375+M375</f>
        <v>4933.5</v>
      </c>
      <c r="O375" s="12" t="n">
        <f aca="false">N375*'Engineering Assumptions'!$B$11</f>
        <v>986.7</v>
      </c>
      <c r="P375" s="183" t="n">
        <f aca="false">MROUND(N375+O375,10)</f>
        <v>5920</v>
      </c>
      <c r="Q375" s="12" t="n">
        <f aca="false">'Fleet Pricing'!H375</f>
        <v>2670</v>
      </c>
      <c r="R375" s="41" t="n">
        <v>15</v>
      </c>
      <c r="S375" s="46" t="n">
        <v>1.55</v>
      </c>
      <c r="T375" s="46" t="n">
        <v>1.35</v>
      </c>
      <c r="U375" s="46" t="n">
        <v>1</v>
      </c>
    </row>
    <row r="376" customFormat="false" ht="15" hidden="false" customHeight="true" outlineLevel="0" collapsed="false">
      <c r="A376" s="9" t="n">
        <v>352</v>
      </c>
      <c r="B376" s="47" t="s">
        <v>131</v>
      </c>
      <c r="C376" s="47" t="s">
        <v>2430</v>
      </c>
      <c r="D376" s="47" t="s">
        <v>1073</v>
      </c>
      <c r="E376" s="47" t="s">
        <v>1074</v>
      </c>
      <c r="F376" s="45" t="s">
        <v>748</v>
      </c>
      <c r="G376" s="9" t="n">
        <v>15</v>
      </c>
      <c r="H376" s="12" t="n">
        <f aca="false">'Engineering Assumptions'!$C$37*'Engineering Assumptions'!$B$5*U376</f>
        <v>2865</v>
      </c>
      <c r="I376" s="12" t="n">
        <f aca="false">'Engineering Assumptions'!$B$8</f>
        <v>650</v>
      </c>
      <c r="J376" s="12" t="n">
        <f aca="false">'Engineering Assumptions'!$D$37*S376*U376</f>
        <v>356.5</v>
      </c>
      <c r="K376" s="12" t="n">
        <f aca="false">'Engineering Assumptions'!$E$37*T376*U376</f>
        <v>418.5</v>
      </c>
      <c r="L376" s="13" t="n">
        <f aca="false">H376+I376+J376+K376</f>
        <v>4290</v>
      </c>
      <c r="M376" s="12" t="n">
        <f aca="false">L376*'Engineering Assumptions'!$B$10</f>
        <v>643.5</v>
      </c>
      <c r="N376" s="13" t="n">
        <f aca="false">L376+M376</f>
        <v>4933.5</v>
      </c>
      <c r="O376" s="12" t="n">
        <f aca="false">N376*'Engineering Assumptions'!$B$11</f>
        <v>986.7</v>
      </c>
      <c r="P376" s="183" t="n">
        <f aca="false">MROUND(N376+O376,10)</f>
        <v>5920</v>
      </c>
      <c r="Q376" s="12" t="n">
        <f aca="false">'Fleet Pricing'!H376</f>
        <v>2670</v>
      </c>
      <c r="R376" s="41" t="n">
        <v>15</v>
      </c>
      <c r="S376" s="46" t="n">
        <v>1.55</v>
      </c>
      <c r="T376" s="46" t="n">
        <v>1.35</v>
      </c>
      <c r="U376" s="46" t="n">
        <v>1</v>
      </c>
    </row>
    <row r="377" customFormat="false" ht="15" hidden="false" customHeight="true" outlineLevel="0" collapsed="false">
      <c r="A377" s="9" t="n">
        <v>353</v>
      </c>
      <c r="B377" s="47" t="s">
        <v>131</v>
      </c>
      <c r="C377" s="47" t="s">
        <v>2430</v>
      </c>
      <c r="D377" s="47" t="s">
        <v>1075</v>
      </c>
      <c r="E377" s="47" t="s">
        <v>1076</v>
      </c>
      <c r="F377" s="45" t="s">
        <v>748</v>
      </c>
      <c r="G377" s="9" t="n">
        <v>15</v>
      </c>
      <c r="H377" s="12" t="n">
        <f aca="false">'Engineering Assumptions'!$C$37*'Engineering Assumptions'!$B$5*U377</f>
        <v>2865</v>
      </c>
      <c r="I377" s="12" t="n">
        <f aca="false">'Engineering Assumptions'!$B$8</f>
        <v>650</v>
      </c>
      <c r="J377" s="12" t="n">
        <f aca="false">'Engineering Assumptions'!$D$37*S377*U377</f>
        <v>356.5</v>
      </c>
      <c r="K377" s="12" t="n">
        <f aca="false">'Engineering Assumptions'!$E$37*T377*U377</f>
        <v>418.5</v>
      </c>
      <c r="L377" s="13" t="n">
        <f aca="false">H377+I377+J377+K377</f>
        <v>4290</v>
      </c>
      <c r="M377" s="12" t="n">
        <f aca="false">L377*'Engineering Assumptions'!$B$10</f>
        <v>643.5</v>
      </c>
      <c r="N377" s="13" t="n">
        <f aca="false">L377+M377</f>
        <v>4933.5</v>
      </c>
      <c r="O377" s="12" t="n">
        <f aca="false">N377*'Engineering Assumptions'!$B$11</f>
        <v>986.7</v>
      </c>
      <c r="P377" s="183" t="n">
        <f aca="false">MROUND(N377+O377,10)</f>
        <v>5920</v>
      </c>
      <c r="Q377" s="12" t="n">
        <f aca="false">'Fleet Pricing'!H377</f>
        <v>2670</v>
      </c>
      <c r="R377" s="41" t="n">
        <v>15</v>
      </c>
      <c r="S377" s="46" t="n">
        <v>1.55</v>
      </c>
      <c r="T377" s="46" t="n">
        <v>1.35</v>
      </c>
      <c r="U377" s="46" t="n">
        <v>1</v>
      </c>
    </row>
    <row r="378" customFormat="false" ht="15" hidden="false" customHeight="true" outlineLevel="0" collapsed="false">
      <c r="A378" s="9" t="n">
        <v>354</v>
      </c>
      <c r="B378" s="47" t="s">
        <v>131</v>
      </c>
      <c r="C378" s="47" t="s">
        <v>2424</v>
      </c>
      <c r="D378" s="47" t="s">
        <v>1090</v>
      </c>
      <c r="E378" s="47" t="s">
        <v>1091</v>
      </c>
      <c r="F378" s="45" t="s">
        <v>748</v>
      </c>
      <c r="G378" s="9" t="n">
        <v>15</v>
      </c>
      <c r="H378" s="12" t="n">
        <f aca="false">'Engineering Assumptions'!$C$37*'Engineering Assumptions'!$B$5*U378</f>
        <v>2865</v>
      </c>
      <c r="I378" s="12" t="n">
        <f aca="false">'Engineering Assumptions'!$B$8</f>
        <v>650</v>
      </c>
      <c r="J378" s="12" t="n">
        <f aca="false">'Engineering Assumptions'!$D$37*S378*U378</f>
        <v>356.5</v>
      </c>
      <c r="K378" s="12" t="n">
        <f aca="false">'Engineering Assumptions'!$E$37*T378*U378</f>
        <v>418.5</v>
      </c>
      <c r="L378" s="13" t="n">
        <f aca="false">H378+I378+J378+K378</f>
        <v>4290</v>
      </c>
      <c r="M378" s="12" t="n">
        <f aca="false">L378*'Engineering Assumptions'!$B$10</f>
        <v>643.5</v>
      </c>
      <c r="N378" s="13" t="n">
        <f aca="false">L378+M378</f>
        <v>4933.5</v>
      </c>
      <c r="O378" s="12" t="n">
        <f aca="false">N378*'Engineering Assumptions'!$B$11</f>
        <v>986.7</v>
      </c>
      <c r="P378" s="183" t="n">
        <f aca="false">MROUND(N378+O378,10)</f>
        <v>5920</v>
      </c>
      <c r="Q378" s="12" t="n">
        <f aca="false">'Fleet Pricing'!H378</f>
        <v>2670</v>
      </c>
      <c r="R378" s="41" t="n">
        <v>15</v>
      </c>
      <c r="S378" s="46" t="n">
        <v>1.55</v>
      </c>
      <c r="T378" s="46" t="n">
        <v>1.35</v>
      </c>
      <c r="U378" s="46" t="n">
        <v>1</v>
      </c>
    </row>
    <row r="379" customFormat="false" ht="15" hidden="false" customHeight="true" outlineLevel="0" collapsed="false">
      <c r="A379" s="9" t="n">
        <v>355</v>
      </c>
      <c r="B379" s="47" t="s">
        <v>131</v>
      </c>
      <c r="C379" s="47" t="s">
        <v>2424</v>
      </c>
      <c r="D379" s="47"/>
      <c r="E379" s="47"/>
      <c r="F379" s="45" t="s">
        <v>748</v>
      </c>
      <c r="G379" s="9" t="n">
        <v>15</v>
      </c>
      <c r="H379" s="12" t="n">
        <f aca="false">'Engineering Assumptions'!$C$37*'Engineering Assumptions'!$B$5*U379</f>
        <v>2865</v>
      </c>
      <c r="I379" s="12" t="n">
        <f aca="false">'Engineering Assumptions'!$B$8</f>
        <v>650</v>
      </c>
      <c r="J379" s="12" t="n">
        <f aca="false">'Engineering Assumptions'!$D$37*S379*U379</f>
        <v>356.5</v>
      </c>
      <c r="K379" s="12" t="n">
        <f aca="false">'Engineering Assumptions'!$E$37*T379*U379</f>
        <v>418.5</v>
      </c>
      <c r="L379" s="13" t="n">
        <f aca="false">H379+I379+J379+K379</f>
        <v>4290</v>
      </c>
      <c r="M379" s="12" t="n">
        <f aca="false">L379*'Engineering Assumptions'!$B$10</f>
        <v>643.5</v>
      </c>
      <c r="N379" s="13" t="n">
        <f aca="false">L379+M379</f>
        <v>4933.5</v>
      </c>
      <c r="O379" s="12" t="n">
        <f aca="false">N379*'Engineering Assumptions'!$B$11</f>
        <v>986.7</v>
      </c>
      <c r="P379" s="183" t="n">
        <f aca="false">MROUND(N379+O379,10)</f>
        <v>5920</v>
      </c>
      <c r="Q379" s="12" t="n">
        <f aca="false">'Fleet Pricing'!H379</f>
        <v>2670</v>
      </c>
      <c r="R379" s="41" t="n">
        <v>15</v>
      </c>
      <c r="S379" s="46" t="n">
        <v>1.55</v>
      </c>
      <c r="T379" s="46" t="n">
        <v>1.35</v>
      </c>
      <c r="U379" s="46" t="n">
        <v>1</v>
      </c>
    </row>
    <row r="380" customFormat="false" ht="15" hidden="false" customHeight="true" outlineLevel="0" collapsed="false">
      <c r="A380" s="9" t="n">
        <v>356</v>
      </c>
      <c r="B380" s="47" t="s">
        <v>131</v>
      </c>
      <c r="C380" s="47" t="s">
        <v>2424</v>
      </c>
      <c r="D380" s="47"/>
      <c r="E380" s="47"/>
      <c r="F380" s="45" t="s">
        <v>748</v>
      </c>
      <c r="G380" s="9" t="n">
        <v>15</v>
      </c>
      <c r="H380" s="12" t="n">
        <f aca="false">'Engineering Assumptions'!$C$37*'Engineering Assumptions'!$B$5*U380</f>
        <v>2865</v>
      </c>
      <c r="I380" s="12" t="n">
        <f aca="false">'Engineering Assumptions'!$B$8</f>
        <v>650</v>
      </c>
      <c r="J380" s="12" t="n">
        <f aca="false">'Engineering Assumptions'!$D$37*S380*U380</f>
        <v>356.5</v>
      </c>
      <c r="K380" s="12" t="n">
        <f aca="false">'Engineering Assumptions'!$E$37*T380*U380</f>
        <v>418.5</v>
      </c>
      <c r="L380" s="13" t="n">
        <f aca="false">H380+I380+J380+K380</f>
        <v>4290</v>
      </c>
      <c r="M380" s="12" t="n">
        <f aca="false">L380*'Engineering Assumptions'!$B$10</f>
        <v>643.5</v>
      </c>
      <c r="N380" s="13" t="n">
        <f aca="false">L380+M380</f>
        <v>4933.5</v>
      </c>
      <c r="O380" s="12" t="n">
        <f aca="false">N380*'Engineering Assumptions'!$B$11</f>
        <v>986.7</v>
      </c>
      <c r="P380" s="183" t="n">
        <f aca="false">MROUND(N380+O380,10)</f>
        <v>5920</v>
      </c>
      <c r="Q380" s="12" t="n">
        <f aca="false">'Fleet Pricing'!H380</f>
        <v>2670</v>
      </c>
      <c r="R380" s="41" t="n">
        <v>15</v>
      </c>
      <c r="S380" s="46" t="n">
        <v>1.55</v>
      </c>
      <c r="T380" s="46" t="n">
        <v>1.35</v>
      </c>
      <c r="U380" s="46" t="n">
        <v>1</v>
      </c>
    </row>
    <row r="381" customFormat="false" ht="15" hidden="false" customHeight="true" outlineLevel="0" collapsed="false">
      <c r="A381" s="9" t="n">
        <v>357</v>
      </c>
      <c r="B381" s="47" t="s">
        <v>131</v>
      </c>
      <c r="C381" s="47" t="s">
        <v>2424</v>
      </c>
      <c r="D381" s="47"/>
      <c r="E381" s="47"/>
      <c r="F381" s="45" t="s">
        <v>748</v>
      </c>
      <c r="G381" s="9" t="n">
        <v>15</v>
      </c>
      <c r="H381" s="12" t="n">
        <f aca="false">'Engineering Assumptions'!$C$37*'Engineering Assumptions'!$B$5*U381</f>
        <v>2865</v>
      </c>
      <c r="I381" s="12" t="n">
        <f aca="false">'Engineering Assumptions'!$B$8</f>
        <v>650</v>
      </c>
      <c r="J381" s="12" t="n">
        <f aca="false">'Engineering Assumptions'!$D$37*S381*U381</f>
        <v>356.5</v>
      </c>
      <c r="K381" s="12" t="n">
        <f aca="false">'Engineering Assumptions'!$E$37*T381*U381</f>
        <v>418.5</v>
      </c>
      <c r="L381" s="13" t="n">
        <f aca="false">H381+I381+J381+K381</f>
        <v>4290</v>
      </c>
      <c r="M381" s="12" t="n">
        <f aca="false">L381*'Engineering Assumptions'!$B$10</f>
        <v>643.5</v>
      </c>
      <c r="N381" s="13" t="n">
        <f aca="false">L381+M381</f>
        <v>4933.5</v>
      </c>
      <c r="O381" s="12" t="n">
        <f aca="false">N381*'Engineering Assumptions'!$B$11</f>
        <v>986.7</v>
      </c>
      <c r="P381" s="183" t="n">
        <f aca="false">MROUND(N381+O381,10)</f>
        <v>5920</v>
      </c>
      <c r="Q381" s="12" t="n">
        <f aca="false">'Fleet Pricing'!H381</f>
        <v>2670</v>
      </c>
      <c r="R381" s="41" t="n">
        <v>15</v>
      </c>
      <c r="S381" s="46" t="n">
        <v>1.55</v>
      </c>
      <c r="T381" s="46" t="n">
        <v>1.35</v>
      </c>
      <c r="U381" s="46" t="n">
        <v>1</v>
      </c>
    </row>
    <row r="382" customFormat="false" ht="15" hidden="false" customHeight="true" outlineLevel="0" collapsed="false">
      <c r="A382" s="9" t="n">
        <v>358</v>
      </c>
      <c r="B382" s="47" t="s">
        <v>131</v>
      </c>
      <c r="C382" s="47" t="s">
        <v>2431</v>
      </c>
      <c r="D382" s="47" t="s">
        <v>1079</v>
      </c>
      <c r="E382" s="47" t="s">
        <v>1081</v>
      </c>
      <c r="F382" s="45" t="s">
        <v>389</v>
      </c>
      <c r="G382" s="9" t="n">
        <v>16</v>
      </c>
      <c r="H382" s="12" t="n">
        <f aca="false">'Engineering Assumptions'!$C$37*'Engineering Assumptions'!$B$5*U382</f>
        <v>2865</v>
      </c>
      <c r="I382" s="12" t="n">
        <f aca="false">'Engineering Assumptions'!$B$8</f>
        <v>650</v>
      </c>
      <c r="J382" s="12" t="n">
        <f aca="false">'Engineering Assumptions'!$D$37*S382*U382</f>
        <v>448.5</v>
      </c>
      <c r="K382" s="12" t="n">
        <f aca="false">'Engineering Assumptions'!$E$37*T382*U382</f>
        <v>651</v>
      </c>
      <c r="L382" s="13" t="n">
        <f aca="false">H382+I382+J382+K382</f>
        <v>4614.5</v>
      </c>
      <c r="M382" s="12" t="n">
        <f aca="false">L382*'Engineering Assumptions'!$B$10</f>
        <v>692.175</v>
      </c>
      <c r="N382" s="13" t="n">
        <f aca="false">L382+M382</f>
        <v>5306.675</v>
      </c>
      <c r="O382" s="12" t="n">
        <f aca="false">N382*'Engineering Assumptions'!$B$11</f>
        <v>1061.335</v>
      </c>
      <c r="P382" s="183" t="n">
        <f aca="false">MROUND(N382+O382,10)</f>
        <v>6370</v>
      </c>
      <c r="Q382" s="12" t="n">
        <f aca="false">'Fleet Pricing'!H382</f>
        <v>2670</v>
      </c>
      <c r="R382" s="41" t="n">
        <v>16</v>
      </c>
      <c r="S382" s="46" t="n">
        <v>1.95</v>
      </c>
      <c r="T382" s="46" t="n">
        <v>2.1</v>
      </c>
      <c r="U382" s="46" t="n">
        <v>1</v>
      </c>
    </row>
    <row r="383" customFormat="false" ht="15" hidden="false" customHeight="true" outlineLevel="0" collapsed="false">
      <c r="A383" s="9" t="n">
        <v>359</v>
      </c>
      <c r="B383" s="47" t="s">
        <v>131</v>
      </c>
      <c r="C383" s="47" t="s">
        <v>2428</v>
      </c>
      <c r="D383" s="47" t="s">
        <v>1082</v>
      </c>
      <c r="E383" s="47" t="s">
        <v>1083</v>
      </c>
      <c r="F383" s="45" t="s">
        <v>389</v>
      </c>
      <c r="G383" s="9" t="n">
        <v>16</v>
      </c>
      <c r="H383" s="12" t="n">
        <f aca="false">'Engineering Assumptions'!$C$37*'Engineering Assumptions'!$B$5*U383</f>
        <v>2865</v>
      </c>
      <c r="I383" s="12" t="n">
        <f aca="false">'Engineering Assumptions'!$B$8</f>
        <v>650</v>
      </c>
      <c r="J383" s="12" t="n">
        <f aca="false">'Engineering Assumptions'!$D$37*S383*U383</f>
        <v>448.5</v>
      </c>
      <c r="K383" s="12" t="n">
        <f aca="false">'Engineering Assumptions'!$E$37*T383*U383</f>
        <v>651</v>
      </c>
      <c r="L383" s="13" t="n">
        <f aca="false">H383+I383+J383+K383</f>
        <v>4614.5</v>
      </c>
      <c r="M383" s="12" t="n">
        <f aca="false">L383*'Engineering Assumptions'!$B$10</f>
        <v>692.175</v>
      </c>
      <c r="N383" s="13" t="n">
        <f aca="false">L383+M383</f>
        <v>5306.675</v>
      </c>
      <c r="O383" s="12" t="n">
        <f aca="false">N383*'Engineering Assumptions'!$B$11</f>
        <v>1061.335</v>
      </c>
      <c r="P383" s="183" t="n">
        <f aca="false">MROUND(N383+O383,10)</f>
        <v>6370</v>
      </c>
      <c r="Q383" s="12" t="n">
        <f aca="false">'Fleet Pricing'!H383</f>
        <v>2670</v>
      </c>
      <c r="R383" s="41" t="n">
        <v>16</v>
      </c>
      <c r="S383" s="46" t="n">
        <v>1.95</v>
      </c>
      <c r="T383" s="46" t="n">
        <v>2.1</v>
      </c>
      <c r="U383" s="46" t="n">
        <v>1</v>
      </c>
    </row>
    <row r="384" customFormat="false" ht="15" hidden="false" customHeight="true" outlineLevel="0" collapsed="false">
      <c r="A384" s="9" t="n">
        <v>360</v>
      </c>
      <c r="B384" s="47" t="s">
        <v>131</v>
      </c>
      <c r="C384" s="47" t="s">
        <v>2432</v>
      </c>
      <c r="D384" s="47" t="s">
        <v>1084</v>
      </c>
      <c r="E384" s="47" t="s">
        <v>1086</v>
      </c>
      <c r="F384" s="45" t="s">
        <v>810</v>
      </c>
      <c r="G384" s="9" t="n">
        <v>19</v>
      </c>
      <c r="H384" s="12" t="n">
        <f aca="false">'Engineering Assumptions'!$C$37*'Engineering Assumptions'!$B$5*U384</f>
        <v>2865</v>
      </c>
      <c r="I384" s="12" t="n">
        <f aca="false">'Engineering Assumptions'!$B$8</f>
        <v>650</v>
      </c>
      <c r="J384" s="12" t="n">
        <f aca="false">'Engineering Assumptions'!$D$37*S384*U384</f>
        <v>448.5</v>
      </c>
      <c r="K384" s="12" t="n">
        <f aca="false">'Engineering Assumptions'!$E$37*T384*U384</f>
        <v>651</v>
      </c>
      <c r="L384" s="13" t="n">
        <f aca="false">H384+I384+J384+K384</f>
        <v>4614.5</v>
      </c>
      <c r="M384" s="12" t="n">
        <f aca="false">L384*'Engineering Assumptions'!$B$10</f>
        <v>692.175</v>
      </c>
      <c r="N384" s="13" t="n">
        <f aca="false">L384+M384</f>
        <v>5306.675</v>
      </c>
      <c r="O384" s="12" t="n">
        <f aca="false">N384*'Engineering Assumptions'!$B$11</f>
        <v>1061.335</v>
      </c>
      <c r="P384" s="183" t="n">
        <f aca="false">MROUND(N384+O384,10)</f>
        <v>6370</v>
      </c>
      <c r="Q384" s="12" t="n">
        <f aca="false">'Fleet Pricing'!H384</f>
        <v>2340</v>
      </c>
      <c r="R384" s="41" t="n">
        <v>19</v>
      </c>
      <c r="S384" s="46" t="n">
        <v>1.95</v>
      </c>
      <c r="T384" s="46" t="n">
        <v>2.1</v>
      </c>
      <c r="U384" s="46" t="n">
        <v>1</v>
      </c>
    </row>
    <row r="385" customFormat="false" ht="15" hidden="false" customHeight="true" outlineLevel="0" collapsed="false">
      <c r="A385" s="9" t="n">
        <v>361</v>
      </c>
      <c r="B385" s="47" t="s">
        <v>131</v>
      </c>
      <c r="C385" s="47" t="s">
        <v>2433</v>
      </c>
      <c r="D385" s="47" t="s">
        <v>1087</v>
      </c>
      <c r="E385" s="47" t="s">
        <v>1089</v>
      </c>
      <c r="F385" s="45" t="s">
        <v>348</v>
      </c>
      <c r="G385" s="9" t="n">
        <v>20</v>
      </c>
      <c r="H385" s="12" t="n">
        <f aca="false">'Engineering Assumptions'!$C$37*'Engineering Assumptions'!$B$5*U385</f>
        <v>2865</v>
      </c>
      <c r="I385" s="12" t="n">
        <f aca="false">'Engineering Assumptions'!$B$8</f>
        <v>650</v>
      </c>
      <c r="J385" s="12" t="n">
        <f aca="false">'Engineering Assumptions'!$D$37*S385*U385</f>
        <v>448.5</v>
      </c>
      <c r="K385" s="12" t="n">
        <f aca="false">'Engineering Assumptions'!$E$37*T385*U385</f>
        <v>651</v>
      </c>
      <c r="L385" s="13" t="n">
        <f aca="false">H385+I385+J385+K385</f>
        <v>4614.5</v>
      </c>
      <c r="M385" s="12" t="n">
        <f aca="false">L385*'Engineering Assumptions'!$B$10</f>
        <v>692.175</v>
      </c>
      <c r="N385" s="13" t="n">
        <f aca="false">L385+M385</f>
        <v>5306.675</v>
      </c>
      <c r="O385" s="12" t="n">
        <f aca="false">N385*'Engineering Assumptions'!$B$11</f>
        <v>1061.335</v>
      </c>
      <c r="P385" s="183" t="n">
        <f aca="false">MROUND(N385+O385,10)</f>
        <v>6370</v>
      </c>
      <c r="Q385" s="12" t="n">
        <f aca="false">'Fleet Pricing'!H385</f>
        <v>2340</v>
      </c>
      <c r="R385" s="41" t="n">
        <v>20</v>
      </c>
      <c r="S385" s="46" t="n">
        <v>1.95</v>
      </c>
      <c r="T385" s="46" t="n">
        <v>2.1</v>
      </c>
      <c r="U385" s="46" t="n">
        <v>1</v>
      </c>
    </row>
    <row r="386" customFormat="false" ht="15" hidden="false" customHeight="true" outlineLevel="0" collapsed="false">
      <c r="A386" s="9" t="n">
        <v>362</v>
      </c>
      <c r="B386" s="47" t="s">
        <v>131</v>
      </c>
      <c r="C386" s="47" t="s">
        <v>2434</v>
      </c>
      <c r="D386" s="47"/>
      <c r="E386" s="47"/>
      <c r="F386" s="45" t="s">
        <v>729</v>
      </c>
      <c r="G386" s="9" t="n">
        <v>21</v>
      </c>
      <c r="H386" s="12" t="n">
        <f aca="false">'Engineering Assumptions'!$C$37*'Engineering Assumptions'!$B$5*U386</f>
        <v>2865</v>
      </c>
      <c r="I386" s="12" t="n">
        <f aca="false">'Engineering Assumptions'!$B$8</f>
        <v>650</v>
      </c>
      <c r="J386" s="12" t="n">
        <f aca="false">'Engineering Assumptions'!$D$37*S386*U386</f>
        <v>552</v>
      </c>
      <c r="K386" s="12" t="n">
        <f aca="false">'Engineering Assumptions'!$E$37*T386*U386</f>
        <v>930</v>
      </c>
      <c r="L386" s="13" t="n">
        <f aca="false">H386+I386+J386+K386</f>
        <v>4997</v>
      </c>
      <c r="M386" s="12" t="n">
        <f aca="false">L386*'Engineering Assumptions'!$B$10</f>
        <v>749.55</v>
      </c>
      <c r="N386" s="13" t="n">
        <f aca="false">L386+M386</f>
        <v>5746.55</v>
      </c>
      <c r="O386" s="12" t="n">
        <f aca="false">N386*'Engineering Assumptions'!$B$11</f>
        <v>1149.31</v>
      </c>
      <c r="P386" s="183" t="n">
        <f aca="false">MROUND(N386+O386,10)</f>
        <v>6900</v>
      </c>
      <c r="Q386" s="12" t="n">
        <f aca="false">'Fleet Pricing'!H386</f>
        <v>2340</v>
      </c>
      <c r="R386" s="41" t="n">
        <v>21</v>
      </c>
      <c r="S386" s="46" t="n">
        <v>2.4</v>
      </c>
      <c r="T386" s="46" t="n">
        <v>3</v>
      </c>
      <c r="U386" s="46" t="n">
        <v>1</v>
      </c>
    </row>
    <row r="387" customFormat="false" ht="15" hidden="false" customHeight="true" outlineLevel="0" collapsed="false">
      <c r="A387" s="9" t="n">
        <v>363</v>
      </c>
      <c r="B387" s="47" t="s">
        <v>131</v>
      </c>
      <c r="C387" s="47" t="s">
        <v>2433</v>
      </c>
      <c r="D387" s="47" t="s">
        <v>1092</v>
      </c>
      <c r="E387" s="47" t="s">
        <v>1093</v>
      </c>
      <c r="F387" s="45" t="s">
        <v>423</v>
      </c>
      <c r="G387" s="9" t="n">
        <v>23</v>
      </c>
      <c r="H387" s="12" t="n">
        <f aca="false">'Engineering Assumptions'!$C$37*'Engineering Assumptions'!$B$5*U387</f>
        <v>2865</v>
      </c>
      <c r="I387" s="12" t="n">
        <f aca="false">'Engineering Assumptions'!$B$8</f>
        <v>650</v>
      </c>
      <c r="J387" s="12" t="n">
        <f aca="false">'Engineering Assumptions'!$D$37*S387*U387</f>
        <v>552</v>
      </c>
      <c r="K387" s="12" t="n">
        <f aca="false">'Engineering Assumptions'!$E$37*T387*U387</f>
        <v>930</v>
      </c>
      <c r="L387" s="13" t="n">
        <f aca="false">H387+I387+J387+K387</f>
        <v>4997</v>
      </c>
      <c r="M387" s="12" t="n">
        <f aca="false">L387*'Engineering Assumptions'!$B$10</f>
        <v>749.55</v>
      </c>
      <c r="N387" s="13" t="n">
        <f aca="false">L387+M387</f>
        <v>5746.55</v>
      </c>
      <c r="O387" s="12" t="n">
        <f aca="false">N387*'Engineering Assumptions'!$B$11</f>
        <v>1149.31</v>
      </c>
      <c r="P387" s="183" t="n">
        <f aca="false">MROUND(N387+O387,10)</f>
        <v>6900</v>
      </c>
      <c r="Q387" s="12" t="n">
        <f aca="false">'Fleet Pricing'!H387</f>
        <v>2110</v>
      </c>
      <c r="R387" s="41" t="n">
        <v>23</v>
      </c>
      <c r="S387" s="46" t="n">
        <v>2.4</v>
      </c>
      <c r="T387" s="46" t="n">
        <v>3</v>
      </c>
      <c r="U387" s="46" t="n">
        <v>1</v>
      </c>
    </row>
    <row r="388" customFormat="false" ht="15" hidden="false" customHeight="true" outlineLevel="0" collapsed="false">
      <c r="A388" s="9" t="n">
        <v>364</v>
      </c>
      <c r="B388" s="47" t="s">
        <v>131</v>
      </c>
      <c r="C388" s="47" t="s">
        <v>2433</v>
      </c>
      <c r="D388" s="47" t="s">
        <v>1046</v>
      </c>
      <c r="E388" s="47" t="s">
        <v>1047</v>
      </c>
      <c r="F388" s="45" t="s">
        <v>423</v>
      </c>
      <c r="G388" s="9" t="n">
        <v>23</v>
      </c>
      <c r="H388" s="12" t="n">
        <f aca="false">'Engineering Assumptions'!$C$37*'Engineering Assumptions'!$B$5*U388</f>
        <v>2865</v>
      </c>
      <c r="I388" s="12" t="n">
        <f aca="false">'Engineering Assumptions'!$B$8</f>
        <v>650</v>
      </c>
      <c r="J388" s="12" t="n">
        <f aca="false">'Engineering Assumptions'!$D$37*S388*U388</f>
        <v>552</v>
      </c>
      <c r="K388" s="12" t="n">
        <f aca="false">'Engineering Assumptions'!$E$37*T388*U388</f>
        <v>930</v>
      </c>
      <c r="L388" s="13" t="n">
        <f aca="false">H388+I388+J388+K388</f>
        <v>4997</v>
      </c>
      <c r="M388" s="12" t="n">
        <f aca="false">L388*'Engineering Assumptions'!$B$10</f>
        <v>749.55</v>
      </c>
      <c r="N388" s="13" t="n">
        <f aca="false">L388+M388</f>
        <v>5746.55</v>
      </c>
      <c r="O388" s="12" t="n">
        <f aca="false">N388*'Engineering Assumptions'!$B$11</f>
        <v>1149.31</v>
      </c>
      <c r="P388" s="183" t="n">
        <f aca="false">MROUND(N388+O388,10)</f>
        <v>6900</v>
      </c>
      <c r="Q388" s="12" t="n">
        <f aca="false">'Fleet Pricing'!H388</f>
        <v>2110</v>
      </c>
      <c r="R388" s="41" t="n">
        <v>23</v>
      </c>
      <c r="S388" s="46" t="n">
        <v>2.4</v>
      </c>
      <c r="T388" s="46" t="n">
        <v>3</v>
      </c>
      <c r="U388" s="46" t="n">
        <v>1</v>
      </c>
    </row>
    <row r="389" customFormat="false" ht="23.25" hidden="false" customHeight="true" outlineLevel="0" collapsed="false">
      <c r="A389" s="9" t="n">
        <v>365</v>
      </c>
      <c r="B389" s="47" t="s">
        <v>131</v>
      </c>
      <c r="C389" s="47" t="s">
        <v>2427</v>
      </c>
      <c r="D389" s="47" t="s">
        <v>1096</v>
      </c>
      <c r="E389" s="47" t="s">
        <v>1097</v>
      </c>
      <c r="F389" s="45" t="s">
        <v>423</v>
      </c>
      <c r="G389" s="9" t="n">
        <v>23</v>
      </c>
      <c r="H389" s="12" t="n">
        <f aca="false">'Engineering Assumptions'!$C$37*'Engineering Assumptions'!$B$5*U389</f>
        <v>2865</v>
      </c>
      <c r="I389" s="12" t="n">
        <f aca="false">'Engineering Assumptions'!$B$8</f>
        <v>650</v>
      </c>
      <c r="J389" s="12" t="n">
        <f aca="false">'Engineering Assumptions'!$D$37*S389*U389</f>
        <v>552</v>
      </c>
      <c r="K389" s="12" t="n">
        <f aca="false">'Engineering Assumptions'!$E$37*T389*U389</f>
        <v>930</v>
      </c>
      <c r="L389" s="13" t="n">
        <f aca="false">H389+I389+J389+K389</f>
        <v>4997</v>
      </c>
      <c r="M389" s="12" t="n">
        <f aca="false">L389*'Engineering Assumptions'!$B$10</f>
        <v>749.55</v>
      </c>
      <c r="N389" s="13" t="n">
        <f aca="false">L389+M389</f>
        <v>5746.55</v>
      </c>
      <c r="O389" s="12" t="n">
        <f aca="false">N389*'Engineering Assumptions'!$B$11</f>
        <v>1149.31</v>
      </c>
      <c r="P389" s="183" t="n">
        <f aca="false">MROUND(N389+O389,10)</f>
        <v>6900</v>
      </c>
      <c r="Q389" s="12" t="n">
        <f aca="false">'Fleet Pricing'!H389</f>
        <v>2110</v>
      </c>
      <c r="R389" s="41" t="n">
        <v>23</v>
      </c>
      <c r="S389" s="46" t="n">
        <v>2.4</v>
      </c>
      <c r="T389" s="46" t="n">
        <v>3</v>
      </c>
      <c r="U389" s="46" t="n">
        <v>1</v>
      </c>
    </row>
    <row r="390" customFormat="false" ht="15" hidden="false" customHeight="true" outlineLevel="0" collapsed="false">
      <c r="A390" s="42" t="s">
        <v>1098</v>
      </c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</row>
    <row r="391" customFormat="false" ht="15" hidden="false" customHeight="true" outlineLevel="0" collapsed="false">
      <c r="A391" s="9" t="n">
        <v>366</v>
      </c>
      <c r="B391" s="47" t="s">
        <v>133</v>
      </c>
      <c r="C391" s="47" t="s">
        <v>2435</v>
      </c>
      <c r="D391" s="47"/>
      <c r="E391" s="47"/>
      <c r="F391" s="45" t="s">
        <v>397</v>
      </c>
      <c r="G391" s="9" t="n">
        <v>9</v>
      </c>
      <c r="H391" s="12" t="n">
        <f aca="false">'Engineering Assumptions'!$C$38*'Engineering Assumptions'!$B$5*U391</f>
        <v>0</v>
      </c>
      <c r="I391" s="12" t="n">
        <v>0</v>
      </c>
      <c r="J391" s="12" t="n">
        <f aca="false">'Engineering Assumptions'!$D$38*S391*U391</f>
        <v>62.5</v>
      </c>
      <c r="K391" s="12" t="n">
        <f aca="false">'Engineering Assumptions'!$E$38*T391*U391</f>
        <v>52.5</v>
      </c>
      <c r="L391" s="13" t="n">
        <f aca="false">H391+I391+J391+K391</f>
        <v>115</v>
      </c>
      <c r="M391" s="12" t="n">
        <f aca="false">L391*'Engineering Assumptions'!$B$10</f>
        <v>17.25</v>
      </c>
      <c r="N391" s="13" t="n">
        <f aca="false">L391+M391</f>
        <v>132.25</v>
      </c>
      <c r="O391" s="12" t="n">
        <f aca="false">N391*'Engineering Assumptions'!$B$11</f>
        <v>26.45</v>
      </c>
      <c r="P391" s="183" t="n">
        <f aca="false">MROUND(N391+O391,10)</f>
        <v>160</v>
      </c>
      <c r="Q391" s="12" t="n">
        <f aca="false">'Fleet Pricing'!H391</f>
        <v>1200</v>
      </c>
      <c r="R391" s="41" t="n">
        <v>9</v>
      </c>
      <c r="S391" s="46" t="n">
        <v>1.25</v>
      </c>
      <c r="T391" s="46" t="n">
        <v>0.75</v>
      </c>
      <c r="U391" s="46" t="n">
        <v>1</v>
      </c>
    </row>
    <row r="392" customFormat="false" ht="15" hidden="false" customHeight="true" outlineLevel="0" collapsed="false">
      <c r="A392" s="9" t="n">
        <v>367</v>
      </c>
      <c r="B392" s="47" t="s">
        <v>133</v>
      </c>
      <c r="C392" s="47" t="s">
        <v>2436</v>
      </c>
      <c r="D392" s="47"/>
      <c r="E392" s="47"/>
      <c r="F392" s="45" t="s">
        <v>397</v>
      </c>
      <c r="G392" s="9" t="n">
        <v>9</v>
      </c>
      <c r="H392" s="12" t="n">
        <f aca="false">'Engineering Assumptions'!$C$38*'Engineering Assumptions'!$B$5*U392</f>
        <v>0</v>
      </c>
      <c r="I392" s="12" t="n">
        <v>0</v>
      </c>
      <c r="J392" s="12" t="n">
        <f aca="false">'Engineering Assumptions'!$D$38*S392*U392</f>
        <v>62.5</v>
      </c>
      <c r="K392" s="12" t="n">
        <f aca="false">'Engineering Assumptions'!$E$38*T392*U392</f>
        <v>52.5</v>
      </c>
      <c r="L392" s="13" t="n">
        <f aca="false">H392+I392+J392+K392</f>
        <v>115</v>
      </c>
      <c r="M392" s="12" t="n">
        <f aca="false">L392*'Engineering Assumptions'!$B$10</f>
        <v>17.25</v>
      </c>
      <c r="N392" s="13" t="n">
        <f aca="false">L392+M392</f>
        <v>132.25</v>
      </c>
      <c r="O392" s="12" t="n">
        <f aca="false">N392*'Engineering Assumptions'!$B$11</f>
        <v>26.45</v>
      </c>
      <c r="P392" s="183" t="n">
        <f aca="false">MROUND(N392+O392,10)</f>
        <v>160</v>
      </c>
      <c r="Q392" s="12" t="n">
        <f aca="false">'Fleet Pricing'!H392</f>
        <v>1200</v>
      </c>
      <c r="R392" s="41" t="n">
        <v>9</v>
      </c>
      <c r="S392" s="46" t="n">
        <v>1.25</v>
      </c>
      <c r="T392" s="46" t="n">
        <v>0.75</v>
      </c>
      <c r="U392" s="46" t="n">
        <v>1</v>
      </c>
    </row>
    <row r="393" customFormat="false" ht="15" hidden="false" customHeight="true" outlineLevel="0" collapsed="false">
      <c r="A393" s="9" t="n">
        <v>368</v>
      </c>
      <c r="B393" s="47" t="s">
        <v>133</v>
      </c>
      <c r="C393" s="47" t="s">
        <v>2436</v>
      </c>
      <c r="D393" s="47"/>
      <c r="E393" s="47"/>
      <c r="F393" s="45" t="s">
        <v>397</v>
      </c>
      <c r="G393" s="9" t="n">
        <v>9</v>
      </c>
      <c r="H393" s="12" t="n">
        <f aca="false">'Engineering Assumptions'!$C$38*'Engineering Assumptions'!$B$5*U393</f>
        <v>0</v>
      </c>
      <c r="I393" s="12" t="n">
        <v>0</v>
      </c>
      <c r="J393" s="12" t="n">
        <f aca="false">'Engineering Assumptions'!$D$38*S393*U393</f>
        <v>62.5</v>
      </c>
      <c r="K393" s="12" t="n">
        <f aca="false">'Engineering Assumptions'!$E$38*T393*U393</f>
        <v>52.5</v>
      </c>
      <c r="L393" s="13" t="n">
        <f aca="false">H393+I393+J393+K393</f>
        <v>115</v>
      </c>
      <c r="M393" s="12" t="n">
        <f aca="false">L393*'Engineering Assumptions'!$B$10</f>
        <v>17.25</v>
      </c>
      <c r="N393" s="13" t="n">
        <f aca="false">L393+M393</f>
        <v>132.25</v>
      </c>
      <c r="O393" s="12" t="n">
        <f aca="false">N393*'Engineering Assumptions'!$B$11</f>
        <v>26.45</v>
      </c>
      <c r="P393" s="183" t="n">
        <f aca="false">MROUND(N393+O393,10)</f>
        <v>160</v>
      </c>
      <c r="Q393" s="12" t="n">
        <f aca="false">'Fleet Pricing'!H393</f>
        <v>1200</v>
      </c>
      <c r="R393" s="41" t="n">
        <v>9</v>
      </c>
      <c r="S393" s="46" t="n">
        <v>1.25</v>
      </c>
      <c r="T393" s="46" t="n">
        <v>0.75</v>
      </c>
      <c r="U393" s="46" t="n">
        <v>1</v>
      </c>
    </row>
    <row r="394" customFormat="false" ht="15" hidden="false" customHeight="true" outlineLevel="0" collapsed="false">
      <c r="A394" s="9" t="n">
        <v>369</v>
      </c>
      <c r="B394" s="47" t="s">
        <v>133</v>
      </c>
      <c r="C394" s="47" t="s">
        <v>2437</v>
      </c>
      <c r="D394" s="47"/>
      <c r="E394" s="47"/>
      <c r="F394" s="45" t="s">
        <v>397</v>
      </c>
      <c r="G394" s="9" t="n">
        <v>9</v>
      </c>
      <c r="H394" s="12" t="n">
        <f aca="false">'Engineering Assumptions'!$C$38*'Engineering Assumptions'!$B$5*U394</f>
        <v>0</v>
      </c>
      <c r="I394" s="12" t="n">
        <v>0</v>
      </c>
      <c r="J394" s="12" t="n">
        <f aca="false">'Engineering Assumptions'!$D$38*S394*U394</f>
        <v>62.5</v>
      </c>
      <c r="K394" s="12" t="n">
        <f aca="false">'Engineering Assumptions'!$E$38*T394*U394</f>
        <v>52.5</v>
      </c>
      <c r="L394" s="13" t="n">
        <f aca="false">H394+I394+J394+K394</f>
        <v>115</v>
      </c>
      <c r="M394" s="12" t="n">
        <f aca="false">L394*'Engineering Assumptions'!$B$10</f>
        <v>17.25</v>
      </c>
      <c r="N394" s="13" t="n">
        <f aca="false">L394+M394</f>
        <v>132.25</v>
      </c>
      <c r="O394" s="12" t="n">
        <f aca="false">N394*'Engineering Assumptions'!$B$11</f>
        <v>26.45</v>
      </c>
      <c r="P394" s="183" t="n">
        <f aca="false">MROUND(N394+O394,10)</f>
        <v>160</v>
      </c>
      <c r="Q394" s="12" t="n">
        <f aca="false">'Fleet Pricing'!H394</f>
        <v>1200</v>
      </c>
      <c r="R394" s="41" t="n">
        <v>9</v>
      </c>
      <c r="S394" s="46" t="n">
        <v>1.25</v>
      </c>
      <c r="T394" s="46" t="n">
        <v>0.75</v>
      </c>
      <c r="U394" s="46" t="n">
        <v>1</v>
      </c>
    </row>
    <row r="395" customFormat="false" ht="15" hidden="false" customHeight="true" outlineLevel="0" collapsed="false">
      <c r="A395" s="9" t="n">
        <v>370</v>
      </c>
      <c r="B395" s="47" t="s">
        <v>133</v>
      </c>
      <c r="C395" s="47" t="s">
        <v>2435</v>
      </c>
      <c r="D395" s="47"/>
      <c r="E395" s="47"/>
      <c r="F395" s="45" t="s">
        <v>348</v>
      </c>
      <c r="G395" s="9" t="n">
        <v>20</v>
      </c>
      <c r="H395" s="12" t="n">
        <f aca="false">'Engineering Assumptions'!$C$38*'Engineering Assumptions'!$B$5*U395</f>
        <v>0</v>
      </c>
      <c r="I395" s="12" t="n">
        <v>0</v>
      </c>
      <c r="J395" s="12" t="n">
        <f aca="false">'Engineering Assumptions'!$D$38*S395*U395</f>
        <v>97.5</v>
      </c>
      <c r="K395" s="12" t="n">
        <f aca="false">'Engineering Assumptions'!$E$38*T395*U395</f>
        <v>147</v>
      </c>
      <c r="L395" s="13" t="n">
        <f aca="false">H395+I395+J395+K395</f>
        <v>244.5</v>
      </c>
      <c r="M395" s="12" t="n">
        <f aca="false">L395*'Engineering Assumptions'!$B$10</f>
        <v>36.675</v>
      </c>
      <c r="N395" s="13" t="n">
        <f aca="false">L395+M395</f>
        <v>281.175</v>
      </c>
      <c r="O395" s="12" t="n">
        <f aca="false">N395*'Engineering Assumptions'!$B$11</f>
        <v>56.235</v>
      </c>
      <c r="P395" s="183" t="n">
        <f aca="false">MROUND(N395+O395,10)</f>
        <v>340</v>
      </c>
      <c r="Q395" s="12" t="n">
        <f aca="false">'Fleet Pricing'!H395</f>
        <v>940</v>
      </c>
      <c r="R395" s="41" t="n">
        <v>20</v>
      </c>
      <c r="S395" s="46" t="n">
        <v>1.95</v>
      </c>
      <c r="T395" s="46" t="n">
        <v>2.1</v>
      </c>
      <c r="U395" s="46" t="n">
        <v>1</v>
      </c>
    </row>
    <row r="396" customFormat="false" ht="15" hidden="false" customHeight="true" outlineLevel="0" collapsed="false">
      <c r="A396" s="9" t="n">
        <v>371</v>
      </c>
      <c r="B396" s="47" t="s">
        <v>133</v>
      </c>
      <c r="C396" s="47" t="s">
        <v>2435</v>
      </c>
      <c r="D396" s="47"/>
      <c r="E396" s="47"/>
      <c r="F396" s="45" t="s">
        <v>348</v>
      </c>
      <c r="G396" s="9" t="n">
        <v>20</v>
      </c>
      <c r="H396" s="12" t="n">
        <f aca="false">'Engineering Assumptions'!$C$38*'Engineering Assumptions'!$B$5*U396</f>
        <v>0</v>
      </c>
      <c r="I396" s="12" t="n">
        <v>0</v>
      </c>
      <c r="J396" s="12" t="n">
        <f aca="false">'Engineering Assumptions'!$D$38*S396*U396</f>
        <v>97.5</v>
      </c>
      <c r="K396" s="12" t="n">
        <f aca="false">'Engineering Assumptions'!$E$38*T396*U396</f>
        <v>147</v>
      </c>
      <c r="L396" s="13" t="n">
        <f aca="false">H396+I396+J396+K396</f>
        <v>244.5</v>
      </c>
      <c r="M396" s="12" t="n">
        <f aca="false">L396*'Engineering Assumptions'!$B$10</f>
        <v>36.675</v>
      </c>
      <c r="N396" s="13" t="n">
        <f aca="false">L396+M396</f>
        <v>281.175</v>
      </c>
      <c r="O396" s="12" t="n">
        <f aca="false">N396*'Engineering Assumptions'!$B$11</f>
        <v>56.235</v>
      </c>
      <c r="P396" s="183" t="n">
        <f aca="false">MROUND(N396+O396,10)</f>
        <v>340</v>
      </c>
      <c r="Q396" s="12" t="n">
        <f aca="false">'Fleet Pricing'!H396</f>
        <v>940</v>
      </c>
      <c r="R396" s="41" t="n">
        <v>20</v>
      </c>
      <c r="S396" s="46" t="n">
        <v>1.95</v>
      </c>
      <c r="T396" s="46" t="n">
        <v>2.1</v>
      </c>
      <c r="U396" s="46" t="n">
        <v>1</v>
      </c>
    </row>
    <row r="397" customFormat="false" ht="15" hidden="false" customHeight="true" outlineLevel="0" collapsed="false">
      <c r="A397" s="42" t="s">
        <v>1106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 customFormat="false" ht="15" hidden="false" customHeight="true" outlineLevel="0" collapsed="false">
      <c r="A398" s="9" t="n">
        <v>372</v>
      </c>
      <c r="B398" s="47" t="s">
        <v>135</v>
      </c>
      <c r="C398" s="47" t="s">
        <v>2438</v>
      </c>
      <c r="D398" s="47"/>
      <c r="E398" s="47"/>
      <c r="F398" s="45" t="s">
        <v>748</v>
      </c>
      <c r="G398" s="9" t="n">
        <v>15</v>
      </c>
      <c r="H398" s="12" t="n">
        <f aca="false">'Engineering Assumptions'!$C$39*'Engineering Assumptions'!$B$5*U398</f>
        <v>0</v>
      </c>
      <c r="I398" s="12" t="n">
        <v>0</v>
      </c>
      <c r="J398" s="12" t="n">
        <f aca="false">'Engineering Assumptions'!$D$39*S398*U398</f>
        <v>93</v>
      </c>
      <c r="K398" s="12" t="n">
        <f aca="false">'Engineering Assumptions'!$E$39*T398*U398</f>
        <v>108</v>
      </c>
      <c r="L398" s="13" t="n">
        <f aca="false">H398+I398+J398+K398</f>
        <v>201</v>
      </c>
      <c r="M398" s="12" t="n">
        <f aca="false">L398*'Engineering Assumptions'!$B$10</f>
        <v>30.15</v>
      </c>
      <c r="N398" s="13" t="n">
        <f aca="false">L398+M398</f>
        <v>231.15</v>
      </c>
      <c r="O398" s="12" t="n">
        <f aca="false">N398*'Engineering Assumptions'!$B$11</f>
        <v>46.23</v>
      </c>
      <c r="P398" s="183" t="n">
        <f aca="false">MROUND(N398+O398,10)</f>
        <v>280</v>
      </c>
      <c r="Q398" s="12" t="n">
        <f aca="false">'Fleet Pricing'!H398</f>
        <v>1800</v>
      </c>
      <c r="R398" s="41" t="n">
        <v>15</v>
      </c>
      <c r="S398" s="46" t="n">
        <v>1.55</v>
      </c>
      <c r="T398" s="46" t="n">
        <v>1.35</v>
      </c>
      <c r="U398" s="46" t="n">
        <v>1</v>
      </c>
    </row>
    <row r="399" customFormat="false" ht="15" hidden="false" customHeight="true" outlineLevel="0" collapsed="false">
      <c r="A399" s="9" t="n">
        <v>373</v>
      </c>
      <c r="B399" s="47" t="s">
        <v>135</v>
      </c>
      <c r="C399" s="47" t="s">
        <v>2439</v>
      </c>
      <c r="D399" s="47"/>
      <c r="E399" s="47"/>
      <c r="F399" s="45" t="s">
        <v>423</v>
      </c>
      <c r="G399" s="9" t="n">
        <v>23</v>
      </c>
      <c r="H399" s="12" t="n">
        <f aca="false">'Engineering Assumptions'!$C$39*'Engineering Assumptions'!$B$5*U399</f>
        <v>0</v>
      </c>
      <c r="I399" s="12" t="n">
        <v>0</v>
      </c>
      <c r="J399" s="12" t="n">
        <f aca="false">'Engineering Assumptions'!$D$39*S399*U399</f>
        <v>144</v>
      </c>
      <c r="K399" s="12" t="n">
        <f aca="false">'Engineering Assumptions'!$E$39*T399*U399</f>
        <v>240</v>
      </c>
      <c r="L399" s="13" t="n">
        <f aca="false">H399+I399+J399+K399</f>
        <v>384</v>
      </c>
      <c r="M399" s="12" t="n">
        <f aca="false">L399*'Engineering Assumptions'!$B$10</f>
        <v>57.6</v>
      </c>
      <c r="N399" s="13" t="n">
        <f aca="false">L399+M399</f>
        <v>441.6</v>
      </c>
      <c r="O399" s="12" t="n">
        <f aca="false">N399*'Engineering Assumptions'!$B$11</f>
        <v>88.32</v>
      </c>
      <c r="P399" s="183" t="n">
        <f aca="false">MROUND(N399+O399,10)</f>
        <v>530</v>
      </c>
      <c r="Q399" s="12" t="n">
        <f aca="false">'Fleet Pricing'!H399</f>
        <v>1430</v>
      </c>
      <c r="R399" s="41" t="n">
        <v>23</v>
      </c>
      <c r="S399" s="46" t="n">
        <v>2.4</v>
      </c>
      <c r="T399" s="46" t="n">
        <v>3</v>
      </c>
      <c r="U399" s="46" t="n">
        <v>1</v>
      </c>
    </row>
    <row r="400" customFormat="false" ht="15" hidden="false" customHeight="true" outlineLevel="0" collapsed="false">
      <c r="A400" s="9" t="n">
        <v>374</v>
      </c>
      <c r="B400" s="47" t="s">
        <v>135</v>
      </c>
      <c r="C400" s="47" t="s">
        <v>2313</v>
      </c>
      <c r="D400" s="47"/>
      <c r="E400" s="47"/>
      <c r="F400" s="45" t="s">
        <v>472</v>
      </c>
      <c r="G400" s="9" t="n">
        <v>30</v>
      </c>
      <c r="H400" s="12" t="n">
        <f aca="false">'Engineering Assumptions'!$C$39*'Engineering Assumptions'!$B$5*U400</f>
        <v>0</v>
      </c>
      <c r="I400" s="12" t="n">
        <v>0</v>
      </c>
      <c r="J400" s="12" t="n">
        <f aca="false">'Engineering Assumptions'!$D$39*S400*U400</f>
        <v>144</v>
      </c>
      <c r="K400" s="12" t="n">
        <f aca="false">'Engineering Assumptions'!$E$39*T400*U400</f>
        <v>240</v>
      </c>
      <c r="L400" s="13" t="n">
        <f aca="false">H400+I400+J400+K400</f>
        <v>384</v>
      </c>
      <c r="M400" s="12" t="n">
        <f aca="false">L400*'Engineering Assumptions'!$B$10</f>
        <v>57.6</v>
      </c>
      <c r="N400" s="13" t="n">
        <f aca="false">L400+M400</f>
        <v>441.6</v>
      </c>
      <c r="O400" s="12" t="n">
        <f aca="false">N400*'Engineering Assumptions'!$B$11</f>
        <v>88.32</v>
      </c>
      <c r="P400" s="183" t="n">
        <f aca="false">MROUND(N400+O400,10)</f>
        <v>530</v>
      </c>
      <c r="Q400" s="12" t="n">
        <f aca="false">'Fleet Pricing'!H400</f>
        <v>1280</v>
      </c>
      <c r="R400" s="41" t="n">
        <v>30</v>
      </c>
      <c r="S400" s="46" t="n">
        <v>2.4</v>
      </c>
      <c r="T400" s="46" t="n">
        <v>3</v>
      </c>
      <c r="U400" s="46" t="n">
        <v>1</v>
      </c>
    </row>
    <row r="401" customFormat="false" ht="15" hidden="false" customHeight="true" outlineLevel="0" collapsed="false">
      <c r="A401" s="42" t="s">
        <v>1113</v>
      </c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 customFormat="false" ht="15" hidden="false" customHeight="true" outlineLevel="0" collapsed="false">
      <c r="A402" s="9" t="n">
        <v>375</v>
      </c>
      <c r="B402" s="47" t="s">
        <v>137</v>
      </c>
      <c r="C402" s="47" t="s">
        <v>2440</v>
      </c>
      <c r="D402" s="47" t="s">
        <v>1114</v>
      </c>
      <c r="E402" s="47" t="s">
        <v>1115</v>
      </c>
      <c r="F402" s="45" t="s">
        <v>729</v>
      </c>
      <c r="G402" s="9" t="n">
        <v>21</v>
      </c>
      <c r="H402" s="12" t="n">
        <f aca="false">'Engineering Assumptions'!$C$40*'Engineering Assumptions'!$B$5*U402</f>
        <v>1337</v>
      </c>
      <c r="I402" s="12" t="n">
        <f aca="false">'Engineering Assumptions'!$B$8</f>
        <v>650</v>
      </c>
      <c r="J402" s="12" t="n">
        <f aca="false">'Engineering Assumptions'!$D$40*S402*U402</f>
        <v>264</v>
      </c>
      <c r="K402" s="12" t="n">
        <f aca="false">'Engineering Assumptions'!$E$40*T402*U402</f>
        <v>420</v>
      </c>
      <c r="L402" s="13" t="n">
        <f aca="false">H402+I402+J402+K402</f>
        <v>2671</v>
      </c>
      <c r="M402" s="12" t="n">
        <f aca="false">L402*'Engineering Assumptions'!$B$10</f>
        <v>400.65</v>
      </c>
      <c r="N402" s="13" t="n">
        <f aca="false">L402+M402</f>
        <v>3071.65</v>
      </c>
      <c r="O402" s="12" t="n">
        <f aca="false">N402*'Engineering Assumptions'!$B$11</f>
        <v>614.33</v>
      </c>
      <c r="P402" s="183" t="n">
        <f aca="false">MROUND(N402+O402,10)</f>
        <v>3690</v>
      </c>
      <c r="Q402" s="12" t="n">
        <f aca="false">'Fleet Pricing'!H402</f>
        <v>1760</v>
      </c>
      <c r="R402" s="41" t="n">
        <v>21</v>
      </c>
      <c r="S402" s="46" t="n">
        <v>2.4</v>
      </c>
      <c r="T402" s="46" t="n">
        <v>3</v>
      </c>
      <c r="U402" s="46" t="n">
        <v>1</v>
      </c>
    </row>
    <row r="403" customFormat="false" ht="15" hidden="false" customHeight="true" outlineLevel="0" collapsed="false">
      <c r="A403" s="9" t="n">
        <v>376</v>
      </c>
      <c r="B403" s="47" t="s">
        <v>137</v>
      </c>
      <c r="C403" s="47" t="s">
        <v>2419</v>
      </c>
      <c r="D403" s="47" t="s">
        <v>1116</v>
      </c>
      <c r="E403" s="47" t="s">
        <v>1117</v>
      </c>
      <c r="F403" s="45" t="s">
        <v>729</v>
      </c>
      <c r="G403" s="9" t="n">
        <v>21</v>
      </c>
      <c r="H403" s="12" t="n">
        <f aca="false">'Engineering Assumptions'!$C$40*'Engineering Assumptions'!$B$5*U403</f>
        <v>1337</v>
      </c>
      <c r="I403" s="12" t="n">
        <f aca="false">'Engineering Assumptions'!$B$8</f>
        <v>650</v>
      </c>
      <c r="J403" s="12" t="n">
        <f aca="false">'Engineering Assumptions'!$D$40*S403*U403</f>
        <v>264</v>
      </c>
      <c r="K403" s="12" t="n">
        <f aca="false">'Engineering Assumptions'!$E$40*T403*U403</f>
        <v>420</v>
      </c>
      <c r="L403" s="13" t="n">
        <f aca="false">H403+I403+J403+K403</f>
        <v>2671</v>
      </c>
      <c r="M403" s="12" t="n">
        <f aca="false">L403*'Engineering Assumptions'!$B$10</f>
        <v>400.65</v>
      </c>
      <c r="N403" s="13" t="n">
        <f aca="false">L403+M403</f>
        <v>3071.65</v>
      </c>
      <c r="O403" s="12" t="n">
        <f aca="false">N403*'Engineering Assumptions'!$B$11</f>
        <v>614.33</v>
      </c>
      <c r="P403" s="183" t="n">
        <f aca="false">MROUND(N403+O403,10)</f>
        <v>3690</v>
      </c>
      <c r="Q403" s="12" t="n">
        <f aca="false">'Fleet Pricing'!H403</f>
        <v>1760</v>
      </c>
      <c r="R403" s="41" t="n">
        <v>21</v>
      </c>
      <c r="S403" s="46" t="n">
        <v>2.4</v>
      </c>
      <c r="T403" s="46" t="n">
        <v>3</v>
      </c>
      <c r="U403" s="46" t="n">
        <v>1</v>
      </c>
    </row>
    <row r="404" customFormat="false" ht="15" hidden="false" customHeight="true" outlineLevel="0" collapsed="false">
      <c r="A404" s="9" t="n">
        <v>377</v>
      </c>
      <c r="B404" s="47" t="s">
        <v>137</v>
      </c>
      <c r="C404" s="47" t="s">
        <v>2440</v>
      </c>
      <c r="D404" s="47" t="s">
        <v>1120</v>
      </c>
      <c r="E404" s="47" t="s">
        <v>1121</v>
      </c>
      <c r="F404" s="45" t="s">
        <v>602</v>
      </c>
      <c r="G404" s="9" t="n">
        <v>36</v>
      </c>
      <c r="H404" s="12" t="n">
        <f aca="false">'Engineering Assumptions'!$C$40*'Engineering Assumptions'!$B$5*U404</f>
        <v>1337</v>
      </c>
      <c r="I404" s="12" t="n">
        <f aca="false">'Engineering Assumptions'!$B$8</f>
        <v>650</v>
      </c>
      <c r="J404" s="12" t="n">
        <f aca="false">'Engineering Assumptions'!$D$40*S404*U404</f>
        <v>264</v>
      </c>
      <c r="K404" s="12" t="n">
        <f aca="false">'Engineering Assumptions'!$E$40*T404*U404</f>
        <v>420</v>
      </c>
      <c r="L404" s="13" t="n">
        <f aca="false">H404+I404+J404+K404</f>
        <v>2671</v>
      </c>
      <c r="M404" s="12" t="n">
        <f aca="false">L404*'Engineering Assumptions'!$B$10</f>
        <v>400.65</v>
      </c>
      <c r="N404" s="13" t="n">
        <f aca="false">L404+M404</f>
        <v>3071.65</v>
      </c>
      <c r="O404" s="12" t="n">
        <f aca="false">N404*'Engineering Assumptions'!$B$11</f>
        <v>614.33</v>
      </c>
      <c r="P404" s="183" t="n">
        <f aca="false">MROUND(N404+O404,10)</f>
        <v>3690</v>
      </c>
      <c r="Q404" s="12" t="n">
        <f aca="false">'Fleet Pricing'!H404</f>
        <v>1420</v>
      </c>
      <c r="R404" s="41" t="n">
        <v>36</v>
      </c>
      <c r="S404" s="46" t="n">
        <v>2.4</v>
      </c>
      <c r="T404" s="46" t="n">
        <v>3</v>
      </c>
      <c r="U404" s="46" t="n">
        <v>1</v>
      </c>
    </row>
    <row r="405" customFormat="false" ht="15" hidden="false" customHeight="true" outlineLevel="0" collapsed="false">
      <c r="A405" s="9" t="n">
        <v>378</v>
      </c>
      <c r="B405" s="47" t="s">
        <v>137</v>
      </c>
      <c r="C405" s="47" t="s">
        <v>2441</v>
      </c>
      <c r="D405" s="47"/>
      <c r="E405" s="47"/>
      <c r="F405" s="45" t="s">
        <v>602</v>
      </c>
      <c r="G405" s="9" t="n">
        <v>36</v>
      </c>
      <c r="H405" s="12" t="n">
        <f aca="false">'Engineering Assumptions'!$C$40*'Engineering Assumptions'!$B$5*U405</f>
        <v>1337</v>
      </c>
      <c r="I405" s="12" t="n">
        <f aca="false">'Engineering Assumptions'!$B$8</f>
        <v>650</v>
      </c>
      <c r="J405" s="12" t="n">
        <f aca="false">'Engineering Assumptions'!$D$40*S405*U405</f>
        <v>264</v>
      </c>
      <c r="K405" s="12" t="n">
        <f aca="false">'Engineering Assumptions'!$E$40*T405*U405</f>
        <v>420</v>
      </c>
      <c r="L405" s="13" t="n">
        <f aca="false">H405+I405+J405+K405</f>
        <v>2671</v>
      </c>
      <c r="M405" s="12" t="n">
        <f aca="false">L405*'Engineering Assumptions'!$B$10</f>
        <v>400.65</v>
      </c>
      <c r="N405" s="13" t="n">
        <f aca="false">L405+M405</f>
        <v>3071.65</v>
      </c>
      <c r="O405" s="12" t="n">
        <f aca="false">N405*'Engineering Assumptions'!$B$11</f>
        <v>614.33</v>
      </c>
      <c r="P405" s="183" t="n">
        <f aca="false">MROUND(N405+O405,10)</f>
        <v>3690</v>
      </c>
      <c r="Q405" s="12" t="n">
        <f aca="false">'Fleet Pricing'!H405</f>
        <v>1420</v>
      </c>
      <c r="R405" s="41" t="n">
        <v>36</v>
      </c>
      <c r="S405" s="46" t="n">
        <v>2.4</v>
      </c>
      <c r="T405" s="46" t="n">
        <v>3</v>
      </c>
      <c r="U405" s="46" t="n">
        <v>1</v>
      </c>
    </row>
    <row r="406" customFormat="false" ht="15" hidden="false" customHeight="true" outlineLevel="0" collapsed="false">
      <c r="A406" s="9" t="n">
        <v>379</v>
      </c>
      <c r="B406" s="47" t="s">
        <v>137</v>
      </c>
      <c r="C406" s="47" t="s">
        <v>2442</v>
      </c>
      <c r="D406" s="47" t="s">
        <v>1123</v>
      </c>
      <c r="E406" s="47" t="s">
        <v>1124</v>
      </c>
      <c r="F406" s="45" t="s">
        <v>472</v>
      </c>
      <c r="G406" s="9" t="n">
        <v>30</v>
      </c>
      <c r="H406" s="12" t="n">
        <f aca="false">'Engineering Assumptions'!$C$40*'Engineering Assumptions'!$B$5*U406</f>
        <v>1337</v>
      </c>
      <c r="I406" s="12" t="n">
        <f aca="false">'Engineering Assumptions'!$B$8</f>
        <v>650</v>
      </c>
      <c r="J406" s="12" t="n">
        <f aca="false">'Engineering Assumptions'!$D$40*S406*U406</f>
        <v>264</v>
      </c>
      <c r="K406" s="12" t="n">
        <f aca="false">'Engineering Assumptions'!$E$40*T406*U406</f>
        <v>420</v>
      </c>
      <c r="L406" s="13" t="n">
        <f aca="false">H406+I406+J406+K406</f>
        <v>2671</v>
      </c>
      <c r="M406" s="12" t="n">
        <f aca="false">L406*'Engineering Assumptions'!$B$10</f>
        <v>400.65</v>
      </c>
      <c r="N406" s="13" t="n">
        <f aca="false">L406+M406</f>
        <v>3071.65</v>
      </c>
      <c r="O406" s="12" t="n">
        <f aca="false">N406*'Engineering Assumptions'!$B$11</f>
        <v>614.33</v>
      </c>
      <c r="P406" s="183" t="n">
        <f aca="false">MROUND(N406+O406,10)</f>
        <v>3690</v>
      </c>
      <c r="Q406" s="12" t="n">
        <f aca="false">'Fleet Pricing'!H406</f>
        <v>1420</v>
      </c>
      <c r="R406" s="41" t="n">
        <v>30</v>
      </c>
      <c r="S406" s="46" t="n">
        <v>2.4</v>
      </c>
      <c r="T406" s="46" t="n">
        <v>3</v>
      </c>
      <c r="U406" s="46" t="n">
        <v>1</v>
      </c>
    </row>
    <row r="407" customFormat="false" ht="15" hidden="false" customHeight="true" outlineLevel="0" collapsed="false">
      <c r="A407" s="9" t="n">
        <v>380</v>
      </c>
      <c r="B407" s="47" t="s">
        <v>137</v>
      </c>
      <c r="C407" s="47" t="s">
        <v>2443</v>
      </c>
      <c r="D407" s="47" t="s">
        <v>1118</v>
      </c>
      <c r="E407" s="47" t="s">
        <v>1119</v>
      </c>
      <c r="F407" s="45" t="s">
        <v>472</v>
      </c>
      <c r="G407" s="9" t="n">
        <v>30</v>
      </c>
      <c r="H407" s="12" t="n">
        <f aca="false">'Engineering Assumptions'!$C$40*'Engineering Assumptions'!$B$5*U407</f>
        <v>1337</v>
      </c>
      <c r="I407" s="12" t="n">
        <f aca="false">'Engineering Assumptions'!$B$8</f>
        <v>650</v>
      </c>
      <c r="J407" s="12" t="n">
        <f aca="false">'Engineering Assumptions'!$D$40*S407*U407</f>
        <v>264</v>
      </c>
      <c r="K407" s="12" t="n">
        <f aca="false">'Engineering Assumptions'!$E$40*T407*U407</f>
        <v>420</v>
      </c>
      <c r="L407" s="13" t="n">
        <f aca="false">H407+I407+J407+K407</f>
        <v>2671</v>
      </c>
      <c r="M407" s="12" t="n">
        <f aca="false">L407*'Engineering Assumptions'!$B$10</f>
        <v>400.65</v>
      </c>
      <c r="N407" s="13" t="n">
        <f aca="false">L407+M407</f>
        <v>3071.65</v>
      </c>
      <c r="O407" s="12" t="n">
        <f aca="false">N407*'Engineering Assumptions'!$B$11</f>
        <v>614.33</v>
      </c>
      <c r="P407" s="183" t="n">
        <f aca="false">MROUND(N407+O407,10)</f>
        <v>3690</v>
      </c>
      <c r="Q407" s="12" t="n">
        <f aca="false">'Fleet Pricing'!H407</f>
        <v>1420</v>
      </c>
      <c r="R407" s="41" t="n">
        <v>30</v>
      </c>
      <c r="S407" s="46" t="n">
        <v>2.4</v>
      </c>
      <c r="T407" s="46" t="n">
        <v>3</v>
      </c>
      <c r="U407" s="46" t="n">
        <v>1</v>
      </c>
    </row>
    <row r="408" customFormat="false" ht="15" hidden="false" customHeight="true" outlineLevel="0" collapsed="false">
      <c r="A408" s="42" t="s">
        <v>1125</v>
      </c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</row>
    <row r="409" customFormat="false" ht="15" hidden="false" customHeight="true" outlineLevel="0" collapsed="false">
      <c r="A409" s="9" t="n">
        <v>381</v>
      </c>
      <c r="B409" s="47" t="s">
        <v>139</v>
      </c>
      <c r="C409" s="47" t="s">
        <v>2444</v>
      </c>
      <c r="D409" s="47" t="s">
        <v>1126</v>
      </c>
      <c r="E409" s="47"/>
      <c r="F409" s="45" t="s">
        <v>297</v>
      </c>
      <c r="G409" s="9" t="n">
        <v>5</v>
      </c>
      <c r="H409" s="12" t="n">
        <f aca="false">'Engineering Assumptions'!$C$41*'Engineering Assumptions'!$B$5*U409</f>
        <v>6303</v>
      </c>
      <c r="I409" s="12" t="n">
        <f aca="false">'Engineering Assumptions'!$B$8</f>
        <v>650</v>
      </c>
      <c r="J409" s="12" t="n">
        <f aca="false">'Engineering Assumptions'!$D$41*S409*U409</f>
        <v>418</v>
      </c>
      <c r="K409" s="12" t="n">
        <f aca="false">'Engineering Assumptions'!$E$41*T409*U409</f>
        <v>171.6</v>
      </c>
      <c r="L409" s="13" t="n">
        <f aca="false">H409+I409+J409+K409</f>
        <v>7542.6</v>
      </c>
      <c r="M409" s="12" t="n">
        <f aca="false">L409*'Engineering Assumptions'!$B$10</f>
        <v>1131.39</v>
      </c>
      <c r="N409" s="13" t="n">
        <f aca="false">L409+M409</f>
        <v>8673.99</v>
      </c>
      <c r="O409" s="12" t="n">
        <f aca="false">N409*'Engineering Assumptions'!$B$11</f>
        <v>1734.798</v>
      </c>
      <c r="P409" s="183" t="n">
        <f aca="false">MROUND(N409+O409,10)</f>
        <v>10410</v>
      </c>
      <c r="Q409" s="12" t="n">
        <f aca="false">'Fleet Pricing'!H409</f>
        <v>10510</v>
      </c>
      <c r="R409" s="41" t="n">
        <v>5</v>
      </c>
      <c r="S409" s="46" t="n">
        <v>1</v>
      </c>
      <c r="T409" s="46" t="n">
        <v>0.3</v>
      </c>
      <c r="U409" s="46" t="n">
        <v>1.1</v>
      </c>
    </row>
    <row r="410" customFormat="false" ht="15" hidden="false" customHeight="true" outlineLevel="0" collapsed="false">
      <c r="A410" s="9" t="n">
        <v>382</v>
      </c>
      <c r="B410" s="47" t="s">
        <v>139</v>
      </c>
      <c r="C410" s="47" t="s">
        <v>2444</v>
      </c>
      <c r="D410" s="47" t="s">
        <v>1129</v>
      </c>
      <c r="E410" s="47"/>
      <c r="F410" s="45" t="s">
        <v>297</v>
      </c>
      <c r="G410" s="9" t="n">
        <v>5</v>
      </c>
      <c r="H410" s="12" t="n">
        <f aca="false">'Engineering Assumptions'!$C$41*'Engineering Assumptions'!$B$5*U410</f>
        <v>6303</v>
      </c>
      <c r="I410" s="12" t="n">
        <f aca="false">'Engineering Assumptions'!$B$8</f>
        <v>650</v>
      </c>
      <c r="J410" s="12" t="n">
        <f aca="false">'Engineering Assumptions'!$D$41*S410*U410</f>
        <v>418</v>
      </c>
      <c r="K410" s="12" t="n">
        <f aca="false">'Engineering Assumptions'!$E$41*T410*U410</f>
        <v>171.6</v>
      </c>
      <c r="L410" s="13" t="n">
        <f aca="false">H410+I410+J410+K410</f>
        <v>7542.6</v>
      </c>
      <c r="M410" s="12" t="n">
        <f aca="false">L410*'Engineering Assumptions'!$B$10</f>
        <v>1131.39</v>
      </c>
      <c r="N410" s="13" t="n">
        <f aca="false">L410+M410</f>
        <v>8673.99</v>
      </c>
      <c r="O410" s="12" t="n">
        <f aca="false">N410*'Engineering Assumptions'!$B$11</f>
        <v>1734.798</v>
      </c>
      <c r="P410" s="183" t="n">
        <f aca="false">MROUND(N410+O410,10)</f>
        <v>10410</v>
      </c>
      <c r="Q410" s="12" t="n">
        <f aca="false">'Fleet Pricing'!H410</f>
        <v>10510</v>
      </c>
      <c r="R410" s="41" t="n">
        <v>5</v>
      </c>
      <c r="S410" s="46" t="n">
        <v>1</v>
      </c>
      <c r="T410" s="46" t="n">
        <v>0.3</v>
      </c>
      <c r="U410" s="46" t="n">
        <v>1.1</v>
      </c>
    </row>
    <row r="411" customFormat="false" ht="15" hidden="false" customHeight="true" outlineLevel="0" collapsed="false">
      <c r="A411" s="9" t="n">
        <v>383</v>
      </c>
      <c r="B411" s="47" t="s">
        <v>139</v>
      </c>
      <c r="C411" s="47" t="s">
        <v>2444</v>
      </c>
      <c r="D411" s="47" t="s">
        <v>1130</v>
      </c>
      <c r="E411" s="47"/>
      <c r="F411" s="45" t="s">
        <v>297</v>
      </c>
      <c r="G411" s="9" t="n">
        <v>5</v>
      </c>
      <c r="H411" s="12" t="n">
        <f aca="false">'Engineering Assumptions'!$C$41*'Engineering Assumptions'!$B$5*U411</f>
        <v>6303</v>
      </c>
      <c r="I411" s="12" t="n">
        <f aca="false">'Engineering Assumptions'!$B$8</f>
        <v>650</v>
      </c>
      <c r="J411" s="12" t="n">
        <f aca="false">'Engineering Assumptions'!$D$41*S411*U411</f>
        <v>418</v>
      </c>
      <c r="K411" s="12" t="n">
        <f aca="false">'Engineering Assumptions'!$E$41*T411*U411</f>
        <v>171.6</v>
      </c>
      <c r="L411" s="13" t="n">
        <f aca="false">H411+I411+J411+K411</f>
        <v>7542.6</v>
      </c>
      <c r="M411" s="12" t="n">
        <f aca="false">L411*'Engineering Assumptions'!$B$10</f>
        <v>1131.39</v>
      </c>
      <c r="N411" s="13" t="n">
        <f aca="false">L411+M411</f>
        <v>8673.99</v>
      </c>
      <c r="O411" s="12" t="n">
        <f aca="false">N411*'Engineering Assumptions'!$B$11</f>
        <v>1734.798</v>
      </c>
      <c r="P411" s="183" t="n">
        <f aca="false">MROUND(N411+O411,10)</f>
        <v>10410</v>
      </c>
      <c r="Q411" s="12" t="n">
        <f aca="false">'Fleet Pricing'!H411</f>
        <v>10510</v>
      </c>
      <c r="R411" s="41" t="n">
        <v>5</v>
      </c>
      <c r="S411" s="46" t="n">
        <v>1</v>
      </c>
      <c r="T411" s="46" t="n">
        <v>0.3</v>
      </c>
      <c r="U411" s="46" t="n">
        <v>1.1</v>
      </c>
    </row>
    <row r="412" customFormat="false" ht="15" hidden="false" customHeight="true" outlineLevel="0" collapsed="false">
      <c r="A412" s="9" t="n">
        <v>384</v>
      </c>
      <c r="B412" s="47" t="s">
        <v>139</v>
      </c>
      <c r="C412" s="47" t="s">
        <v>2444</v>
      </c>
      <c r="D412" s="47" t="s">
        <v>1131</v>
      </c>
      <c r="E412" s="47"/>
      <c r="F412" s="45" t="s">
        <v>297</v>
      </c>
      <c r="G412" s="9" t="n">
        <v>5</v>
      </c>
      <c r="H412" s="12" t="n">
        <f aca="false">'Engineering Assumptions'!$C$41*'Engineering Assumptions'!$B$5*U412</f>
        <v>6303</v>
      </c>
      <c r="I412" s="12" t="n">
        <f aca="false">'Engineering Assumptions'!$B$8</f>
        <v>650</v>
      </c>
      <c r="J412" s="12" t="n">
        <f aca="false">'Engineering Assumptions'!$D$41*S412*U412</f>
        <v>418</v>
      </c>
      <c r="K412" s="12" t="n">
        <f aca="false">'Engineering Assumptions'!$E$41*T412*U412</f>
        <v>171.6</v>
      </c>
      <c r="L412" s="13" t="n">
        <f aca="false">H412+I412+J412+K412</f>
        <v>7542.6</v>
      </c>
      <c r="M412" s="12" t="n">
        <f aca="false">L412*'Engineering Assumptions'!$B$10</f>
        <v>1131.39</v>
      </c>
      <c r="N412" s="13" t="n">
        <f aca="false">L412+M412</f>
        <v>8673.99</v>
      </c>
      <c r="O412" s="12" t="n">
        <f aca="false">N412*'Engineering Assumptions'!$B$11</f>
        <v>1734.798</v>
      </c>
      <c r="P412" s="183" t="n">
        <f aca="false">MROUND(N412+O412,10)</f>
        <v>10410</v>
      </c>
      <c r="Q412" s="12" t="n">
        <f aca="false">'Fleet Pricing'!H412</f>
        <v>10510</v>
      </c>
      <c r="R412" s="41" t="n">
        <v>5</v>
      </c>
      <c r="S412" s="46" t="n">
        <v>1</v>
      </c>
      <c r="T412" s="46" t="n">
        <v>0.3</v>
      </c>
      <c r="U412" s="46" t="n">
        <v>1.1</v>
      </c>
    </row>
    <row r="413" customFormat="false" ht="15" hidden="false" customHeight="true" outlineLevel="0" collapsed="false">
      <c r="A413" s="9" t="n">
        <v>385</v>
      </c>
      <c r="B413" s="47" t="s">
        <v>139</v>
      </c>
      <c r="C413" s="47" t="s">
        <v>2445</v>
      </c>
      <c r="D413" s="47" t="s">
        <v>1133</v>
      </c>
      <c r="E413" s="47"/>
      <c r="F413" s="45" t="s">
        <v>450</v>
      </c>
      <c r="G413" s="9" t="n">
        <v>8</v>
      </c>
      <c r="H413" s="12" t="n">
        <f aca="false">'Engineering Assumptions'!$C$41*'Engineering Assumptions'!$B$5*U413</f>
        <v>3724.5</v>
      </c>
      <c r="I413" s="12" t="n">
        <f aca="false">'Engineering Assumptions'!$B$8</f>
        <v>650</v>
      </c>
      <c r="J413" s="12" t="n">
        <f aca="false">'Engineering Assumptions'!$D$41*S413*U413</f>
        <v>308.75</v>
      </c>
      <c r="K413" s="12" t="n">
        <f aca="false">'Engineering Assumptions'!$E$41*T413*U413</f>
        <v>253.5</v>
      </c>
      <c r="L413" s="13" t="n">
        <f aca="false">H413+I413+J413+K413</f>
        <v>4936.75</v>
      </c>
      <c r="M413" s="12" t="n">
        <f aca="false">L413*'Engineering Assumptions'!$B$10</f>
        <v>740.5125</v>
      </c>
      <c r="N413" s="13" t="n">
        <f aca="false">L413+M413</f>
        <v>5677.2625</v>
      </c>
      <c r="O413" s="12" t="n">
        <f aca="false">N413*'Engineering Assumptions'!$B$11</f>
        <v>1135.4525</v>
      </c>
      <c r="P413" s="183" t="n">
        <f aca="false">MROUND(N413+O413,10)</f>
        <v>6810</v>
      </c>
      <c r="Q413" s="12" t="n">
        <f aca="false">'Fleet Pricing'!H413</f>
        <v>5710</v>
      </c>
      <c r="R413" s="41" t="n">
        <v>8</v>
      </c>
      <c r="S413" s="46" t="n">
        <v>1.25</v>
      </c>
      <c r="T413" s="46" t="n">
        <v>0.75</v>
      </c>
      <c r="U413" s="46" t="n">
        <v>0.65</v>
      </c>
    </row>
    <row r="414" customFormat="false" ht="15" hidden="false" customHeight="true" outlineLevel="0" collapsed="false">
      <c r="A414" s="9" t="n">
        <v>386</v>
      </c>
      <c r="B414" s="47" t="s">
        <v>139</v>
      </c>
      <c r="C414" s="47" t="s">
        <v>2446</v>
      </c>
      <c r="D414" s="47" t="s">
        <v>1136</v>
      </c>
      <c r="E414" s="47" t="n">
        <v>14160</v>
      </c>
      <c r="F414" s="45" t="s">
        <v>397</v>
      </c>
      <c r="G414" s="9" t="n">
        <v>9</v>
      </c>
      <c r="H414" s="12" t="n">
        <f aca="false">'Engineering Assumptions'!$C$41*'Engineering Assumptions'!$B$5*U414</f>
        <v>6589.5</v>
      </c>
      <c r="I414" s="12" t="n">
        <f aca="false">'Engineering Assumptions'!$B$8</f>
        <v>650</v>
      </c>
      <c r="J414" s="12" t="n">
        <f aca="false">'Engineering Assumptions'!$D$41*S414*U414</f>
        <v>546.25</v>
      </c>
      <c r="K414" s="12" t="n">
        <f aca="false">'Engineering Assumptions'!$E$41*T414*U414</f>
        <v>448.5</v>
      </c>
      <c r="L414" s="13" t="n">
        <f aca="false">H414+I414+J414+K414</f>
        <v>8234.25</v>
      </c>
      <c r="M414" s="12" t="n">
        <f aca="false">L414*'Engineering Assumptions'!$B$10</f>
        <v>1235.1375</v>
      </c>
      <c r="N414" s="13" t="n">
        <f aca="false">L414+M414</f>
        <v>9469.3875</v>
      </c>
      <c r="O414" s="12" t="n">
        <f aca="false">N414*'Engineering Assumptions'!$B$11</f>
        <v>1893.8775</v>
      </c>
      <c r="P414" s="183" t="n">
        <f aca="false">MROUND(N414+O414,10)</f>
        <v>11360</v>
      </c>
      <c r="Q414" s="12" t="n">
        <f aca="false">'Fleet Pricing'!H414</f>
        <v>10100</v>
      </c>
      <c r="R414" s="41" t="n">
        <v>9</v>
      </c>
      <c r="S414" s="46" t="n">
        <v>1.25</v>
      </c>
      <c r="T414" s="46" t="n">
        <v>0.75</v>
      </c>
      <c r="U414" s="46" t="n">
        <v>1.15</v>
      </c>
    </row>
    <row r="415" customFormat="false" ht="15" hidden="false" customHeight="true" outlineLevel="0" collapsed="false">
      <c r="A415" s="9" t="n">
        <v>387</v>
      </c>
      <c r="B415" s="47" t="s">
        <v>139</v>
      </c>
      <c r="C415" s="47" t="s">
        <v>2446</v>
      </c>
      <c r="D415" s="47" t="s">
        <v>1201</v>
      </c>
      <c r="E415" s="47"/>
      <c r="F415" s="45" t="s">
        <v>397</v>
      </c>
      <c r="G415" s="9" t="n">
        <v>9</v>
      </c>
      <c r="H415" s="12" t="n">
        <f aca="false">'Engineering Assumptions'!$C$41*'Engineering Assumptions'!$B$5*U415</f>
        <v>6589.5</v>
      </c>
      <c r="I415" s="12" t="n">
        <f aca="false">'Engineering Assumptions'!$B$8</f>
        <v>650</v>
      </c>
      <c r="J415" s="12" t="n">
        <f aca="false">'Engineering Assumptions'!$D$41*S415*U415</f>
        <v>546.25</v>
      </c>
      <c r="K415" s="12" t="n">
        <f aca="false">'Engineering Assumptions'!$E$41*T415*U415</f>
        <v>448.5</v>
      </c>
      <c r="L415" s="13" t="n">
        <f aca="false">H415+I415+J415+K415</f>
        <v>8234.25</v>
      </c>
      <c r="M415" s="12" t="n">
        <f aca="false">L415*'Engineering Assumptions'!$B$10</f>
        <v>1235.1375</v>
      </c>
      <c r="N415" s="13" t="n">
        <f aca="false">L415+M415</f>
        <v>9469.3875</v>
      </c>
      <c r="O415" s="12" t="n">
        <f aca="false">N415*'Engineering Assumptions'!$B$11</f>
        <v>1893.8775</v>
      </c>
      <c r="P415" s="183" t="n">
        <f aca="false">MROUND(N415+O415,10)</f>
        <v>11360</v>
      </c>
      <c r="Q415" s="12" t="n">
        <f aca="false">'Fleet Pricing'!H415</f>
        <v>10100</v>
      </c>
      <c r="R415" s="41" t="n">
        <v>9</v>
      </c>
      <c r="S415" s="46" t="n">
        <v>1.25</v>
      </c>
      <c r="T415" s="46" t="n">
        <v>0.75</v>
      </c>
      <c r="U415" s="46" t="n">
        <v>1.15</v>
      </c>
    </row>
    <row r="416" customFormat="false" ht="15" hidden="false" customHeight="true" outlineLevel="0" collapsed="false">
      <c r="A416" s="9" t="n">
        <v>388</v>
      </c>
      <c r="B416" s="47" t="s">
        <v>139</v>
      </c>
      <c r="C416" s="47" t="s">
        <v>2446</v>
      </c>
      <c r="D416" s="47" t="s">
        <v>1204</v>
      </c>
      <c r="E416" s="47"/>
      <c r="F416" s="45" t="s">
        <v>397</v>
      </c>
      <c r="G416" s="9" t="n">
        <v>9</v>
      </c>
      <c r="H416" s="12" t="n">
        <f aca="false">'Engineering Assumptions'!$C$41*'Engineering Assumptions'!$B$5*U416</f>
        <v>6589.5</v>
      </c>
      <c r="I416" s="12" t="n">
        <f aca="false">'Engineering Assumptions'!$B$8</f>
        <v>650</v>
      </c>
      <c r="J416" s="12" t="n">
        <f aca="false">'Engineering Assumptions'!$D$41*S416*U416</f>
        <v>546.25</v>
      </c>
      <c r="K416" s="12" t="n">
        <f aca="false">'Engineering Assumptions'!$E$41*T416*U416</f>
        <v>448.5</v>
      </c>
      <c r="L416" s="13" t="n">
        <f aca="false">H416+I416+J416+K416</f>
        <v>8234.25</v>
      </c>
      <c r="M416" s="12" t="n">
        <f aca="false">L416*'Engineering Assumptions'!$B$10</f>
        <v>1235.1375</v>
      </c>
      <c r="N416" s="13" t="n">
        <f aca="false">L416+M416</f>
        <v>9469.3875</v>
      </c>
      <c r="O416" s="12" t="n">
        <f aca="false">N416*'Engineering Assumptions'!$B$11</f>
        <v>1893.8775</v>
      </c>
      <c r="P416" s="183" t="n">
        <f aca="false">MROUND(N416+O416,10)</f>
        <v>11360</v>
      </c>
      <c r="Q416" s="12" t="n">
        <f aca="false">'Fleet Pricing'!H416</f>
        <v>10100</v>
      </c>
      <c r="R416" s="41" t="n">
        <v>9</v>
      </c>
      <c r="S416" s="46" t="n">
        <v>1.25</v>
      </c>
      <c r="T416" s="46" t="n">
        <v>0.75</v>
      </c>
      <c r="U416" s="46" t="n">
        <v>1.15</v>
      </c>
    </row>
    <row r="417" customFormat="false" ht="15" hidden="false" customHeight="true" outlineLevel="0" collapsed="false">
      <c r="A417" s="9" t="n">
        <v>389</v>
      </c>
      <c r="B417" s="47" t="s">
        <v>139</v>
      </c>
      <c r="C417" s="47" t="s">
        <v>2446</v>
      </c>
      <c r="D417" s="47" t="s">
        <v>1140</v>
      </c>
      <c r="E417" s="47" t="n">
        <v>14160</v>
      </c>
      <c r="F417" s="45" t="s">
        <v>397</v>
      </c>
      <c r="G417" s="9" t="n">
        <v>9</v>
      </c>
      <c r="H417" s="12" t="n">
        <f aca="false">'Engineering Assumptions'!$C$41*'Engineering Assumptions'!$B$5*U417</f>
        <v>6589.5</v>
      </c>
      <c r="I417" s="12" t="n">
        <f aca="false">'Engineering Assumptions'!$B$8</f>
        <v>650</v>
      </c>
      <c r="J417" s="12" t="n">
        <f aca="false">'Engineering Assumptions'!$D$41*S417*U417</f>
        <v>546.25</v>
      </c>
      <c r="K417" s="12" t="n">
        <f aca="false">'Engineering Assumptions'!$E$41*T417*U417</f>
        <v>448.5</v>
      </c>
      <c r="L417" s="13" t="n">
        <f aca="false">H417+I417+J417+K417</f>
        <v>8234.25</v>
      </c>
      <c r="M417" s="12" t="n">
        <f aca="false">L417*'Engineering Assumptions'!$B$10</f>
        <v>1235.1375</v>
      </c>
      <c r="N417" s="13" t="n">
        <f aca="false">L417+M417</f>
        <v>9469.3875</v>
      </c>
      <c r="O417" s="12" t="n">
        <f aca="false">N417*'Engineering Assumptions'!$B$11</f>
        <v>1893.8775</v>
      </c>
      <c r="P417" s="183" t="n">
        <f aca="false">MROUND(N417+O417,10)</f>
        <v>11360</v>
      </c>
      <c r="Q417" s="12" t="n">
        <f aca="false">'Fleet Pricing'!H417</f>
        <v>10100</v>
      </c>
      <c r="R417" s="41" t="n">
        <v>9</v>
      </c>
      <c r="S417" s="46" t="n">
        <v>1.25</v>
      </c>
      <c r="T417" s="46" t="n">
        <v>0.75</v>
      </c>
      <c r="U417" s="46" t="n">
        <v>1.15</v>
      </c>
    </row>
    <row r="418" customFormat="false" ht="15" hidden="false" customHeight="true" outlineLevel="0" collapsed="false">
      <c r="A418" s="9" t="n">
        <v>390</v>
      </c>
      <c r="B418" s="47" t="s">
        <v>139</v>
      </c>
      <c r="C418" s="47" t="s">
        <v>2446</v>
      </c>
      <c r="D418" s="47" t="s">
        <v>1141</v>
      </c>
      <c r="E418" s="47" t="n">
        <v>14160</v>
      </c>
      <c r="F418" s="45" t="s">
        <v>397</v>
      </c>
      <c r="G418" s="9" t="n">
        <v>9</v>
      </c>
      <c r="H418" s="12" t="n">
        <f aca="false">'Engineering Assumptions'!$C$41*'Engineering Assumptions'!$B$5*U418</f>
        <v>6589.5</v>
      </c>
      <c r="I418" s="12" t="n">
        <f aca="false">'Engineering Assumptions'!$B$8</f>
        <v>650</v>
      </c>
      <c r="J418" s="12" t="n">
        <f aca="false">'Engineering Assumptions'!$D$41*S418*U418</f>
        <v>546.25</v>
      </c>
      <c r="K418" s="12" t="n">
        <f aca="false">'Engineering Assumptions'!$E$41*T418*U418</f>
        <v>448.5</v>
      </c>
      <c r="L418" s="13" t="n">
        <f aca="false">H418+I418+J418+K418</f>
        <v>8234.25</v>
      </c>
      <c r="M418" s="12" t="n">
        <f aca="false">L418*'Engineering Assumptions'!$B$10</f>
        <v>1235.1375</v>
      </c>
      <c r="N418" s="13" t="n">
        <f aca="false">L418+M418</f>
        <v>9469.3875</v>
      </c>
      <c r="O418" s="12" t="n">
        <f aca="false">N418*'Engineering Assumptions'!$B$11</f>
        <v>1893.8775</v>
      </c>
      <c r="P418" s="183" t="n">
        <f aca="false">MROUND(N418+O418,10)</f>
        <v>11360</v>
      </c>
      <c r="Q418" s="12" t="n">
        <f aca="false">'Fleet Pricing'!H418</f>
        <v>10100</v>
      </c>
      <c r="R418" s="41" t="n">
        <v>9</v>
      </c>
      <c r="S418" s="46" t="n">
        <v>1.25</v>
      </c>
      <c r="T418" s="46" t="n">
        <v>0.75</v>
      </c>
      <c r="U418" s="46" t="n">
        <v>1.15</v>
      </c>
    </row>
    <row r="419" customFormat="false" ht="15" hidden="false" customHeight="true" outlineLevel="0" collapsed="false">
      <c r="A419" s="9" t="n">
        <v>391</v>
      </c>
      <c r="B419" s="47" t="s">
        <v>139</v>
      </c>
      <c r="C419" s="47" t="s">
        <v>2447</v>
      </c>
      <c r="D419" s="47" t="s">
        <v>1144</v>
      </c>
      <c r="E419" s="47"/>
      <c r="F419" s="45" t="s">
        <v>397</v>
      </c>
      <c r="G419" s="9" t="n">
        <v>9</v>
      </c>
      <c r="H419" s="12" t="n">
        <f aca="false">'Engineering Assumptions'!$C$41*'Engineering Assumptions'!$B$5*U419</f>
        <v>6303</v>
      </c>
      <c r="I419" s="12" t="n">
        <f aca="false">'Engineering Assumptions'!$B$8</f>
        <v>650</v>
      </c>
      <c r="J419" s="12" t="n">
        <f aca="false">'Engineering Assumptions'!$D$41*S419*U419</f>
        <v>522.5</v>
      </c>
      <c r="K419" s="12" t="n">
        <f aca="false">'Engineering Assumptions'!$E$41*T419*U419</f>
        <v>429</v>
      </c>
      <c r="L419" s="13" t="n">
        <f aca="false">H419+I419+J419+K419</f>
        <v>7904.5</v>
      </c>
      <c r="M419" s="12" t="n">
        <f aca="false">L419*'Engineering Assumptions'!$B$10</f>
        <v>1185.675</v>
      </c>
      <c r="N419" s="13" t="n">
        <f aca="false">L419+M419</f>
        <v>9090.175</v>
      </c>
      <c r="O419" s="12" t="n">
        <f aca="false">N419*'Engineering Assumptions'!$B$11</f>
        <v>1818.035</v>
      </c>
      <c r="P419" s="183" t="n">
        <f aca="false">MROUND(N419+O419,10)</f>
        <v>10910</v>
      </c>
      <c r="Q419" s="12" t="n">
        <f aca="false">'Fleet Pricing'!H419</f>
        <v>9660</v>
      </c>
      <c r="R419" s="41" t="n">
        <v>9</v>
      </c>
      <c r="S419" s="46" t="n">
        <v>1.25</v>
      </c>
      <c r="T419" s="46" t="n">
        <v>0.75</v>
      </c>
      <c r="U419" s="46" t="n">
        <v>1.1</v>
      </c>
    </row>
    <row r="420" customFormat="false" ht="15" hidden="false" customHeight="true" outlineLevel="0" collapsed="false">
      <c r="A420" s="9" t="n">
        <v>392</v>
      </c>
      <c r="B420" s="47" t="s">
        <v>139</v>
      </c>
      <c r="C420" s="47" t="s">
        <v>2447</v>
      </c>
      <c r="D420" s="47" t="s">
        <v>1142</v>
      </c>
      <c r="E420" s="47" t="n">
        <v>14160</v>
      </c>
      <c r="F420" s="45" t="s">
        <v>397</v>
      </c>
      <c r="G420" s="9" t="n">
        <v>9</v>
      </c>
      <c r="H420" s="12" t="n">
        <f aca="false">'Engineering Assumptions'!$C$41*'Engineering Assumptions'!$B$5*U420</f>
        <v>6303</v>
      </c>
      <c r="I420" s="12" t="n">
        <f aca="false">'Engineering Assumptions'!$B$8</f>
        <v>650</v>
      </c>
      <c r="J420" s="12" t="n">
        <f aca="false">'Engineering Assumptions'!$D$41*S420*U420</f>
        <v>522.5</v>
      </c>
      <c r="K420" s="12" t="n">
        <f aca="false">'Engineering Assumptions'!$E$41*T420*U420</f>
        <v>429</v>
      </c>
      <c r="L420" s="13" t="n">
        <f aca="false">H420+I420+J420+K420</f>
        <v>7904.5</v>
      </c>
      <c r="M420" s="12" t="n">
        <f aca="false">L420*'Engineering Assumptions'!$B$10</f>
        <v>1185.675</v>
      </c>
      <c r="N420" s="13" t="n">
        <f aca="false">L420+M420</f>
        <v>9090.175</v>
      </c>
      <c r="O420" s="12" t="n">
        <f aca="false">N420*'Engineering Assumptions'!$B$11</f>
        <v>1818.035</v>
      </c>
      <c r="P420" s="183" t="n">
        <f aca="false">MROUND(N420+O420,10)</f>
        <v>10910</v>
      </c>
      <c r="Q420" s="12" t="n">
        <f aca="false">'Fleet Pricing'!H420</f>
        <v>9660</v>
      </c>
      <c r="R420" s="41" t="n">
        <v>9</v>
      </c>
      <c r="S420" s="46" t="n">
        <v>1.25</v>
      </c>
      <c r="T420" s="46" t="n">
        <v>0.75</v>
      </c>
      <c r="U420" s="46" t="n">
        <v>1.1</v>
      </c>
    </row>
    <row r="421" customFormat="false" ht="15" hidden="false" customHeight="true" outlineLevel="0" collapsed="false">
      <c r="A421" s="9" t="n">
        <v>393</v>
      </c>
      <c r="B421" s="47" t="s">
        <v>139</v>
      </c>
      <c r="C421" s="47" t="s">
        <v>2448</v>
      </c>
      <c r="D421" s="47" t="s">
        <v>1148</v>
      </c>
      <c r="E421" s="47"/>
      <c r="F421" s="45" t="s">
        <v>315</v>
      </c>
      <c r="G421" s="9" t="n">
        <v>11</v>
      </c>
      <c r="H421" s="12" t="n">
        <f aca="false">'Engineering Assumptions'!$C$41*'Engineering Assumptions'!$B$5*U421</f>
        <v>5730</v>
      </c>
      <c r="I421" s="12" t="n">
        <f aca="false">'Engineering Assumptions'!$B$8</f>
        <v>650</v>
      </c>
      <c r="J421" s="12" t="n">
        <f aca="false">'Engineering Assumptions'!$D$41*S421*U421</f>
        <v>589</v>
      </c>
      <c r="K421" s="12" t="n">
        <f aca="false">'Engineering Assumptions'!$E$41*T421*U421</f>
        <v>702</v>
      </c>
      <c r="L421" s="13" t="n">
        <f aca="false">H421+I421+J421+K421</f>
        <v>7671</v>
      </c>
      <c r="M421" s="12" t="n">
        <f aca="false">L421*'Engineering Assumptions'!$B$10</f>
        <v>1150.65</v>
      </c>
      <c r="N421" s="13" t="n">
        <f aca="false">L421+M421</f>
        <v>8821.65</v>
      </c>
      <c r="O421" s="12" t="n">
        <f aca="false">N421*'Engineering Assumptions'!$B$11</f>
        <v>1764.33</v>
      </c>
      <c r="P421" s="183" t="n">
        <f aca="false">MROUND(N421+O421,10)</f>
        <v>10590</v>
      </c>
      <c r="Q421" s="12" t="n">
        <f aca="false">'Fleet Pricing'!H421</f>
        <v>8790</v>
      </c>
      <c r="R421" s="41" t="n">
        <v>11</v>
      </c>
      <c r="S421" s="46" t="n">
        <v>1.55</v>
      </c>
      <c r="T421" s="46" t="n">
        <v>1.35</v>
      </c>
      <c r="U421" s="46" t="n">
        <v>1</v>
      </c>
    </row>
    <row r="422" customFormat="false" ht="15" hidden="false" customHeight="true" outlineLevel="0" collapsed="false">
      <c r="A422" s="9" t="n">
        <v>394</v>
      </c>
      <c r="B422" s="47" t="s">
        <v>139</v>
      </c>
      <c r="C422" s="47" t="s">
        <v>2449</v>
      </c>
      <c r="D422" s="47" t="s">
        <v>1150</v>
      </c>
      <c r="E422" s="47"/>
      <c r="F422" s="45" t="s">
        <v>374</v>
      </c>
      <c r="G422" s="9" t="n">
        <v>12</v>
      </c>
      <c r="H422" s="12" t="n">
        <f aca="false">'Engineering Assumptions'!$C$41*'Engineering Assumptions'!$B$5*U422</f>
        <v>3151.5</v>
      </c>
      <c r="I422" s="12" t="n">
        <f aca="false">'Engineering Assumptions'!$B$8</f>
        <v>650</v>
      </c>
      <c r="J422" s="12" t="n">
        <f aca="false">'Engineering Assumptions'!$D$41*S422*U422</f>
        <v>323.95</v>
      </c>
      <c r="K422" s="12" t="n">
        <f aca="false">'Engineering Assumptions'!$E$41*T422*U422</f>
        <v>386.1</v>
      </c>
      <c r="L422" s="13" t="n">
        <f aca="false">H422+I422+J422+K422</f>
        <v>4511.55</v>
      </c>
      <c r="M422" s="12" t="n">
        <f aca="false">L422*'Engineering Assumptions'!$B$10</f>
        <v>676.7325</v>
      </c>
      <c r="N422" s="13" t="n">
        <f aca="false">L422+M422</f>
        <v>5188.2825</v>
      </c>
      <c r="O422" s="12" t="n">
        <f aca="false">N422*'Engineering Assumptions'!$B$11</f>
        <v>1037.6565</v>
      </c>
      <c r="P422" s="183" t="n">
        <f aca="false">MROUND(N422+O422,10)</f>
        <v>6230</v>
      </c>
      <c r="Q422" s="12" t="n">
        <f aca="false">'Fleet Pricing'!H422</f>
        <v>4310</v>
      </c>
      <c r="R422" s="41" t="n">
        <v>12</v>
      </c>
      <c r="S422" s="46" t="n">
        <v>1.55</v>
      </c>
      <c r="T422" s="46" t="n">
        <v>1.35</v>
      </c>
      <c r="U422" s="46" t="n">
        <v>0.55</v>
      </c>
    </row>
    <row r="423" customFormat="false" ht="15" hidden="false" customHeight="true" outlineLevel="0" collapsed="false">
      <c r="A423" s="9" t="n">
        <v>395</v>
      </c>
      <c r="B423" s="47" t="s">
        <v>139</v>
      </c>
      <c r="C423" s="47" t="s">
        <v>2450</v>
      </c>
      <c r="D423" s="47" t="s">
        <v>1154</v>
      </c>
      <c r="E423" s="47"/>
      <c r="F423" s="45" t="s">
        <v>374</v>
      </c>
      <c r="G423" s="9" t="n">
        <v>12</v>
      </c>
      <c r="H423" s="12" t="n">
        <f aca="false">'Engineering Assumptions'!$C$41*'Engineering Assumptions'!$B$5*U423</f>
        <v>5443.5</v>
      </c>
      <c r="I423" s="12" t="n">
        <f aca="false">'Engineering Assumptions'!$B$8</f>
        <v>650</v>
      </c>
      <c r="J423" s="12" t="n">
        <f aca="false">'Engineering Assumptions'!$D$41*S423*U423</f>
        <v>559.55</v>
      </c>
      <c r="K423" s="12" t="n">
        <f aca="false">'Engineering Assumptions'!$E$41*T423*U423</f>
        <v>666.9</v>
      </c>
      <c r="L423" s="13" t="n">
        <f aca="false">H423+I423+J423+K423</f>
        <v>7319.95</v>
      </c>
      <c r="M423" s="12" t="n">
        <f aca="false">L423*'Engineering Assumptions'!$B$10</f>
        <v>1097.9925</v>
      </c>
      <c r="N423" s="13" t="n">
        <f aca="false">L423+M423</f>
        <v>8417.9425</v>
      </c>
      <c r="O423" s="12" t="n">
        <f aca="false">N423*'Engineering Assumptions'!$B$11</f>
        <v>1683.5885</v>
      </c>
      <c r="P423" s="183" t="n">
        <f aca="false">MROUND(N423+O423,10)</f>
        <v>10100</v>
      </c>
      <c r="Q423" s="12" t="n">
        <f aca="false">'Fleet Pricing'!H423</f>
        <v>7440</v>
      </c>
      <c r="R423" s="41" t="n">
        <v>12</v>
      </c>
      <c r="S423" s="46" t="n">
        <v>1.55</v>
      </c>
      <c r="T423" s="46" t="n">
        <v>1.35</v>
      </c>
      <c r="U423" s="46" t="n">
        <v>0.95</v>
      </c>
    </row>
    <row r="424" customFormat="false" ht="15" hidden="false" customHeight="true" outlineLevel="0" collapsed="false">
      <c r="A424" s="9" t="n">
        <v>396</v>
      </c>
      <c r="B424" s="47" t="s">
        <v>139</v>
      </c>
      <c r="C424" s="47" t="s">
        <v>2451</v>
      </c>
      <c r="D424" s="47" t="s">
        <v>1158</v>
      </c>
      <c r="E424" s="47"/>
      <c r="F424" s="45" t="s">
        <v>374</v>
      </c>
      <c r="G424" s="9" t="n">
        <v>12</v>
      </c>
      <c r="H424" s="12" t="n">
        <f aca="false">'Engineering Assumptions'!$C$41*'Engineering Assumptions'!$B$5*U424</f>
        <v>4011</v>
      </c>
      <c r="I424" s="12" t="n">
        <f aca="false">'Engineering Assumptions'!$B$8</f>
        <v>650</v>
      </c>
      <c r="J424" s="12" t="n">
        <f aca="false">'Engineering Assumptions'!$D$41*S424*U424</f>
        <v>412.3</v>
      </c>
      <c r="K424" s="12" t="n">
        <f aca="false">'Engineering Assumptions'!$E$41*T424*U424</f>
        <v>491.4</v>
      </c>
      <c r="L424" s="13" t="n">
        <f aca="false">H424+I424+J424+K424</f>
        <v>5564.7</v>
      </c>
      <c r="M424" s="12" t="n">
        <f aca="false">L424*'Engineering Assumptions'!$B$10</f>
        <v>834.705</v>
      </c>
      <c r="N424" s="13" t="n">
        <f aca="false">L424+M424</f>
        <v>6399.405</v>
      </c>
      <c r="O424" s="12" t="n">
        <f aca="false">N424*'Engineering Assumptions'!$B$11</f>
        <v>1279.881</v>
      </c>
      <c r="P424" s="183" t="n">
        <f aca="false">MROUND(N424+O424,10)</f>
        <v>7680</v>
      </c>
      <c r="Q424" s="12" t="n">
        <f aca="false">'Fleet Pricing'!H424</f>
        <v>5480</v>
      </c>
      <c r="R424" s="41" t="n">
        <v>12</v>
      </c>
      <c r="S424" s="46" t="n">
        <v>1.55</v>
      </c>
      <c r="T424" s="46" t="n">
        <v>1.35</v>
      </c>
      <c r="U424" s="46" t="n">
        <v>0.7</v>
      </c>
    </row>
    <row r="425" customFormat="false" ht="15" hidden="false" customHeight="true" outlineLevel="0" collapsed="false">
      <c r="A425" s="9" t="n">
        <v>397</v>
      </c>
      <c r="B425" s="47" t="s">
        <v>139</v>
      </c>
      <c r="C425" s="47" t="s">
        <v>2452</v>
      </c>
      <c r="D425" s="47" t="s">
        <v>1161</v>
      </c>
      <c r="E425" s="47"/>
      <c r="F425" s="45" t="s">
        <v>374</v>
      </c>
      <c r="G425" s="9" t="n">
        <v>12</v>
      </c>
      <c r="H425" s="12" t="n">
        <f aca="false">'Engineering Assumptions'!$C$41*'Engineering Assumptions'!$B$5*U425</f>
        <v>5730</v>
      </c>
      <c r="I425" s="12" t="n">
        <f aca="false">'Engineering Assumptions'!$B$8</f>
        <v>650</v>
      </c>
      <c r="J425" s="12" t="n">
        <f aca="false">'Engineering Assumptions'!$D$41*S425*U425</f>
        <v>589</v>
      </c>
      <c r="K425" s="12" t="n">
        <f aca="false">'Engineering Assumptions'!$E$41*T425*U425</f>
        <v>702</v>
      </c>
      <c r="L425" s="13" t="n">
        <f aca="false">H425+I425+J425+K425</f>
        <v>7671</v>
      </c>
      <c r="M425" s="12" t="n">
        <f aca="false">L425*'Engineering Assumptions'!$B$10</f>
        <v>1150.65</v>
      </c>
      <c r="N425" s="13" t="n">
        <f aca="false">L425+M425</f>
        <v>8821.65</v>
      </c>
      <c r="O425" s="12" t="n">
        <f aca="false">N425*'Engineering Assumptions'!$B$11</f>
        <v>1764.33</v>
      </c>
      <c r="P425" s="183" t="n">
        <f aca="false">MROUND(N425+O425,10)</f>
        <v>10590</v>
      </c>
      <c r="Q425" s="12" t="n">
        <f aca="false">'Fleet Pricing'!H425</f>
        <v>7830</v>
      </c>
      <c r="R425" s="41" t="n">
        <v>12</v>
      </c>
      <c r="S425" s="46" t="n">
        <v>1.55</v>
      </c>
      <c r="T425" s="46" t="n">
        <v>1.35</v>
      </c>
      <c r="U425" s="46" t="n">
        <v>1</v>
      </c>
    </row>
    <row r="426" customFormat="false" ht="15" hidden="false" customHeight="true" outlineLevel="0" collapsed="false">
      <c r="A426" s="9" t="n">
        <v>398</v>
      </c>
      <c r="B426" s="47" t="s">
        <v>139</v>
      </c>
      <c r="C426" s="47" t="s">
        <v>2453</v>
      </c>
      <c r="D426" s="47" t="s">
        <v>1163</v>
      </c>
      <c r="E426" s="47"/>
      <c r="F426" s="45" t="s">
        <v>374</v>
      </c>
      <c r="G426" s="9" t="n">
        <v>12</v>
      </c>
      <c r="H426" s="12" t="n">
        <f aca="false">'Engineering Assumptions'!$C$41*'Engineering Assumptions'!$B$5*U426</f>
        <v>3151.5</v>
      </c>
      <c r="I426" s="12" t="n">
        <f aca="false">'Engineering Assumptions'!$B$8</f>
        <v>650</v>
      </c>
      <c r="J426" s="12" t="n">
        <f aca="false">'Engineering Assumptions'!$D$41*S426*U426</f>
        <v>323.95</v>
      </c>
      <c r="K426" s="12" t="n">
        <f aca="false">'Engineering Assumptions'!$E$41*T426*U426</f>
        <v>386.1</v>
      </c>
      <c r="L426" s="13" t="n">
        <f aca="false">H426+I426+J426+K426</f>
        <v>4511.55</v>
      </c>
      <c r="M426" s="12" t="n">
        <f aca="false">L426*'Engineering Assumptions'!$B$10</f>
        <v>676.7325</v>
      </c>
      <c r="N426" s="13" t="n">
        <f aca="false">L426+M426</f>
        <v>5188.2825</v>
      </c>
      <c r="O426" s="12" t="n">
        <f aca="false">N426*'Engineering Assumptions'!$B$11</f>
        <v>1037.6565</v>
      </c>
      <c r="P426" s="183" t="n">
        <f aca="false">MROUND(N426+O426,10)</f>
        <v>6230</v>
      </c>
      <c r="Q426" s="12" t="n">
        <f aca="false">'Fleet Pricing'!H426</f>
        <v>4310</v>
      </c>
      <c r="R426" s="41" t="n">
        <v>12</v>
      </c>
      <c r="S426" s="46" t="n">
        <v>1.55</v>
      </c>
      <c r="T426" s="46" t="n">
        <v>1.35</v>
      </c>
      <c r="U426" s="46" t="n">
        <v>0.55</v>
      </c>
    </row>
    <row r="427" customFormat="false" ht="15" hidden="false" customHeight="true" outlineLevel="0" collapsed="false">
      <c r="A427" s="9" t="n">
        <v>399</v>
      </c>
      <c r="B427" s="47" t="s">
        <v>139</v>
      </c>
      <c r="C427" s="47" t="s">
        <v>2454</v>
      </c>
      <c r="D427" s="47" t="s">
        <v>1165</v>
      </c>
      <c r="E427" s="47"/>
      <c r="F427" s="45" t="s">
        <v>380</v>
      </c>
      <c r="G427" s="9" t="n">
        <v>13</v>
      </c>
      <c r="H427" s="12" t="n">
        <f aca="false">'Engineering Assumptions'!$C$41*'Engineering Assumptions'!$B$5*U427</f>
        <v>4870.5</v>
      </c>
      <c r="I427" s="12" t="n">
        <f aca="false">'Engineering Assumptions'!$B$8</f>
        <v>650</v>
      </c>
      <c r="J427" s="12" t="n">
        <f aca="false">'Engineering Assumptions'!$D$41*S427*U427</f>
        <v>500.65</v>
      </c>
      <c r="K427" s="12" t="n">
        <f aca="false">'Engineering Assumptions'!$E$41*T427*U427</f>
        <v>596.7</v>
      </c>
      <c r="L427" s="13" t="n">
        <f aca="false">H427+I427+J427+K427</f>
        <v>6617.85</v>
      </c>
      <c r="M427" s="12" t="n">
        <f aca="false">L427*'Engineering Assumptions'!$B$10</f>
        <v>992.6775</v>
      </c>
      <c r="N427" s="13" t="n">
        <f aca="false">L427+M427</f>
        <v>7610.5275</v>
      </c>
      <c r="O427" s="12" t="n">
        <f aca="false">N427*'Engineering Assumptions'!$B$11</f>
        <v>1522.1055</v>
      </c>
      <c r="P427" s="183" t="n">
        <f aca="false">MROUND(N427+O427,10)</f>
        <v>9130</v>
      </c>
      <c r="Q427" s="12" t="n">
        <f aca="false">'Fleet Pricing'!H427</f>
        <v>6660</v>
      </c>
      <c r="R427" s="41" t="n">
        <v>13</v>
      </c>
      <c r="S427" s="46" t="n">
        <v>1.55</v>
      </c>
      <c r="T427" s="46" t="n">
        <v>1.35</v>
      </c>
      <c r="U427" s="46" t="n">
        <v>0.85</v>
      </c>
    </row>
    <row r="428" customFormat="false" ht="15" hidden="false" customHeight="true" outlineLevel="0" collapsed="false">
      <c r="A428" s="9" t="n">
        <v>400</v>
      </c>
      <c r="B428" s="47" t="s">
        <v>139</v>
      </c>
      <c r="C428" s="47" t="s">
        <v>2455</v>
      </c>
      <c r="D428" s="47" t="s">
        <v>1169</v>
      </c>
      <c r="E428" s="47"/>
      <c r="F428" s="45" t="s">
        <v>380</v>
      </c>
      <c r="G428" s="9" t="n">
        <v>13</v>
      </c>
      <c r="H428" s="12" t="n">
        <f aca="false">'Engineering Assumptions'!$C$41*'Engineering Assumptions'!$B$5*U428</f>
        <v>3151.5</v>
      </c>
      <c r="I428" s="12" t="n">
        <f aca="false">'Engineering Assumptions'!$B$8</f>
        <v>650</v>
      </c>
      <c r="J428" s="12" t="n">
        <f aca="false">'Engineering Assumptions'!$D$41*S428*U428</f>
        <v>323.95</v>
      </c>
      <c r="K428" s="12" t="n">
        <f aca="false">'Engineering Assumptions'!$E$41*T428*U428</f>
        <v>386.1</v>
      </c>
      <c r="L428" s="13" t="n">
        <f aca="false">H428+I428+J428+K428</f>
        <v>4511.55</v>
      </c>
      <c r="M428" s="12" t="n">
        <f aca="false">L428*'Engineering Assumptions'!$B$10</f>
        <v>676.7325</v>
      </c>
      <c r="N428" s="13" t="n">
        <f aca="false">L428+M428</f>
        <v>5188.2825</v>
      </c>
      <c r="O428" s="12" t="n">
        <f aca="false">N428*'Engineering Assumptions'!$B$11</f>
        <v>1037.6565</v>
      </c>
      <c r="P428" s="183" t="n">
        <f aca="false">MROUND(N428+O428,10)</f>
        <v>6230</v>
      </c>
      <c r="Q428" s="12" t="n">
        <f aca="false">'Fleet Pricing'!H428</f>
        <v>4310</v>
      </c>
      <c r="R428" s="41" t="n">
        <v>13</v>
      </c>
      <c r="S428" s="46" t="n">
        <v>1.55</v>
      </c>
      <c r="T428" s="46" t="n">
        <v>1.35</v>
      </c>
      <c r="U428" s="46" t="n">
        <v>0.55</v>
      </c>
    </row>
    <row r="429" customFormat="false" ht="15" hidden="false" customHeight="true" outlineLevel="0" collapsed="false">
      <c r="A429" s="9" t="n">
        <v>401</v>
      </c>
      <c r="B429" s="47" t="s">
        <v>139</v>
      </c>
      <c r="C429" s="47" t="s">
        <v>2456</v>
      </c>
      <c r="D429" s="47" t="s">
        <v>1171</v>
      </c>
      <c r="E429" s="47"/>
      <c r="F429" s="45" t="s">
        <v>380</v>
      </c>
      <c r="G429" s="9" t="n">
        <v>13</v>
      </c>
      <c r="H429" s="12" t="n">
        <f aca="false">'Engineering Assumptions'!$C$41*'Engineering Assumptions'!$B$5*U429</f>
        <v>6016.5</v>
      </c>
      <c r="I429" s="12" t="n">
        <f aca="false">'Engineering Assumptions'!$B$8</f>
        <v>650</v>
      </c>
      <c r="J429" s="12" t="n">
        <f aca="false">'Engineering Assumptions'!$D$41*S429*U429</f>
        <v>618.45</v>
      </c>
      <c r="K429" s="12" t="n">
        <f aca="false">'Engineering Assumptions'!$E$41*T429*U429</f>
        <v>737.1</v>
      </c>
      <c r="L429" s="13" t="n">
        <f aca="false">H429+I429+J429+K429</f>
        <v>8022.05</v>
      </c>
      <c r="M429" s="12" t="n">
        <f aca="false">L429*'Engineering Assumptions'!$B$10</f>
        <v>1203.3075</v>
      </c>
      <c r="N429" s="13" t="n">
        <f aca="false">L429+M429</f>
        <v>9225.3575</v>
      </c>
      <c r="O429" s="12" t="n">
        <f aca="false">N429*'Engineering Assumptions'!$B$11</f>
        <v>1845.0715</v>
      </c>
      <c r="P429" s="183" t="n">
        <f aca="false">MROUND(N429+O429,10)</f>
        <v>11070</v>
      </c>
      <c r="Q429" s="12" t="n">
        <f aca="false">'Fleet Pricing'!H429</f>
        <v>8220</v>
      </c>
      <c r="R429" s="41" t="n">
        <v>13</v>
      </c>
      <c r="S429" s="46" t="n">
        <v>1.55</v>
      </c>
      <c r="T429" s="46" t="n">
        <v>1.35</v>
      </c>
      <c r="U429" s="46" t="n">
        <v>1.05</v>
      </c>
    </row>
    <row r="430" customFormat="false" ht="15" hidden="false" customHeight="true" outlineLevel="0" collapsed="false">
      <c r="A430" s="9" t="n">
        <v>402</v>
      </c>
      <c r="B430" s="47" t="s">
        <v>139</v>
      </c>
      <c r="C430" s="47" t="s">
        <v>2457</v>
      </c>
      <c r="D430" s="47" t="s">
        <v>1174</v>
      </c>
      <c r="E430" s="47"/>
      <c r="F430" s="45" t="s">
        <v>310</v>
      </c>
      <c r="G430" s="9" t="n">
        <v>14</v>
      </c>
      <c r="H430" s="12" t="n">
        <f aca="false">'Engineering Assumptions'!$C$41*'Engineering Assumptions'!$B$5*U430</f>
        <v>4870.5</v>
      </c>
      <c r="I430" s="12" t="n">
        <f aca="false">'Engineering Assumptions'!$B$8</f>
        <v>650</v>
      </c>
      <c r="J430" s="12" t="n">
        <f aca="false">'Engineering Assumptions'!$D$41*S430*U430</f>
        <v>500.65</v>
      </c>
      <c r="K430" s="12" t="n">
        <f aca="false">'Engineering Assumptions'!$E$41*T430*U430</f>
        <v>596.7</v>
      </c>
      <c r="L430" s="13" t="n">
        <f aca="false">H430+I430+J430+K430</f>
        <v>6617.85</v>
      </c>
      <c r="M430" s="12" t="n">
        <f aca="false">L430*'Engineering Assumptions'!$B$10</f>
        <v>992.6775</v>
      </c>
      <c r="N430" s="13" t="n">
        <f aca="false">L430+M430</f>
        <v>7610.5275</v>
      </c>
      <c r="O430" s="12" t="n">
        <f aca="false">N430*'Engineering Assumptions'!$B$11</f>
        <v>1522.1055</v>
      </c>
      <c r="P430" s="183" t="n">
        <f aca="false">MROUND(N430+O430,10)</f>
        <v>9130</v>
      </c>
      <c r="Q430" s="12" t="n">
        <f aca="false">'Fleet Pricing'!H430</f>
        <v>6660</v>
      </c>
      <c r="R430" s="41" t="n">
        <v>14</v>
      </c>
      <c r="S430" s="46" t="n">
        <v>1.55</v>
      </c>
      <c r="T430" s="46" t="n">
        <v>1.35</v>
      </c>
      <c r="U430" s="46" t="n">
        <v>0.85</v>
      </c>
    </row>
    <row r="431" customFormat="false" ht="15" hidden="false" customHeight="true" outlineLevel="0" collapsed="false">
      <c r="A431" s="9" t="n">
        <v>403</v>
      </c>
      <c r="B431" s="47" t="s">
        <v>139</v>
      </c>
      <c r="C431" s="47" t="s">
        <v>2458</v>
      </c>
      <c r="D431" s="47" t="s">
        <v>1176</v>
      </c>
      <c r="E431" s="47"/>
      <c r="F431" s="45" t="s">
        <v>310</v>
      </c>
      <c r="G431" s="9" t="n">
        <v>14</v>
      </c>
      <c r="H431" s="12" t="n">
        <f aca="false">'Engineering Assumptions'!$C$41*'Engineering Assumptions'!$B$5*U431</f>
        <v>3151.5</v>
      </c>
      <c r="I431" s="12" t="n">
        <f aca="false">'Engineering Assumptions'!$B$8</f>
        <v>650</v>
      </c>
      <c r="J431" s="12" t="n">
        <f aca="false">'Engineering Assumptions'!$D$41*S431*U431</f>
        <v>323.95</v>
      </c>
      <c r="K431" s="12" t="n">
        <f aca="false">'Engineering Assumptions'!$E$41*T431*U431</f>
        <v>386.1</v>
      </c>
      <c r="L431" s="13" t="n">
        <f aca="false">H431+I431+J431+K431</f>
        <v>4511.55</v>
      </c>
      <c r="M431" s="12" t="n">
        <f aca="false">L431*'Engineering Assumptions'!$B$10</f>
        <v>676.7325</v>
      </c>
      <c r="N431" s="13" t="n">
        <f aca="false">L431+M431</f>
        <v>5188.2825</v>
      </c>
      <c r="O431" s="12" t="n">
        <f aca="false">N431*'Engineering Assumptions'!$B$11</f>
        <v>1037.6565</v>
      </c>
      <c r="P431" s="183" t="n">
        <f aca="false">MROUND(N431+O431,10)</f>
        <v>6230</v>
      </c>
      <c r="Q431" s="12" t="n">
        <f aca="false">'Fleet Pricing'!H431</f>
        <v>4310</v>
      </c>
      <c r="R431" s="41" t="n">
        <v>14</v>
      </c>
      <c r="S431" s="46" t="n">
        <v>1.55</v>
      </c>
      <c r="T431" s="46" t="n">
        <v>1.35</v>
      </c>
      <c r="U431" s="46" t="n">
        <v>0.55</v>
      </c>
    </row>
    <row r="432" customFormat="false" ht="15" hidden="false" customHeight="true" outlineLevel="0" collapsed="false">
      <c r="A432" s="9" t="n">
        <v>404</v>
      </c>
      <c r="B432" s="47" t="s">
        <v>139</v>
      </c>
      <c r="C432" s="47" t="s">
        <v>2459</v>
      </c>
      <c r="D432" s="47" t="s">
        <v>1178</v>
      </c>
      <c r="E432" s="47"/>
      <c r="F432" s="45" t="s">
        <v>310</v>
      </c>
      <c r="G432" s="9" t="n">
        <v>14</v>
      </c>
      <c r="H432" s="12" t="n">
        <f aca="false">'Engineering Assumptions'!$C$41*'Engineering Assumptions'!$B$5*U432</f>
        <v>4011</v>
      </c>
      <c r="I432" s="12" t="n">
        <f aca="false">'Engineering Assumptions'!$B$8</f>
        <v>650</v>
      </c>
      <c r="J432" s="12" t="n">
        <f aca="false">'Engineering Assumptions'!$D$41*S432*U432</f>
        <v>412.3</v>
      </c>
      <c r="K432" s="12" t="n">
        <f aca="false">'Engineering Assumptions'!$E$41*T432*U432</f>
        <v>491.4</v>
      </c>
      <c r="L432" s="13" t="n">
        <f aca="false">H432+I432+J432+K432</f>
        <v>5564.7</v>
      </c>
      <c r="M432" s="12" t="n">
        <f aca="false">L432*'Engineering Assumptions'!$B$10</f>
        <v>834.705</v>
      </c>
      <c r="N432" s="13" t="n">
        <f aca="false">L432+M432</f>
        <v>6399.405</v>
      </c>
      <c r="O432" s="12" t="n">
        <f aca="false">N432*'Engineering Assumptions'!$B$11</f>
        <v>1279.881</v>
      </c>
      <c r="P432" s="183" t="n">
        <f aca="false">MROUND(N432+O432,10)</f>
        <v>7680</v>
      </c>
      <c r="Q432" s="12" t="n">
        <f aca="false">'Fleet Pricing'!H432</f>
        <v>5480</v>
      </c>
      <c r="R432" s="41" t="n">
        <v>14</v>
      </c>
      <c r="S432" s="46" t="n">
        <v>1.55</v>
      </c>
      <c r="T432" s="46" t="n">
        <v>1.35</v>
      </c>
      <c r="U432" s="46" t="n">
        <v>0.7</v>
      </c>
    </row>
    <row r="433" customFormat="false" ht="15" hidden="false" customHeight="true" outlineLevel="0" collapsed="false">
      <c r="A433" s="9" t="n">
        <v>405</v>
      </c>
      <c r="B433" s="47" t="s">
        <v>139</v>
      </c>
      <c r="C433" s="47" t="s">
        <v>2460</v>
      </c>
      <c r="D433" s="47" t="s">
        <v>1180</v>
      </c>
      <c r="E433" s="47"/>
      <c r="F433" s="45" t="s">
        <v>748</v>
      </c>
      <c r="G433" s="9" t="n">
        <v>15</v>
      </c>
      <c r="H433" s="12" t="n">
        <f aca="false">'Engineering Assumptions'!$C$41*'Engineering Assumptions'!$B$5*U433</f>
        <v>4870.5</v>
      </c>
      <c r="I433" s="12" t="n">
        <f aca="false">'Engineering Assumptions'!$B$8</f>
        <v>650</v>
      </c>
      <c r="J433" s="12" t="n">
        <f aca="false">'Engineering Assumptions'!$D$41*S433*U433</f>
        <v>500.65</v>
      </c>
      <c r="K433" s="12" t="n">
        <f aca="false">'Engineering Assumptions'!$E$41*T433*U433</f>
        <v>596.7</v>
      </c>
      <c r="L433" s="13" t="n">
        <f aca="false">H433+I433+J433+K433</f>
        <v>6617.85</v>
      </c>
      <c r="M433" s="12" t="n">
        <f aca="false">L433*'Engineering Assumptions'!$B$10</f>
        <v>992.6775</v>
      </c>
      <c r="N433" s="13" t="n">
        <f aca="false">L433+M433</f>
        <v>7610.5275</v>
      </c>
      <c r="O433" s="12" t="n">
        <f aca="false">N433*'Engineering Assumptions'!$B$11</f>
        <v>1522.1055</v>
      </c>
      <c r="P433" s="183" t="n">
        <f aca="false">MROUND(N433+O433,10)</f>
        <v>9130</v>
      </c>
      <c r="Q433" s="12" t="n">
        <f aca="false">'Fleet Pricing'!H433</f>
        <v>6660</v>
      </c>
      <c r="R433" s="41" t="n">
        <v>15</v>
      </c>
      <c r="S433" s="46" t="n">
        <v>1.55</v>
      </c>
      <c r="T433" s="46" t="n">
        <v>1.35</v>
      </c>
      <c r="U433" s="46" t="n">
        <v>0.85</v>
      </c>
    </row>
    <row r="434" customFormat="false" ht="15" hidden="false" customHeight="true" outlineLevel="0" collapsed="false">
      <c r="A434" s="9" t="n">
        <v>406</v>
      </c>
      <c r="B434" s="47" t="s">
        <v>139</v>
      </c>
      <c r="C434" s="47" t="s">
        <v>2461</v>
      </c>
      <c r="D434" s="47" t="s">
        <v>1183</v>
      </c>
      <c r="E434" s="47"/>
      <c r="F434" s="45" t="s">
        <v>389</v>
      </c>
      <c r="G434" s="9" t="n">
        <v>16</v>
      </c>
      <c r="H434" s="12" t="n">
        <f aca="false">'Engineering Assumptions'!$C$41*'Engineering Assumptions'!$B$5*U434</f>
        <v>5730</v>
      </c>
      <c r="I434" s="12" t="n">
        <f aca="false">'Engineering Assumptions'!$B$8</f>
        <v>650</v>
      </c>
      <c r="J434" s="12" t="n">
        <f aca="false">'Engineering Assumptions'!$D$41*S434*U434</f>
        <v>741</v>
      </c>
      <c r="K434" s="12" t="n">
        <f aca="false">'Engineering Assumptions'!$E$41*T434*U434</f>
        <v>1092</v>
      </c>
      <c r="L434" s="13" t="n">
        <f aca="false">H434+I434+J434+K434</f>
        <v>8213</v>
      </c>
      <c r="M434" s="12" t="n">
        <f aca="false">L434*'Engineering Assumptions'!$B$10</f>
        <v>1231.95</v>
      </c>
      <c r="N434" s="13" t="n">
        <f aca="false">L434+M434</f>
        <v>9444.95</v>
      </c>
      <c r="O434" s="12" t="n">
        <f aca="false">N434*'Engineering Assumptions'!$B$11</f>
        <v>1888.99</v>
      </c>
      <c r="P434" s="183" t="n">
        <f aca="false">MROUND(N434+O434,10)</f>
        <v>11330</v>
      </c>
      <c r="Q434" s="12" t="n">
        <f aca="false">'Fleet Pricing'!H434</f>
        <v>7830</v>
      </c>
      <c r="R434" s="41" t="n">
        <v>16</v>
      </c>
      <c r="S434" s="46" t="n">
        <v>1.95</v>
      </c>
      <c r="T434" s="46" t="n">
        <v>2.1</v>
      </c>
      <c r="U434" s="46" t="n">
        <v>1</v>
      </c>
    </row>
    <row r="435" customFormat="false" ht="15" hidden="false" customHeight="true" outlineLevel="0" collapsed="false">
      <c r="A435" s="9" t="n">
        <v>407</v>
      </c>
      <c r="B435" s="47" t="s">
        <v>139</v>
      </c>
      <c r="C435" s="47" t="s">
        <v>2460</v>
      </c>
      <c r="D435" s="47" t="s">
        <v>1185</v>
      </c>
      <c r="E435" s="47"/>
      <c r="F435" s="45" t="s">
        <v>389</v>
      </c>
      <c r="G435" s="9" t="n">
        <v>16</v>
      </c>
      <c r="H435" s="12" t="n">
        <f aca="false">'Engineering Assumptions'!$C$41*'Engineering Assumptions'!$B$5*U435</f>
        <v>4870.5</v>
      </c>
      <c r="I435" s="12" t="n">
        <f aca="false">'Engineering Assumptions'!$B$8</f>
        <v>650</v>
      </c>
      <c r="J435" s="12" t="n">
        <f aca="false">'Engineering Assumptions'!$D$41*S435*U435</f>
        <v>629.85</v>
      </c>
      <c r="K435" s="12" t="n">
        <f aca="false">'Engineering Assumptions'!$E$41*T435*U435</f>
        <v>928.2</v>
      </c>
      <c r="L435" s="13" t="n">
        <f aca="false">H435+I435+J435+K435</f>
        <v>7078.55</v>
      </c>
      <c r="M435" s="12" t="n">
        <f aca="false">L435*'Engineering Assumptions'!$B$10</f>
        <v>1061.7825</v>
      </c>
      <c r="N435" s="13" t="n">
        <f aca="false">L435+M435</f>
        <v>8140.3325</v>
      </c>
      <c r="O435" s="12" t="n">
        <f aca="false">N435*'Engineering Assumptions'!$B$11</f>
        <v>1628.0665</v>
      </c>
      <c r="P435" s="183" t="n">
        <f aca="false">MROUND(N435+O435,10)</f>
        <v>9770</v>
      </c>
      <c r="Q435" s="12" t="n">
        <f aca="false">'Fleet Pricing'!H435</f>
        <v>6660</v>
      </c>
      <c r="R435" s="41" t="n">
        <v>16</v>
      </c>
      <c r="S435" s="46" t="n">
        <v>1.95</v>
      </c>
      <c r="T435" s="46" t="n">
        <v>2.1</v>
      </c>
      <c r="U435" s="46" t="n">
        <v>0.85</v>
      </c>
    </row>
    <row r="436" customFormat="false" ht="15" hidden="false" customHeight="true" outlineLevel="0" collapsed="false">
      <c r="A436" s="9" t="n">
        <v>408</v>
      </c>
      <c r="B436" s="47" t="s">
        <v>139</v>
      </c>
      <c r="C436" s="47" t="s">
        <v>2462</v>
      </c>
      <c r="D436" s="47" t="s">
        <v>1186</v>
      </c>
      <c r="E436" s="47"/>
      <c r="F436" s="45" t="s">
        <v>389</v>
      </c>
      <c r="G436" s="9" t="n">
        <v>16</v>
      </c>
      <c r="H436" s="12" t="n">
        <f aca="false">'Engineering Assumptions'!$C$41*'Engineering Assumptions'!$B$5*U436</f>
        <v>3151.5</v>
      </c>
      <c r="I436" s="12" t="n">
        <f aca="false">'Engineering Assumptions'!$B$8</f>
        <v>650</v>
      </c>
      <c r="J436" s="12" t="n">
        <f aca="false">'Engineering Assumptions'!$D$41*S436*U436</f>
        <v>407.55</v>
      </c>
      <c r="K436" s="12" t="n">
        <f aca="false">'Engineering Assumptions'!$E$41*T436*U436</f>
        <v>600.6</v>
      </c>
      <c r="L436" s="13" t="n">
        <f aca="false">H436+I436+J436+K436</f>
        <v>4809.65</v>
      </c>
      <c r="M436" s="12" t="n">
        <f aca="false">L436*'Engineering Assumptions'!$B$10</f>
        <v>721.4475</v>
      </c>
      <c r="N436" s="13" t="n">
        <f aca="false">L436+M436</f>
        <v>5531.0975</v>
      </c>
      <c r="O436" s="12" t="n">
        <f aca="false">N436*'Engineering Assumptions'!$B$11</f>
        <v>1106.2195</v>
      </c>
      <c r="P436" s="183" t="n">
        <f aca="false">MROUND(N436+O436,10)</f>
        <v>6640</v>
      </c>
      <c r="Q436" s="12" t="n">
        <f aca="false">'Fleet Pricing'!H436</f>
        <v>4310</v>
      </c>
      <c r="R436" s="41" t="n">
        <v>16</v>
      </c>
      <c r="S436" s="46" t="n">
        <v>1.95</v>
      </c>
      <c r="T436" s="46" t="n">
        <v>2.1</v>
      </c>
      <c r="U436" s="46" t="n">
        <v>0.55</v>
      </c>
    </row>
    <row r="437" customFormat="false" ht="15" hidden="false" customHeight="true" outlineLevel="0" collapsed="false">
      <c r="A437" s="9" t="n">
        <v>409</v>
      </c>
      <c r="B437" s="47" t="s">
        <v>139</v>
      </c>
      <c r="C437" s="47" t="s">
        <v>2463</v>
      </c>
      <c r="D437" s="47" t="s">
        <v>1188</v>
      </c>
      <c r="E437" s="47"/>
      <c r="F437" s="45" t="s">
        <v>392</v>
      </c>
      <c r="G437" s="9" t="n">
        <v>17</v>
      </c>
      <c r="H437" s="12" t="n">
        <f aca="false">'Engineering Assumptions'!$C$41*'Engineering Assumptions'!$B$5*U437</f>
        <v>4011</v>
      </c>
      <c r="I437" s="12" t="n">
        <f aca="false">'Engineering Assumptions'!$B$8</f>
        <v>650</v>
      </c>
      <c r="J437" s="12" t="n">
        <f aca="false">'Engineering Assumptions'!$D$41*S437*U437</f>
        <v>518.7</v>
      </c>
      <c r="K437" s="12" t="n">
        <f aca="false">'Engineering Assumptions'!$E$41*T437*U437</f>
        <v>764.4</v>
      </c>
      <c r="L437" s="13" t="n">
        <f aca="false">H437+I437+J437+K437</f>
        <v>5944.1</v>
      </c>
      <c r="M437" s="12" t="n">
        <f aca="false">L437*'Engineering Assumptions'!$B$10</f>
        <v>891.615</v>
      </c>
      <c r="N437" s="13" t="n">
        <f aca="false">L437+M437</f>
        <v>6835.715</v>
      </c>
      <c r="O437" s="12" t="n">
        <f aca="false">N437*'Engineering Assumptions'!$B$11</f>
        <v>1367.143</v>
      </c>
      <c r="P437" s="183" t="n">
        <f aca="false">MROUND(N437+O437,10)</f>
        <v>8200</v>
      </c>
      <c r="Q437" s="12" t="n">
        <f aca="false">'Fleet Pricing'!H437</f>
        <v>4810</v>
      </c>
      <c r="R437" s="41" t="n">
        <v>17</v>
      </c>
      <c r="S437" s="46" t="n">
        <v>1.95</v>
      </c>
      <c r="T437" s="46" t="n">
        <v>2.1</v>
      </c>
      <c r="U437" s="46" t="n">
        <v>0.7</v>
      </c>
    </row>
    <row r="438" customFormat="false" ht="15" hidden="false" customHeight="true" outlineLevel="0" collapsed="false">
      <c r="A438" s="9" t="n">
        <v>410</v>
      </c>
      <c r="B438" s="47" t="s">
        <v>139</v>
      </c>
      <c r="C438" s="47" t="s">
        <v>2464</v>
      </c>
      <c r="D438" s="47" t="s">
        <v>1191</v>
      </c>
      <c r="E438" s="47"/>
      <c r="F438" s="45" t="s">
        <v>392</v>
      </c>
      <c r="G438" s="9" t="n">
        <v>17</v>
      </c>
      <c r="H438" s="12" t="n">
        <f aca="false">'Engineering Assumptions'!$C$41*'Engineering Assumptions'!$B$5*U438</f>
        <v>3151.5</v>
      </c>
      <c r="I438" s="12" t="n">
        <f aca="false">'Engineering Assumptions'!$B$8</f>
        <v>650</v>
      </c>
      <c r="J438" s="12" t="n">
        <f aca="false">'Engineering Assumptions'!$D$41*S438*U438</f>
        <v>407.55</v>
      </c>
      <c r="K438" s="12" t="n">
        <f aca="false">'Engineering Assumptions'!$E$41*T438*U438</f>
        <v>600.6</v>
      </c>
      <c r="L438" s="13" t="n">
        <f aca="false">H438+I438+J438+K438</f>
        <v>4809.65</v>
      </c>
      <c r="M438" s="12" t="n">
        <f aca="false">L438*'Engineering Assumptions'!$B$10</f>
        <v>721.4475</v>
      </c>
      <c r="N438" s="13" t="n">
        <f aca="false">L438+M438</f>
        <v>5531.0975</v>
      </c>
      <c r="O438" s="12" t="n">
        <f aca="false">N438*'Engineering Assumptions'!$B$11</f>
        <v>1106.2195</v>
      </c>
      <c r="P438" s="183" t="n">
        <f aca="false">MROUND(N438+O438,10)</f>
        <v>6640</v>
      </c>
      <c r="Q438" s="12" t="n">
        <f aca="false">'Fleet Pricing'!H438</f>
        <v>3780</v>
      </c>
      <c r="R438" s="41" t="n">
        <v>17</v>
      </c>
      <c r="S438" s="46" t="n">
        <v>1.95</v>
      </c>
      <c r="T438" s="46" t="n">
        <v>2.1</v>
      </c>
      <c r="U438" s="46" t="n">
        <v>0.55</v>
      </c>
    </row>
    <row r="439" customFormat="false" ht="15" hidden="false" customHeight="true" outlineLevel="0" collapsed="false">
      <c r="A439" s="9" t="n">
        <v>411</v>
      </c>
      <c r="B439" s="47" t="s">
        <v>139</v>
      </c>
      <c r="C439" s="47" t="s">
        <v>2465</v>
      </c>
      <c r="D439" s="47" t="s">
        <v>1194</v>
      </c>
      <c r="E439" s="47"/>
      <c r="F439" s="45" t="s">
        <v>392</v>
      </c>
      <c r="G439" s="9" t="n">
        <v>17</v>
      </c>
      <c r="H439" s="12" t="n">
        <f aca="false">'Engineering Assumptions'!$C$41*'Engineering Assumptions'!$B$5*U439</f>
        <v>3151.5</v>
      </c>
      <c r="I439" s="12" t="n">
        <f aca="false">'Engineering Assumptions'!$B$8</f>
        <v>650</v>
      </c>
      <c r="J439" s="12" t="n">
        <f aca="false">'Engineering Assumptions'!$D$41*S439*U439</f>
        <v>407.55</v>
      </c>
      <c r="K439" s="12" t="n">
        <f aca="false">'Engineering Assumptions'!$E$41*T439*U439</f>
        <v>600.6</v>
      </c>
      <c r="L439" s="13" t="n">
        <f aca="false">H439+I439+J439+K439</f>
        <v>4809.65</v>
      </c>
      <c r="M439" s="12" t="n">
        <f aca="false">L439*'Engineering Assumptions'!$B$10</f>
        <v>721.4475</v>
      </c>
      <c r="N439" s="13" t="n">
        <f aca="false">L439+M439</f>
        <v>5531.0975</v>
      </c>
      <c r="O439" s="12" t="n">
        <f aca="false">N439*'Engineering Assumptions'!$B$11</f>
        <v>1106.2195</v>
      </c>
      <c r="P439" s="183" t="n">
        <f aca="false">MROUND(N439+O439,10)</f>
        <v>6640</v>
      </c>
      <c r="Q439" s="12" t="n">
        <f aca="false">'Fleet Pricing'!H439</f>
        <v>3780</v>
      </c>
      <c r="R439" s="41" t="n">
        <v>17</v>
      </c>
      <c r="S439" s="46" t="n">
        <v>1.95</v>
      </c>
      <c r="T439" s="46" t="n">
        <v>2.1</v>
      </c>
      <c r="U439" s="46" t="n">
        <v>0.55</v>
      </c>
    </row>
    <row r="440" customFormat="false" ht="15" hidden="false" customHeight="true" outlineLevel="0" collapsed="false">
      <c r="A440" s="9" t="n">
        <v>412</v>
      </c>
      <c r="B440" s="47" t="s">
        <v>139</v>
      </c>
      <c r="C440" s="47" t="s">
        <v>2466</v>
      </c>
      <c r="D440" s="47" t="s">
        <v>1196</v>
      </c>
      <c r="E440" s="47"/>
      <c r="F440" s="45" t="s">
        <v>392</v>
      </c>
      <c r="G440" s="9" t="n">
        <v>17</v>
      </c>
      <c r="H440" s="12" t="n">
        <f aca="false">'Engineering Assumptions'!$C$41*'Engineering Assumptions'!$B$5*U440</f>
        <v>5730</v>
      </c>
      <c r="I440" s="12" t="n">
        <f aca="false">'Engineering Assumptions'!$B$8</f>
        <v>650</v>
      </c>
      <c r="J440" s="12" t="n">
        <f aca="false">'Engineering Assumptions'!$D$41*S440*U440</f>
        <v>741</v>
      </c>
      <c r="K440" s="12" t="n">
        <f aca="false">'Engineering Assumptions'!$E$41*T440*U440</f>
        <v>1092</v>
      </c>
      <c r="L440" s="13" t="n">
        <f aca="false">H440+I440+J440+K440</f>
        <v>8213</v>
      </c>
      <c r="M440" s="12" t="n">
        <f aca="false">L440*'Engineering Assumptions'!$B$10</f>
        <v>1231.95</v>
      </c>
      <c r="N440" s="13" t="n">
        <f aca="false">L440+M440</f>
        <v>9444.95</v>
      </c>
      <c r="O440" s="12" t="n">
        <f aca="false">N440*'Engineering Assumptions'!$B$11</f>
        <v>1888.99</v>
      </c>
      <c r="P440" s="183" t="n">
        <f aca="false">MROUND(N440+O440,10)</f>
        <v>11330</v>
      </c>
      <c r="Q440" s="12" t="n">
        <f aca="false">'Fleet Pricing'!H440</f>
        <v>6880</v>
      </c>
      <c r="R440" s="41" t="n">
        <v>17</v>
      </c>
      <c r="S440" s="46" t="n">
        <v>1.95</v>
      </c>
      <c r="T440" s="46" t="n">
        <v>2.1</v>
      </c>
      <c r="U440" s="46" t="n">
        <v>1</v>
      </c>
    </row>
    <row r="441" customFormat="false" ht="15" hidden="false" customHeight="true" outlineLevel="0" collapsed="false">
      <c r="A441" s="9" t="n">
        <v>413</v>
      </c>
      <c r="B441" s="47" t="s">
        <v>139</v>
      </c>
      <c r="C441" s="47" t="s">
        <v>2467</v>
      </c>
      <c r="D441" s="47" t="s">
        <v>1198</v>
      </c>
      <c r="E441" s="47"/>
      <c r="F441" s="45" t="s">
        <v>392</v>
      </c>
      <c r="G441" s="9" t="n">
        <v>17</v>
      </c>
      <c r="H441" s="12" t="n">
        <f aca="false">'Engineering Assumptions'!$C$41*'Engineering Assumptions'!$B$5*U441</f>
        <v>3151.5</v>
      </c>
      <c r="I441" s="12" t="n">
        <f aca="false">'Engineering Assumptions'!$B$8</f>
        <v>650</v>
      </c>
      <c r="J441" s="12" t="n">
        <f aca="false">'Engineering Assumptions'!$D$41*S441*U441</f>
        <v>407.55</v>
      </c>
      <c r="K441" s="12" t="n">
        <f aca="false">'Engineering Assumptions'!$E$41*T441*U441</f>
        <v>600.6</v>
      </c>
      <c r="L441" s="13" t="n">
        <f aca="false">H441+I441+J441+K441</f>
        <v>4809.65</v>
      </c>
      <c r="M441" s="12" t="n">
        <f aca="false">L441*'Engineering Assumptions'!$B$10</f>
        <v>721.4475</v>
      </c>
      <c r="N441" s="13" t="n">
        <f aca="false">L441+M441</f>
        <v>5531.0975</v>
      </c>
      <c r="O441" s="12" t="n">
        <f aca="false">N441*'Engineering Assumptions'!$B$11</f>
        <v>1106.2195</v>
      </c>
      <c r="P441" s="183" t="n">
        <f aca="false">MROUND(N441+O441,10)</f>
        <v>6640</v>
      </c>
      <c r="Q441" s="12" t="n">
        <f aca="false">'Fleet Pricing'!H441</f>
        <v>3780</v>
      </c>
      <c r="R441" s="41" t="n">
        <v>17</v>
      </c>
      <c r="S441" s="46" t="n">
        <v>1.95</v>
      </c>
      <c r="T441" s="46" t="n">
        <v>2.1</v>
      </c>
      <c r="U441" s="46" t="n">
        <v>0.55</v>
      </c>
    </row>
    <row r="442" customFormat="false" ht="15" hidden="false" customHeight="true" outlineLevel="0" collapsed="false">
      <c r="A442" s="9" t="n">
        <v>414</v>
      </c>
      <c r="B442" s="47" t="s">
        <v>139</v>
      </c>
      <c r="C442" s="47" t="s">
        <v>2313</v>
      </c>
      <c r="D442" s="47" t="s">
        <v>1200</v>
      </c>
      <c r="E442" s="47"/>
      <c r="F442" s="45" t="s">
        <v>472</v>
      </c>
      <c r="G442" s="9" t="n">
        <v>30</v>
      </c>
      <c r="H442" s="12" t="n">
        <f aca="false">'Engineering Assumptions'!$C$41*'Engineering Assumptions'!$B$5*U442</f>
        <v>5730</v>
      </c>
      <c r="I442" s="12" t="n">
        <f aca="false">'Engineering Assumptions'!$B$8</f>
        <v>650</v>
      </c>
      <c r="J442" s="12" t="n">
        <f aca="false">'Engineering Assumptions'!$D$41*S442*U442</f>
        <v>912</v>
      </c>
      <c r="K442" s="12" t="n">
        <f aca="false">'Engineering Assumptions'!$E$41*T442*U442</f>
        <v>1560</v>
      </c>
      <c r="L442" s="13" t="n">
        <f aca="false">H442+I442+J442+K442</f>
        <v>8852</v>
      </c>
      <c r="M442" s="12" t="n">
        <f aca="false">L442*'Engineering Assumptions'!$B$10</f>
        <v>1327.8</v>
      </c>
      <c r="N442" s="13" t="n">
        <f aca="false">L442+M442</f>
        <v>10179.8</v>
      </c>
      <c r="O442" s="12" t="n">
        <f aca="false">N442*'Engineering Assumptions'!$B$11</f>
        <v>2035.96</v>
      </c>
      <c r="P442" s="183" t="n">
        <f aca="false">MROUND(N442+O442,10)</f>
        <v>12220</v>
      </c>
      <c r="Q442" s="12" t="n">
        <f aca="false">'Fleet Pricing'!H442</f>
        <v>5540</v>
      </c>
      <c r="R442" s="41" t="n">
        <v>30</v>
      </c>
      <c r="S442" s="46" t="n">
        <v>2.4</v>
      </c>
      <c r="T442" s="46" t="n">
        <v>3</v>
      </c>
      <c r="U442" s="46" t="n">
        <v>1</v>
      </c>
    </row>
    <row r="443" customFormat="false" ht="15" hidden="false" customHeight="true" outlineLevel="0" collapsed="false">
      <c r="A443" s="9" t="n">
        <v>415</v>
      </c>
      <c r="B443" s="47" t="s">
        <v>139</v>
      </c>
      <c r="C443" s="47" t="s">
        <v>2468</v>
      </c>
      <c r="D443" s="47" t="s">
        <v>1143</v>
      </c>
      <c r="E443" s="47" t="n">
        <v>14160</v>
      </c>
      <c r="F443" s="45" t="s">
        <v>472</v>
      </c>
      <c r="G443" s="9" t="n">
        <v>30</v>
      </c>
      <c r="H443" s="12" t="n">
        <f aca="false">'Engineering Assumptions'!$C$41*'Engineering Assumptions'!$B$5*U443</f>
        <v>7449</v>
      </c>
      <c r="I443" s="12" t="n">
        <f aca="false">'Engineering Assumptions'!$B$8</f>
        <v>650</v>
      </c>
      <c r="J443" s="12" t="n">
        <f aca="false">'Engineering Assumptions'!$D$41*S443*U443</f>
        <v>1185.6</v>
      </c>
      <c r="K443" s="12" t="n">
        <f aca="false">'Engineering Assumptions'!$E$41*T443*U443</f>
        <v>2028</v>
      </c>
      <c r="L443" s="13" t="n">
        <f aca="false">H443+I443+J443+K443</f>
        <v>11312.6</v>
      </c>
      <c r="M443" s="12" t="n">
        <f aca="false">L443*'Engineering Assumptions'!$B$10</f>
        <v>1696.89</v>
      </c>
      <c r="N443" s="13" t="n">
        <f aca="false">L443+M443</f>
        <v>13009.49</v>
      </c>
      <c r="O443" s="12" t="n">
        <f aca="false">N443*'Engineering Assumptions'!$B$11</f>
        <v>2601.898</v>
      </c>
      <c r="P443" s="183" t="n">
        <f aca="false">MROUND(N443+O443,10)</f>
        <v>15610</v>
      </c>
      <c r="Q443" s="12" t="n">
        <f aca="false">'Fleet Pricing'!H443</f>
        <v>7200</v>
      </c>
      <c r="R443" s="41" t="n">
        <v>30</v>
      </c>
      <c r="S443" s="46" t="n">
        <v>2.4</v>
      </c>
      <c r="T443" s="46" t="n">
        <v>3</v>
      </c>
      <c r="U443" s="46" t="n">
        <v>1.3</v>
      </c>
    </row>
    <row r="444" customFormat="false" ht="15" hidden="false" customHeight="true" outlineLevel="0" collapsed="false">
      <c r="A444" s="9" t="n">
        <v>416</v>
      </c>
      <c r="B444" s="47" t="s">
        <v>139</v>
      </c>
      <c r="C444" s="47" t="s">
        <v>2469</v>
      </c>
      <c r="D444" s="47" t="s">
        <v>1146</v>
      </c>
      <c r="E444" s="47"/>
      <c r="F444" s="45" t="s">
        <v>472</v>
      </c>
      <c r="G444" s="9" t="n">
        <v>30</v>
      </c>
      <c r="H444" s="12" t="n">
        <f aca="false">'Engineering Assumptions'!$C$41*'Engineering Assumptions'!$B$5*U444</f>
        <v>3724.5</v>
      </c>
      <c r="I444" s="12" t="n">
        <f aca="false">'Engineering Assumptions'!$B$8</f>
        <v>650</v>
      </c>
      <c r="J444" s="12" t="n">
        <f aca="false">'Engineering Assumptions'!$D$41*S444*U444</f>
        <v>592.8</v>
      </c>
      <c r="K444" s="12" t="n">
        <f aca="false">'Engineering Assumptions'!$E$41*T444*U444</f>
        <v>1014</v>
      </c>
      <c r="L444" s="13" t="n">
        <f aca="false">H444+I444+J444+K444</f>
        <v>5981.3</v>
      </c>
      <c r="M444" s="12" t="n">
        <f aca="false">L444*'Engineering Assumptions'!$B$10</f>
        <v>897.195</v>
      </c>
      <c r="N444" s="13" t="n">
        <f aca="false">L444+M444</f>
        <v>6878.495</v>
      </c>
      <c r="O444" s="12" t="n">
        <f aca="false">N444*'Engineering Assumptions'!$B$11</f>
        <v>1375.699</v>
      </c>
      <c r="P444" s="183" t="n">
        <f aca="false">MROUND(N444+O444,10)</f>
        <v>8250</v>
      </c>
      <c r="Q444" s="12" t="n">
        <f aca="false">'Fleet Pricing'!H444</f>
        <v>3600</v>
      </c>
      <c r="R444" s="41" t="n">
        <v>30</v>
      </c>
      <c r="S444" s="46" t="n">
        <v>2.4</v>
      </c>
      <c r="T444" s="46" t="n">
        <v>3</v>
      </c>
      <c r="U444" s="46" t="n">
        <v>0.65</v>
      </c>
    </row>
    <row r="445" customFormat="false" ht="15" hidden="false" customHeight="true" outlineLevel="0" collapsed="false">
      <c r="A445" s="9" t="n">
        <v>417</v>
      </c>
      <c r="B445" s="47" t="s">
        <v>139</v>
      </c>
      <c r="C445" s="47" t="s">
        <v>2470</v>
      </c>
      <c r="D445" s="47" t="s">
        <v>1206</v>
      </c>
      <c r="E445" s="47"/>
      <c r="F445" s="45" t="s">
        <v>472</v>
      </c>
      <c r="G445" s="9" t="n">
        <v>30</v>
      </c>
      <c r="H445" s="12" t="n">
        <f aca="false">'Engineering Assumptions'!$C$41*'Engineering Assumptions'!$B$5*U445</f>
        <v>6303</v>
      </c>
      <c r="I445" s="12" t="n">
        <f aca="false">'Engineering Assumptions'!$B$8</f>
        <v>650</v>
      </c>
      <c r="J445" s="12" t="n">
        <f aca="false">'Engineering Assumptions'!$D$41*S445*U445</f>
        <v>1003.2</v>
      </c>
      <c r="K445" s="12" t="n">
        <f aca="false">'Engineering Assumptions'!$E$41*T445*U445</f>
        <v>1716</v>
      </c>
      <c r="L445" s="13" t="n">
        <f aca="false">H445+I445+J445+K445</f>
        <v>9672.2</v>
      </c>
      <c r="M445" s="12" t="n">
        <f aca="false">L445*'Engineering Assumptions'!$B$10</f>
        <v>1450.83</v>
      </c>
      <c r="N445" s="13" t="n">
        <f aca="false">L445+M445</f>
        <v>11123.03</v>
      </c>
      <c r="O445" s="12" t="n">
        <f aca="false">N445*'Engineering Assumptions'!$B$11</f>
        <v>2224.606</v>
      </c>
      <c r="P445" s="183" t="n">
        <f aca="false">MROUND(N445+O445,10)</f>
        <v>13350</v>
      </c>
      <c r="Q445" s="12" t="n">
        <f aca="false">'Fleet Pricing'!H445</f>
        <v>6090</v>
      </c>
      <c r="R445" s="41" t="n">
        <v>30</v>
      </c>
      <c r="S445" s="46" t="n">
        <v>2.4</v>
      </c>
      <c r="T445" s="46" t="n">
        <v>3</v>
      </c>
      <c r="U445" s="46" t="n">
        <v>1.1</v>
      </c>
    </row>
    <row r="446" customFormat="false" ht="15" hidden="false" customHeight="true" outlineLevel="0" collapsed="false">
      <c r="A446" s="9" t="n">
        <v>418</v>
      </c>
      <c r="B446" s="47" t="s">
        <v>139</v>
      </c>
      <c r="C446" s="47" t="s">
        <v>2471</v>
      </c>
      <c r="D446" s="47" t="s">
        <v>1209</v>
      </c>
      <c r="E446" s="47"/>
      <c r="F446" s="45" t="s">
        <v>472</v>
      </c>
      <c r="G446" s="9" t="n">
        <v>30</v>
      </c>
      <c r="H446" s="12" t="n">
        <f aca="false">'Engineering Assumptions'!$C$41*'Engineering Assumptions'!$B$5*U446</f>
        <v>7449</v>
      </c>
      <c r="I446" s="12" t="n">
        <f aca="false">'Engineering Assumptions'!$B$8</f>
        <v>650</v>
      </c>
      <c r="J446" s="12" t="n">
        <f aca="false">'Engineering Assumptions'!$D$41*S446*U446</f>
        <v>1185.6</v>
      </c>
      <c r="K446" s="12" t="n">
        <f aca="false">'Engineering Assumptions'!$E$41*T446*U446</f>
        <v>2028</v>
      </c>
      <c r="L446" s="13" t="n">
        <f aca="false">H446+I446+J446+K446</f>
        <v>11312.6</v>
      </c>
      <c r="M446" s="12" t="n">
        <f aca="false">L446*'Engineering Assumptions'!$B$10</f>
        <v>1696.89</v>
      </c>
      <c r="N446" s="13" t="n">
        <f aca="false">L446+M446</f>
        <v>13009.49</v>
      </c>
      <c r="O446" s="12" t="n">
        <f aca="false">N446*'Engineering Assumptions'!$B$11</f>
        <v>2601.898</v>
      </c>
      <c r="P446" s="183" t="n">
        <f aca="false">MROUND(N446+O446,10)</f>
        <v>15610</v>
      </c>
      <c r="Q446" s="12" t="n">
        <f aca="false">'Fleet Pricing'!H446</f>
        <v>7200</v>
      </c>
      <c r="R446" s="41" t="n">
        <v>30</v>
      </c>
      <c r="S446" s="46" t="n">
        <v>2.4</v>
      </c>
      <c r="T446" s="46" t="n">
        <v>3</v>
      </c>
      <c r="U446" s="46" t="n">
        <v>1.3</v>
      </c>
    </row>
    <row r="447" customFormat="false" ht="15" hidden="false" customHeight="true" outlineLevel="0" collapsed="false">
      <c r="A447" s="9" t="n">
        <v>419</v>
      </c>
      <c r="B447" s="47" t="s">
        <v>139</v>
      </c>
      <c r="C447" s="47" t="s">
        <v>2472</v>
      </c>
      <c r="D447" s="47" t="s">
        <v>1211</v>
      </c>
      <c r="E447" s="47"/>
      <c r="F447" s="45" t="s">
        <v>472</v>
      </c>
      <c r="G447" s="9" t="n">
        <v>30</v>
      </c>
      <c r="H447" s="12" t="n">
        <f aca="false">'Engineering Assumptions'!$C$41*'Engineering Assumptions'!$B$5*U447</f>
        <v>6303</v>
      </c>
      <c r="I447" s="12" t="n">
        <f aca="false">'Engineering Assumptions'!$B$8</f>
        <v>650</v>
      </c>
      <c r="J447" s="12" t="n">
        <f aca="false">'Engineering Assumptions'!$D$41*S447*U447</f>
        <v>1003.2</v>
      </c>
      <c r="K447" s="12" t="n">
        <f aca="false">'Engineering Assumptions'!$E$41*T447*U447</f>
        <v>1716</v>
      </c>
      <c r="L447" s="13" t="n">
        <f aca="false">H447+I447+J447+K447</f>
        <v>9672.2</v>
      </c>
      <c r="M447" s="12" t="n">
        <f aca="false">L447*'Engineering Assumptions'!$B$10</f>
        <v>1450.83</v>
      </c>
      <c r="N447" s="13" t="n">
        <f aca="false">L447+M447</f>
        <v>11123.03</v>
      </c>
      <c r="O447" s="12" t="n">
        <f aca="false">N447*'Engineering Assumptions'!$B$11</f>
        <v>2224.606</v>
      </c>
      <c r="P447" s="183" t="n">
        <f aca="false">MROUND(N447+O447,10)</f>
        <v>13350</v>
      </c>
      <c r="Q447" s="12" t="n">
        <f aca="false">'Fleet Pricing'!H447</f>
        <v>6090</v>
      </c>
      <c r="R447" s="41" t="n">
        <v>30</v>
      </c>
      <c r="S447" s="46" t="n">
        <v>2.4</v>
      </c>
      <c r="T447" s="46" t="n">
        <v>3</v>
      </c>
      <c r="U447" s="46" t="n">
        <v>1.1</v>
      </c>
    </row>
    <row r="448" customFormat="false" ht="15" hidden="false" customHeight="true" outlineLevel="0" collapsed="false">
      <c r="A448" s="9" t="n">
        <v>420</v>
      </c>
      <c r="B448" s="47" t="s">
        <v>139</v>
      </c>
      <c r="C448" s="47" t="s">
        <v>2473</v>
      </c>
      <c r="D448" s="47" t="s">
        <v>1213</v>
      </c>
      <c r="E448" s="47"/>
      <c r="F448" s="45" t="s">
        <v>472</v>
      </c>
      <c r="G448" s="9" t="n">
        <v>30</v>
      </c>
      <c r="H448" s="12" t="n">
        <f aca="false">'Engineering Assumptions'!$C$41*'Engineering Assumptions'!$B$5*U448</f>
        <v>4870.5</v>
      </c>
      <c r="I448" s="12" t="n">
        <f aca="false">'Engineering Assumptions'!$B$8</f>
        <v>650</v>
      </c>
      <c r="J448" s="12" t="n">
        <f aca="false">'Engineering Assumptions'!$D$41*S448*U448</f>
        <v>775.2</v>
      </c>
      <c r="K448" s="12" t="n">
        <f aca="false">'Engineering Assumptions'!$E$41*T448*U448</f>
        <v>1326</v>
      </c>
      <c r="L448" s="13" t="n">
        <f aca="false">H448+I448+J448+K448</f>
        <v>7621.7</v>
      </c>
      <c r="M448" s="12" t="n">
        <f aca="false">L448*'Engineering Assumptions'!$B$10</f>
        <v>1143.255</v>
      </c>
      <c r="N448" s="13" t="n">
        <f aca="false">L448+M448</f>
        <v>8764.955</v>
      </c>
      <c r="O448" s="12" t="n">
        <f aca="false">N448*'Engineering Assumptions'!$B$11</f>
        <v>1752.991</v>
      </c>
      <c r="P448" s="183" t="n">
        <f aca="false">MROUND(N448+O448,10)</f>
        <v>10520</v>
      </c>
      <c r="Q448" s="12" t="n">
        <f aca="false">'Fleet Pricing'!H448</f>
        <v>4710</v>
      </c>
      <c r="R448" s="41" t="n">
        <v>30</v>
      </c>
      <c r="S448" s="46" t="n">
        <v>2.4</v>
      </c>
      <c r="T448" s="46" t="n">
        <v>3</v>
      </c>
      <c r="U448" s="46" t="n">
        <v>0.85</v>
      </c>
    </row>
    <row r="449" customFormat="false" ht="15" hidden="false" customHeight="true" outlineLevel="0" collapsed="false">
      <c r="A449" s="9" t="n">
        <v>421</v>
      </c>
      <c r="B449" s="47" t="s">
        <v>139</v>
      </c>
      <c r="C449" s="47" t="s">
        <v>2474</v>
      </c>
      <c r="D449" s="47" t="s">
        <v>1216</v>
      </c>
      <c r="E449" s="47"/>
      <c r="F449" s="45" t="s">
        <v>472</v>
      </c>
      <c r="G449" s="9" t="n">
        <v>30</v>
      </c>
      <c r="H449" s="12" t="n">
        <f aca="false">'Engineering Assumptions'!$C$41*'Engineering Assumptions'!$B$5*U449</f>
        <v>6016.5</v>
      </c>
      <c r="I449" s="12" t="n">
        <f aca="false">'Engineering Assumptions'!$B$8</f>
        <v>650</v>
      </c>
      <c r="J449" s="12" t="n">
        <f aca="false">'Engineering Assumptions'!$D$41*S449*U449</f>
        <v>957.6</v>
      </c>
      <c r="K449" s="12" t="n">
        <f aca="false">'Engineering Assumptions'!$E$41*T449*U449</f>
        <v>1638</v>
      </c>
      <c r="L449" s="13" t="n">
        <f aca="false">H449+I449+J449+K449</f>
        <v>9262.1</v>
      </c>
      <c r="M449" s="12" t="n">
        <f aca="false">L449*'Engineering Assumptions'!$B$10</f>
        <v>1389.315</v>
      </c>
      <c r="N449" s="13" t="n">
        <f aca="false">L449+M449</f>
        <v>10651.415</v>
      </c>
      <c r="O449" s="12" t="n">
        <f aca="false">N449*'Engineering Assumptions'!$B$11</f>
        <v>2130.283</v>
      </c>
      <c r="P449" s="183" t="n">
        <f aca="false">MROUND(N449+O449,10)</f>
        <v>12780</v>
      </c>
      <c r="Q449" s="12" t="n">
        <f aca="false">'Fleet Pricing'!H449</f>
        <v>5820</v>
      </c>
      <c r="R449" s="41" t="n">
        <v>30</v>
      </c>
      <c r="S449" s="46" t="n">
        <v>2.4</v>
      </c>
      <c r="T449" s="46" t="n">
        <v>3</v>
      </c>
      <c r="U449" s="46" t="n">
        <v>1.05</v>
      </c>
    </row>
    <row r="450" customFormat="false" ht="15" hidden="false" customHeight="true" outlineLevel="0" collapsed="false">
      <c r="A450" s="42" t="s">
        <v>1219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</row>
    <row r="451" customFormat="false" ht="15" hidden="false" customHeight="true" outlineLevel="0" collapsed="false">
      <c r="A451" s="9" t="n">
        <v>422</v>
      </c>
      <c r="B451" s="47" t="s">
        <v>141</v>
      </c>
      <c r="C451" s="47" t="s">
        <v>2475</v>
      </c>
      <c r="D451" s="47" t="s">
        <v>1220</v>
      </c>
      <c r="E451" s="47" t="s">
        <v>1222</v>
      </c>
      <c r="F451" s="45" t="s">
        <v>450</v>
      </c>
      <c r="G451" s="9" t="n">
        <v>8</v>
      </c>
      <c r="H451" s="12" t="n">
        <f aca="false">'Engineering Assumptions'!$C$42*'Engineering Assumptions'!$B$5*U451</f>
        <v>1337</v>
      </c>
      <c r="I451" s="12" t="n">
        <f aca="false">'Engineering Assumptions'!$B$8</f>
        <v>650</v>
      </c>
      <c r="J451" s="12" t="n">
        <f aca="false">'Engineering Assumptions'!$D$42*S451*U451</f>
        <v>150</v>
      </c>
      <c r="K451" s="12" t="n">
        <f aca="false">'Engineering Assumptions'!$E$42*T451*U451</f>
        <v>112.5</v>
      </c>
      <c r="L451" s="13" t="n">
        <f aca="false">H451+I451+J451+K451</f>
        <v>2249.5</v>
      </c>
      <c r="M451" s="12" t="n">
        <f aca="false">L451*'Engineering Assumptions'!$B$10</f>
        <v>337.425</v>
      </c>
      <c r="N451" s="13" t="n">
        <f aca="false">L451+M451</f>
        <v>2586.925</v>
      </c>
      <c r="O451" s="12" t="n">
        <f aca="false">N451*'Engineering Assumptions'!$B$11</f>
        <v>517.385</v>
      </c>
      <c r="P451" s="183" t="n">
        <f aca="false">MROUND(N451+O451,10)</f>
        <v>3100</v>
      </c>
      <c r="Q451" s="12" t="n">
        <f aca="false">'Fleet Pricing'!H451</f>
        <v>2710</v>
      </c>
      <c r="R451" s="41" t="n">
        <v>8</v>
      </c>
      <c r="S451" s="46" t="n">
        <v>1.25</v>
      </c>
      <c r="T451" s="46" t="n">
        <v>0.75</v>
      </c>
      <c r="U451" s="46" t="n">
        <v>1</v>
      </c>
    </row>
    <row r="452" customFormat="false" ht="15" hidden="false" customHeight="true" outlineLevel="0" collapsed="false">
      <c r="A452" s="9" t="n">
        <v>423</v>
      </c>
      <c r="B452" s="47" t="s">
        <v>141</v>
      </c>
      <c r="C452" s="47" t="s">
        <v>2430</v>
      </c>
      <c r="D452" s="47" t="s">
        <v>1223</v>
      </c>
      <c r="E452" s="47" t="s">
        <v>1224</v>
      </c>
      <c r="F452" s="45" t="s">
        <v>748</v>
      </c>
      <c r="G452" s="9" t="n">
        <v>15</v>
      </c>
      <c r="H452" s="12" t="n">
        <f aca="false">'Engineering Assumptions'!$C$42*'Engineering Assumptions'!$B$5*U452</f>
        <v>1337</v>
      </c>
      <c r="I452" s="12" t="n">
        <f aca="false">'Engineering Assumptions'!$B$8</f>
        <v>650</v>
      </c>
      <c r="J452" s="12" t="n">
        <f aca="false">'Engineering Assumptions'!$D$42*S452*U452</f>
        <v>186</v>
      </c>
      <c r="K452" s="12" t="n">
        <f aca="false">'Engineering Assumptions'!$E$42*T452*U452</f>
        <v>202.5</v>
      </c>
      <c r="L452" s="13" t="n">
        <f aca="false">H452+I452+J452+K452</f>
        <v>2375.5</v>
      </c>
      <c r="M452" s="12" t="n">
        <f aca="false">L452*'Engineering Assumptions'!$B$10</f>
        <v>356.325</v>
      </c>
      <c r="N452" s="13" t="n">
        <f aca="false">L452+M452</f>
        <v>2731.825</v>
      </c>
      <c r="O452" s="12" t="n">
        <f aca="false">N452*'Engineering Assumptions'!$B$11</f>
        <v>546.365</v>
      </c>
      <c r="P452" s="183" t="n">
        <f aca="false">MROUND(N452+O452,10)</f>
        <v>3280</v>
      </c>
      <c r="Q452" s="12" t="n">
        <f aca="false">'Fleet Pricing'!H452</f>
        <v>2420</v>
      </c>
      <c r="R452" s="41" t="n">
        <v>15</v>
      </c>
      <c r="S452" s="46" t="n">
        <v>1.55</v>
      </c>
      <c r="T452" s="46" t="n">
        <v>1.35</v>
      </c>
      <c r="U452" s="46" t="n">
        <v>1</v>
      </c>
    </row>
    <row r="453" customFormat="false" ht="15" hidden="false" customHeight="true" outlineLevel="0" collapsed="false">
      <c r="A453" s="9" t="n">
        <v>424</v>
      </c>
      <c r="B453" s="47" t="s">
        <v>141</v>
      </c>
      <c r="C453" s="47" t="s">
        <v>2476</v>
      </c>
      <c r="D453" s="47" t="s">
        <v>1225</v>
      </c>
      <c r="E453" s="47" t="s">
        <v>1091</v>
      </c>
      <c r="F453" s="45" t="s">
        <v>729</v>
      </c>
      <c r="G453" s="9" t="n">
        <v>21</v>
      </c>
      <c r="H453" s="12" t="n">
        <f aca="false">'Engineering Assumptions'!$C$42*'Engineering Assumptions'!$B$5*U453</f>
        <v>1337</v>
      </c>
      <c r="I453" s="12" t="n">
        <f aca="false">'Engineering Assumptions'!$B$8</f>
        <v>650</v>
      </c>
      <c r="J453" s="12" t="n">
        <f aca="false">'Engineering Assumptions'!$D$42*S453*U453</f>
        <v>288</v>
      </c>
      <c r="K453" s="12" t="n">
        <f aca="false">'Engineering Assumptions'!$E$42*T453*U453</f>
        <v>450</v>
      </c>
      <c r="L453" s="13" t="n">
        <f aca="false">H453+I453+J453+K453</f>
        <v>2725</v>
      </c>
      <c r="M453" s="12" t="n">
        <f aca="false">L453*'Engineering Assumptions'!$B$10</f>
        <v>408.75</v>
      </c>
      <c r="N453" s="13" t="n">
        <f aca="false">L453+M453</f>
        <v>3133.75</v>
      </c>
      <c r="O453" s="12" t="n">
        <f aca="false">N453*'Engineering Assumptions'!$B$11</f>
        <v>626.75</v>
      </c>
      <c r="P453" s="183" t="n">
        <f aca="false">MROUND(N453+O453,10)</f>
        <v>3760</v>
      </c>
      <c r="Q453" s="12" t="n">
        <f aca="false">'Fleet Pricing'!H453</f>
        <v>2120</v>
      </c>
      <c r="R453" s="41" t="n">
        <v>21</v>
      </c>
      <c r="S453" s="46" t="n">
        <v>2.4</v>
      </c>
      <c r="T453" s="46" t="n">
        <v>3</v>
      </c>
      <c r="U453" s="46" t="n">
        <v>1</v>
      </c>
    </row>
    <row r="454" customFormat="false" ht="15" hidden="false" customHeight="true" outlineLevel="0" collapsed="false">
      <c r="A454" s="9" t="n">
        <v>425</v>
      </c>
      <c r="B454" s="47" t="s">
        <v>141</v>
      </c>
      <c r="C454" s="47" t="s">
        <v>2476</v>
      </c>
      <c r="D454" s="47" t="s">
        <v>1226</v>
      </c>
      <c r="E454" s="47" t="s">
        <v>1097</v>
      </c>
      <c r="F454" s="45" t="s">
        <v>423</v>
      </c>
      <c r="G454" s="9" t="n">
        <v>23</v>
      </c>
      <c r="H454" s="12" t="n">
        <f aca="false">'Engineering Assumptions'!$C$42*'Engineering Assumptions'!$B$5*U454</f>
        <v>1337</v>
      </c>
      <c r="I454" s="12" t="n">
        <f aca="false">'Engineering Assumptions'!$B$8</f>
        <v>650</v>
      </c>
      <c r="J454" s="12" t="n">
        <f aca="false">'Engineering Assumptions'!$D$42*S454*U454</f>
        <v>288</v>
      </c>
      <c r="K454" s="12" t="n">
        <f aca="false">'Engineering Assumptions'!$E$42*T454*U454</f>
        <v>450</v>
      </c>
      <c r="L454" s="13" t="n">
        <f aca="false">H454+I454+J454+K454</f>
        <v>2725</v>
      </c>
      <c r="M454" s="12" t="n">
        <f aca="false">L454*'Engineering Assumptions'!$B$10</f>
        <v>408.75</v>
      </c>
      <c r="N454" s="13" t="n">
        <f aca="false">L454+M454</f>
        <v>3133.75</v>
      </c>
      <c r="O454" s="12" t="n">
        <f aca="false">N454*'Engineering Assumptions'!$B$11</f>
        <v>626.75</v>
      </c>
      <c r="P454" s="183" t="n">
        <f aca="false">MROUND(N454+O454,10)</f>
        <v>3760</v>
      </c>
      <c r="Q454" s="12" t="n">
        <f aca="false">'Fleet Pricing'!H454</f>
        <v>1920</v>
      </c>
      <c r="R454" s="41" t="n">
        <v>23</v>
      </c>
      <c r="S454" s="46" t="n">
        <v>2.4</v>
      </c>
      <c r="T454" s="46" t="n">
        <v>3</v>
      </c>
      <c r="U454" s="46" t="n">
        <v>1</v>
      </c>
    </row>
    <row r="455" customFormat="false" ht="23.25" hidden="false" customHeight="true" outlineLevel="0" collapsed="false">
      <c r="A455" s="9" t="n">
        <v>426</v>
      </c>
      <c r="B455" s="47" t="s">
        <v>141</v>
      </c>
      <c r="C455" s="47" t="s">
        <v>2477</v>
      </c>
      <c r="D455" s="47" t="s">
        <v>1227</v>
      </c>
      <c r="E455" s="47" t="s">
        <v>1229</v>
      </c>
      <c r="F455" s="45" t="s">
        <v>428</v>
      </c>
      <c r="G455" s="9" t="n">
        <v>26</v>
      </c>
      <c r="H455" s="12" t="n">
        <f aca="false">'Engineering Assumptions'!$C$42*'Engineering Assumptions'!$B$5*U455</f>
        <v>1337</v>
      </c>
      <c r="I455" s="12" t="n">
        <f aca="false">'Engineering Assumptions'!$B$8</f>
        <v>650</v>
      </c>
      <c r="J455" s="12" t="n">
        <f aca="false">'Engineering Assumptions'!$D$42*S455*U455</f>
        <v>288</v>
      </c>
      <c r="K455" s="12" t="n">
        <f aca="false">'Engineering Assumptions'!$E$42*T455*U455</f>
        <v>450</v>
      </c>
      <c r="L455" s="13" t="n">
        <f aca="false">H455+I455+J455+K455</f>
        <v>2725</v>
      </c>
      <c r="M455" s="12" t="n">
        <f aca="false">L455*'Engineering Assumptions'!$B$10</f>
        <v>408.75</v>
      </c>
      <c r="N455" s="13" t="n">
        <f aca="false">L455+M455</f>
        <v>3133.75</v>
      </c>
      <c r="O455" s="12" t="n">
        <f aca="false">N455*'Engineering Assumptions'!$B$11</f>
        <v>626.75</v>
      </c>
      <c r="P455" s="183" t="n">
        <f aca="false">MROUND(N455+O455,10)</f>
        <v>3760</v>
      </c>
      <c r="Q455" s="12" t="n">
        <f aca="false">'Fleet Pricing'!H455</f>
        <v>1920</v>
      </c>
      <c r="R455" s="41" t="n">
        <v>26</v>
      </c>
      <c r="S455" s="46" t="n">
        <v>2.4</v>
      </c>
      <c r="T455" s="46" t="n">
        <v>3</v>
      </c>
      <c r="U455" s="46" t="n">
        <v>1</v>
      </c>
    </row>
    <row r="456" customFormat="false" ht="15" hidden="false" customHeight="true" outlineLevel="0" collapsed="false">
      <c r="A456" s="9" t="n">
        <v>427</v>
      </c>
      <c r="B456" s="47" t="s">
        <v>141</v>
      </c>
      <c r="C456" s="47" t="s">
        <v>2478</v>
      </c>
      <c r="D456" s="47" t="s">
        <v>1230</v>
      </c>
      <c r="E456" s="47" t="s">
        <v>1232</v>
      </c>
      <c r="F456" s="45" t="s">
        <v>829</v>
      </c>
      <c r="G456" s="9" t="n">
        <v>29</v>
      </c>
      <c r="H456" s="12" t="n">
        <f aca="false">'Engineering Assumptions'!$C$42*'Engineering Assumptions'!$B$5*U456</f>
        <v>1337</v>
      </c>
      <c r="I456" s="12" t="n">
        <f aca="false">'Engineering Assumptions'!$B$8</f>
        <v>650</v>
      </c>
      <c r="J456" s="12" t="n">
        <f aca="false">'Engineering Assumptions'!$D$42*S456*U456</f>
        <v>288</v>
      </c>
      <c r="K456" s="12" t="n">
        <f aca="false">'Engineering Assumptions'!$E$42*T456*U456</f>
        <v>450</v>
      </c>
      <c r="L456" s="13" t="n">
        <f aca="false">H456+I456+J456+K456</f>
        <v>2725</v>
      </c>
      <c r="M456" s="12" t="n">
        <f aca="false">L456*'Engineering Assumptions'!$B$10</f>
        <v>408.75</v>
      </c>
      <c r="N456" s="13" t="n">
        <f aca="false">L456+M456</f>
        <v>3133.75</v>
      </c>
      <c r="O456" s="12" t="n">
        <f aca="false">N456*'Engineering Assumptions'!$B$11</f>
        <v>626.75</v>
      </c>
      <c r="P456" s="183" t="n">
        <f aca="false">MROUND(N456+O456,10)</f>
        <v>3760</v>
      </c>
      <c r="Q456" s="12" t="n">
        <f aca="false">'Fleet Pricing'!H456</f>
        <v>1710</v>
      </c>
      <c r="R456" s="41" t="n">
        <v>29</v>
      </c>
      <c r="S456" s="46" t="n">
        <v>2.4</v>
      </c>
      <c r="T456" s="46" t="n">
        <v>3</v>
      </c>
      <c r="U456" s="46" t="n">
        <v>1</v>
      </c>
    </row>
    <row r="457" customFormat="false" ht="15" hidden="false" customHeight="true" outlineLevel="0" collapsed="false">
      <c r="A457" s="9" t="n">
        <v>428</v>
      </c>
      <c r="B457" s="47" t="s">
        <v>141</v>
      </c>
      <c r="C457" s="47" t="s">
        <v>2479</v>
      </c>
      <c r="D457" s="47" t="s">
        <v>1233</v>
      </c>
      <c r="E457" s="47" t="s">
        <v>1235</v>
      </c>
      <c r="F457" s="45" t="s">
        <v>444</v>
      </c>
      <c r="G457" s="9" t="n">
        <v>35</v>
      </c>
      <c r="H457" s="12" t="n">
        <f aca="false">'Engineering Assumptions'!$C$42*'Engineering Assumptions'!$B$5*U457</f>
        <v>1337</v>
      </c>
      <c r="I457" s="12" t="n">
        <f aca="false">'Engineering Assumptions'!$B$8</f>
        <v>650</v>
      </c>
      <c r="J457" s="12" t="n">
        <f aca="false">'Engineering Assumptions'!$D$42*S457*U457</f>
        <v>288</v>
      </c>
      <c r="K457" s="12" t="n">
        <f aca="false">'Engineering Assumptions'!$E$42*T457*U457</f>
        <v>450</v>
      </c>
      <c r="L457" s="13" t="n">
        <f aca="false">H457+I457+J457+K457</f>
        <v>2725</v>
      </c>
      <c r="M457" s="12" t="n">
        <f aca="false">L457*'Engineering Assumptions'!$B$10</f>
        <v>408.75</v>
      </c>
      <c r="N457" s="13" t="n">
        <f aca="false">L457+M457</f>
        <v>3133.75</v>
      </c>
      <c r="O457" s="12" t="n">
        <f aca="false">N457*'Engineering Assumptions'!$B$11</f>
        <v>626.75</v>
      </c>
      <c r="P457" s="183" t="n">
        <f aca="false">MROUND(N457+O457,10)</f>
        <v>3760</v>
      </c>
      <c r="Q457" s="12" t="n">
        <f aca="false">'Fleet Pricing'!H457</f>
        <v>1710</v>
      </c>
      <c r="R457" s="41" t="n">
        <v>35</v>
      </c>
      <c r="S457" s="46" t="n">
        <v>2.4</v>
      </c>
      <c r="T457" s="46" t="n">
        <v>3</v>
      </c>
      <c r="U457" s="46" t="n">
        <v>1</v>
      </c>
    </row>
    <row r="458" customFormat="false" ht="15" hidden="false" customHeight="true" outlineLevel="0" collapsed="false">
      <c r="A458" s="9" t="n">
        <v>429</v>
      </c>
      <c r="B458" s="47" t="s">
        <v>141</v>
      </c>
      <c r="C458" s="47" t="s">
        <v>2313</v>
      </c>
      <c r="D458" s="47" t="s">
        <v>1236</v>
      </c>
      <c r="E458" s="47"/>
      <c r="F458" s="45" t="s">
        <v>472</v>
      </c>
      <c r="G458" s="9" t="n">
        <v>30</v>
      </c>
      <c r="H458" s="12" t="n">
        <f aca="false">'Engineering Assumptions'!$C$42*'Engineering Assumptions'!$B$5*U458</f>
        <v>1337</v>
      </c>
      <c r="I458" s="12" t="n">
        <f aca="false">'Engineering Assumptions'!$B$8</f>
        <v>650</v>
      </c>
      <c r="J458" s="12" t="n">
        <f aca="false">'Engineering Assumptions'!$D$42*S458*U458</f>
        <v>288</v>
      </c>
      <c r="K458" s="12" t="n">
        <f aca="false">'Engineering Assumptions'!$E$42*T458*U458</f>
        <v>450</v>
      </c>
      <c r="L458" s="13" t="n">
        <f aca="false">H458+I458+J458+K458</f>
        <v>2725</v>
      </c>
      <c r="M458" s="12" t="n">
        <f aca="false">L458*'Engineering Assumptions'!$B$10</f>
        <v>408.75</v>
      </c>
      <c r="N458" s="13" t="n">
        <f aca="false">L458+M458</f>
        <v>3133.75</v>
      </c>
      <c r="O458" s="12" t="n">
        <f aca="false">N458*'Engineering Assumptions'!$B$11</f>
        <v>626.75</v>
      </c>
      <c r="P458" s="183" t="n">
        <f aca="false">MROUND(N458+O458,10)</f>
        <v>3760</v>
      </c>
      <c r="Q458" s="12" t="n">
        <f aca="false">'Fleet Pricing'!H458</f>
        <v>1710</v>
      </c>
      <c r="R458" s="41" t="n">
        <v>30</v>
      </c>
      <c r="S458" s="46" t="n">
        <v>2.4</v>
      </c>
      <c r="T458" s="46" t="n">
        <v>3</v>
      </c>
      <c r="U458" s="46" t="n">
        <v>1</v>
      </c>
    </row>
    <row r="459" customFormat="false" ht="15" hidden="false" customHeight="true" outlineLevel="0" collapsed="false">
      <c r="A459" s="9" t="n">
        <v>430</v>
      </c>
      <c r="B459" s="47" t="s">
        <v>141</v>
      </c>
      <c r="C459" s="47" t="s">
        <v>2313</v>
      </c>
      <c r="D459" s="47" t="s">
        <v>1237</v>
      </c>
      <c r="E459" s="47" t="s">
        <v>1238</v>
      </c>
      <c r="F459" s="45" t="s">
        <v>472</v>
      </c>
      <c r="G459" s="9" t="n">
        <v>30</v>
      </c>
      <c r="H459" s="12" t="n">
        <f aca="false">'Engineering Assumptions'!$C$42*'Engineering Assumptions'!$B$5*U459</f>
        <v>1337</v>
      </c>
      <c r="I459" s="12" t="n">
        <f aca="false">'Engineering Assumptions'!$B$8</f>
        <v>650</v>
      </c>
      <c r="J459" s="12" t="n">
        <f aca="false">'Engineering Assumptions'!$D$42*S459*U459</f>
        <v>288</v>
      </c>
      <c r="K459" s="12" t="n">
        <f aca="false">'Engineering Assumptions'!$E$42*T459*U459</f>
        <v>450</v>
      </c>
      <c r="L459" s="13" t="n">
        <f aca="false">H459+I459+J459+K459</f>
        <v>2725</v>
      </c>
      <c r="M459" s="12" t="n">
        <f aca="false">L459*'Engineering Assumptions'!$B$10</f>
        <v>408.75</v>
      </c>
      <c r="N459" s="13" t="n">
        <f aca="false">L459+M459</f>
        <v>3133.75</v>
      </c>
      <c r="O459" s="12" t="n">
        <f aca="false">N459*'Engineering Assumptions'!$B$11</f>
        <v>626.75</v>
      </c>
      <c r="P459" s="183" t="n">
        <f aca="false">MROUND(N459+O459,10)</f>
        <v>3760</v>
      </c>
      <c r="Q459" s="12" t="n">
        <f aca="false">'Fleet Pricing'!H459</f>
        <v>1710</v>
      </c>
      <c r="R459" s="41" t="n">
        <v>30</v>
      </c>
      <c r="S459" s="46" t="n">
        <v>2.4</v>
      </c>
      <c r="T459" s="46" t="n">
        <v>3</v>
      </c>
      <c r="U459" s="46" t="n">
        <v>1</v>
      </c>
    </row>
    <row r="460" customFormat="false" ht="15" hidden="false" customHeight="true" outlineLevel="0" collapsed="false">
      <c r="A460" s="9" t="n">
        <v>431</v>
      </c>
      <c r="B460" s="47" t="s">
        <v>141</v>
      </c>
      <c r="C460" s="47" t="s">
        <v>2313</v>
      </c>
      <c r="D460" s="47" t="s">
        <v>1241</v>
      </c>
      <c r="E460" s="47" t="s">
        <v>1242</v>
      </c>
      <c r="F460" s="45" t="s">
        <v>472</v>
      </c>
      <c r="G460" s="9" t="n">
        <v>30</v>
      </c>
      <c r="H460" s="12" t="n">
        <f aca="false">'Engineering Assumptions'!$C$42*'Engineering Assumptions'!$B$5*U460</f>
        <v>1337</v>
      </c>
      <c r="I460" s="12" t="n">
        <f aca="false">'Engineering Assumptions'!$B$8</f>
        <v>650</v>
      </c>
      <c r="J460" s="12" t="n">
        <f aca="false">'Engineering Assumptions'!$D$42*S460*U460</f>
        <v>288</v>
      </c>
      <c r="K460" s="12" t="n">
        <f aca="false">'Engineering Assumptions'!$E$42*T460*U460</f>
        <v>450</v>
      </c>
      <c r="L460" s="13" t="n">
        <f aca="false">H460+I460+J460+K460</f>
        <v>2725</v>
      </c>
      <c r="M460" s="12" t="n">
        <f aca="false">L460*'Engineering Assumptions'!$B$10</f>
        <v>408.75</v>
      </c>
      <c r="N460" s="13" t="n">
        <f aca="false">L460+M460</f>
        <v>3133.75</v>
      </c>
      <c r="O460" s="12" t="n">
        <f aca="false">N460*'Engineering Assumptions'!$B$11</f>
        <v>626.75</v>
      </c>
      <c r="P460" s="183" t="n">
        <f aca="false">MROUND(N460+O460,10)</f>
        <v>3760</v>
      </c>
      <c r="Q460" s="12" t="n">
        <f aca="false">'Fleet Pricing'!H460</f>
        <v>1710</v>
      </c>
      <c r="R460" s="41" t="n">
        <v>30</v>
      </c>
      <c r="S460" s="46" t="n">
        <v>2.4</v>
      </c>
      <c r="T460" s="46" t="n">
        <v>3</v>
      </c>
      <c r="U460" s="46" t="n">
        <v>1</v>
      </c>
    </row>
    <row r="461" customFormat="false" ht="15" hidden="false" customHeight="true" outlineLevel="0" collapsed="false">
      <c r="A461" s="9" t="n">
        <v>432</v>
      </c>
      <c r="B461" s="47" t="s">
        <v>141</v>
      </c>
      <c r="C461" s="47" t="s">
        <v>2313</v>
      </c>
      <c r="D461" s="47" t="s">
        <v>1243</v>
      </c>
      <c r="E461" s="47" t="s">
        <v>1244</v>
      </c>
      <c r="F461" s="45" t="s">
        <v>472</v>
      </c>
      <c r="G461" s="9" t="n">
        <v>30</v>
      </c>
      <c r="H461" s="12" t="n">
        <f aca="false">'Engineering Assumptions'!$C$42*'Engineering Assumptions'!$B$5*U461</f>
        <v>1337</v>
      </c>
      <c r="I461" s="12" t="n">
        <f aca="false">'Engineering Assumptions'!$B$8</f>
        <v>650</v>
      </c>
      <c r="J461" s="12" t="n">
        <f aca="false">'Engineering Assumptions'!$D$42*S461*U461</f>
        <v>288</v>
      </c>
      <c r="K461" s="12" t="n">
        <f aca="false">'Engineering Assumptions'!$E$42*T461*U461</f>
        <v>450</v>
      </c>
      <c r="L461" s="13" t="n">
        <f aca="false">H461+I461+J461+K461</f>
        <v>2725</v>
      </c>
      <c r="M461" s="12" t="n">
        <f aca="false">L461*'Engineering Assumptions'!$B$10</f>
        <v>408.75</v>
      </c>
      <c r="N461" s="13" t="n">
        <f aca="false">L461+M461</f>
        <v>3133.75</v>
      </c>
      <c r="O461" s="12" t="n">
        <f aca="false">N461*'Engineering Assumptions'!$B$11</f>
        <v>626.75</v>
      </c>
      <c r="P461" s="183" t="n">
        <f aca="false">MROUND(N461+O461,10)</f>
        <v>3760</v>
      </c>
      <c r="Q461" s="12" t="n">
        <f aca="false">'Fleet Pricing'!H461</f>
        <v>1710</v>
      </c>
      <c r="R461" s="41" t="n">
        <v>30</v>
      </c>
      <c r="S461" s="46" t="n">
        <v>2.4</v>
      </c>
      <c r="T461" s="46" t="n">
        <v>3</v>
      </c>
      <c r="U461" s="46" t="n">
        <v>1</v>
      </c>
    </row>
    <row r="462" customFormat="false" ht="15" hidden="false" customHeight="true" outlineLevel="0" collapsed="false">
      <c r="A462" s="9" t="n">
        <v>433</v>
      </c>
      <c r="B462" s="47" t="s">
        <v>141</v>
      </c>
      <c r="C462" s="47" t="s">
        <v>2313</v>
      </c>
      <c r="D462" s="47" t="s">
        <v>1245</v>
      </c>
      <c r="E462" s="47" t="s">
        <v>1246</v>
      </c>
      <c r="F462" s="45" t="s">
        <v>472</v>
      </c>
      <c r="G462" s="9" t="n">
        <v>30</v>
      </c>
      <c r="H462" s="12" t="n">
        <f aca="false">'Engineering Assumptions'!$C$42*'Engineering Assumptions'!$B$5*U462</f>
        <v>1337</v>
      </c>
      <c r="I462" s="12" t="n">
        <f aca="false">'Engineering Assumptions'!$B$8</f>
        <v>650</v>
      </c>
      <c r="J462" s="12" t="n">
        <f aca="false">'Engineering Assumptions'!$D$42*S462*U462</f>
        <v>288</v>
      </c>
      <c r="K462" s="12" t="n">
        <f aca="false">'Engineering Assumptions'!$E$42*T462*U462</f>
        <v>450</v>
      </c>
      <c r="L462" s="13" t="n">
        <f aca="false">H462+I462+J462+K462</f>
        <v>2725</v>
      </c>
      <c r="M462" s="12" t="n">
        <f aca="false">L462*'Engineering Assumptions'!$B$10</f>
        <v>408.75</v>
      </c>
      <c r="N462" s="13" t="n">
        <f aca="false">L462+M462</f>
        <v>3133.75</v>
      </c>
      <c r="O462" s="12" t="n">
        <f aca="false">N462*'Engineering Assumptions'!$B$11</f>
        <v>626.75</v>
      </c>
      <c r="P462" s="183" t="n">
        <f aca="false">MROUND(N462+O462,10)</f>
        <v>3760</v>
      </c>
      <c r="Q462" s="12" t="n">
        <f aca="false">'Fleet Pricing'!H462</f>
        <v>1710</v>
      </c>
      <c r="R462" s="41" t="n">
        <v>30</v>
      </c>
      <c r="S462" s="46" t="n">
        <v>2.4</v>
      </c>
      <c r="T462" s="46" t="n">
        <v>3</v>
      </c>
      <c r="U462" s="46" t="n">
        <v>1</v>
      </c>
    </row>
    <row r="463" customFormat="false" ht="15" hidden="false" customHeight="true" outlineLevel="0" collapsed="false">
      <c r="A463" s="9" t="n">
        <v>434</v>
      </c>
      <c r="B463" s="47" t="s">
        <v>141</v>
      </c>
      <c r="C463" s="47" t="s">
        <v>2313</v>
      </c>
      <c r="D463" s="47" t="s">
        <v>1247</v>
      </c>
      <c r="E463" s="47"/>
      <c r="F463" s="45" t="s">
        <v>472</v>
      </c>
      <c r="G463" s="9" t="n">
        <v>30</v>
      </c>
      <c r="H463" s="12" t="n">
        <f aca="false">'Engineering Assumptions'!$C$42*'Engineering Assumptions'!$B$5*U463</f>
        <v>1337</v>
      </c>
      <c r="I463" s="12" t="n">
        <f aca="false">'Engineering Assumptions'!$B$8</f>
        <v>650</v>
      </c>
      <c r="J463" s="12" t="n">
        <f aca="false">'Engineering Assumptions'!$D$42*S463*U463</f>
        <v>288</v>
      </c>
      <c r="K463" s="12" t="n">
        <f aca="false">'Engineering Assumptions'!$E$42*T463*U463</f>
        <v>450</v>
      </c>
      <c r="L463" s="13" t="n">
        <f aca="false">H463+I463+J463+K463</f>
        <v>2725</v>
      </c>
      <c r="M463" s="12" t="n">
        <f aca="false">L463*'Engineering Assumptions'!$B$10</f>
        <v>408.75</v>
      </c>
      <c r="N463" s="13" t="n">
        <f aca="false">L463+M463</f>
        <v>3133.75</v>
      </c>
      <c r="O463" s="12" t="n">
        <f aca="false">N463*'Engineering Assumptions'!$B$11</f>
        <v>626.75</v>
      </c>
      <c r="P463" s="183" t="n">
        <f aca="false">MROUND(N463+O463,10)</f>
        <v>3760</v>
      </c>
      <c r="Q463" s="12" t="n">
        <f aca="false">'Fleet Pricing'!H463</f>
        <v>1710</v>
      </c>
      <c r="R463" s="41" t="n">
        <v>30</v>
      </c>
      <c r="S463" s="46" t="n">
        <v>2.4</v>
      </c>
      <c r="T463" s="46" t="n">
        <v>3</v>
      </c>
      <c r="U463" s="46" t="n">
        <v>1</v>
      </c>
    </row>
    <row r="464" customFormat="false" ht="15" hidden="false" customHeight="true" outlineLevel="0" collapsed="false">
      <c r="A464" s="9" t="n">
        <v>435</v>
      </c>
      <c r="B464" s="47" t="s">
        <v>141</v>
      </c>
      <c r="C464" s="47" t="s">
        <v>2313</v>
      </c>
      <c r="D464" s="47" t="s">
        <v>1248</v>
      </c>
      <c r="E464" s="47"/>
      <c r="F464" s="45" t="s">
        <v>472</v>
      </c>
      <c r="G464" s="9" t="n">
        <v>30</v>
      </c>
      <c r="H464" s="12" t="n">
        <f aca="false">'Engineering Assumptions'!$C$42*'Engineering Assumptions'!$B$5*U464</f>
        <v>1337</v>
      </c>
      <c r="I464" s="12" t="n">
        <f aca="false">'Engineering Assumptions'!$B$8</f>
        <v>650</v>
      </c>
      <c r="J464" s="12" t="n">
        <f aca="false">'Engineering Assumptions'!$D$42*S464*U464</f>
        <v>288</v>
      </c>
      <c r="K464" s="12" t="n">
        <f aca="false">'Engineering Assumptions'!$E$42*T464*U464</f>
        <v>450</v>
      </c>
      <c r="L464" s="13" t="n">
        <f aca="false">H464+I464+J464+K464</f>
        <v>2725</v>
      </c>
      <c r="M464" s="12" t="n">
        <f aca="false">L464*'Engineering Assumptions'!$B$10</f>
        <v>408.75</v>
      </c>
      <c r="N464" s="13" t="n">
        <f aca="false">L464+M464</f>
        <v>3133.75</v>
      </c>
      <c r="O464" s="12" t="n">
        <f aca="false">N464*'Engineering Assumptions'!$B$11</f>
        <v>626.75</v>
      </c>
      <c r="P464" s="183" t="n">
        <f aca="false">MROUND(N464+O464,10)</f>
        <v>3760</v>
      </c>
      <c r="Q464" s="12" t="n">
        <f aca="false">'Fleet Pricing'!H464</f>
        <v>1710</v>
      </c>
      <c r="R464" s="41" t="n">
        <v>30</v>
      </c>
      <c r="S464" s="46" t="n">
        <v>2.4</v>
      </c>
      <c r="T464" s="46" t="n">
        <v>3</v>
      </c>
      <c r="U464" s="46" t="n">
        <v>1</v>
      </c>
    </row>
    <row r="465" customFormat="false" ht="15" hidden="false" customHeight="true" outlineLevel="0" collapsed="false">
      <c r="A465" s="9" t="n">
        <v>436</v>
      </c>
      <c r="B465" s="47" t="s">
        <v>141</v>
      </c>
      <c r="C465" s="47" t="s">
        <v>2313</v>
      </c>
      <c r="D465" s="47" t="s">
        <v>1249</v>
      </c>
      <c r="E465" s="47" t="s">
        <v>1101</v>
      </c>
      <c r="F465" s="45" t="s">
        <v>472</v>
      </c>
      <c r="G465" s="9" t="n">
        <v>30</v>
      </c>
      <c r="H465" s="12" t="n">
        <f aca="false">'Engineering Assumptions'!$C$42*'Engineering Assumptions'!$B$5*U465</f>
        <v>1337</v>
      </c>
      <c r="I465" s="12" t="n">
        <f aca="false">'Engineering Assumptions'!$B$8</f>
        <v>650</v>
      </c>
      <c r="J465" s="12" t="n">
        <f aca="false">'Engineering Assumptions'!$D$42*S465*U465</f>
        <v>288</v>
      </c>
      <c r="K465" s="12" t="n">
        <f aca="false">'Engineering Assumptions'!$E$42*T465*U465</f>
        <v>450</v>
      </c>
      <c r="L465" s="13" t="n">
        <f aca="false">H465+I465+J465+K465</f>
        <v>2725</v>
      </c>
      <c r="M465" s="12" t="n">
        <f aca="false">L465*'Engineering Assumptions'!$B$10</f>
        <v>408.75</v>
      </c>
      <c r="N465" s="13" t="n">
        <f aca="false">L465+M465</f>
        <v>3133.75</v>
      </c>
      <c r="O465" s="12" t="n">
        <f aca="false">N465*'Engineering Assumptions'!$B$11</f>
        <v>626.75</v>
      </c>
      <c r="P465" s="183" t="n">
        <f aca="false">MROUND(N465+O465,10)</f>
        <v>3760</v>
      </c>
      <c r="Q465" s="12" t="n">
        <f aca="false">'Fleet Pricing'!H465</f>
        <v>1710</v>
      </c>
      <c r="R465" s="41" t="n">
        <v>30</v>
      </c>
      <c r="S465" s="46" t="n">
        <v>2.4</v>
      </c>
      <c r="T465" s="46" t="n">
        <v>3</v>
      </c>
      <c r="U465" s="46" t="n">
        <v>1</v>
      </c>
    </row>
    <row r="466" customFormat="false" ht="15" hidden="false" customHeight="true" outlineLevel="0" collapsed="false">
      <c r="A466" s="9" t="n">
        <v>437</v>
      </c>
      <c r="B466" s="47" t="s">
        <v>141</v>
      </c>
      <c r="C466" s="47" t="s">
        <v>2313</v>
      </c>
      <c r="D466" s="47" t="s">
        <v>1250</v>
      </c>
      <c r="E466" s="47"/>
      <c r="F466" s="45" t="s">
        <v>472</v>
      </c>
      <c r="G466" s="9" t="n">
        <v>30</v>
      </c>
      <c r="H466" s="12" t="n">
        <f aca="false">'Engineering Assumptions'!$C$42*'Engineering Assumptions'!$B$5*U466</f>
        <v>1337</v>
      </c>
      <c r="I466" s="12" t="n">
        <f aca="false">'Engineering Assumptions'!$B$8</f>
        <v>650</v>
      </c>
      <c r="J466" s="12" t="n">
        <f aca="false">'Engineering Assumptions'!$D$42*S466*U466</f>
        <v>288</v>
      </c>
      <c r="K466" s="12" t="n">
        <f aca="false">'Engineering Assumptions'!$E$42*T466*U466</f>
        <v>450</v>
      </c>
      <c r="L466" s="13" t="n">
        <f aca="false">H466+I466+J466+K466</f>
        <v>2725</v>
      </c>
      <c r="M466" s="12" t="n">
        <f aca="false">L466*'Engineering Assumptions'!$B$10</f>
        <v>408.75</v>
      </c>
      <c r="N466" s="13" t="n">
        <f aca="false">L466+M466</f>
        <v>3133.75</v>
      </c>
      <c r="O466" s="12" t="n">
        <f aca="false">N466*'Engineering Assumptions'!$B$11</f>
        <v>626.75</v>
      </c>
      <c r="P466" s="183" t="n">
        <f aca="false">MROUND(N466+O466,10)</f>
        <v>3760</v>
      </c>
      <c r="Q466" s="12" t="n">
        <f aca="false">'Fleet Pricing'!H466</f>
        <v>1710</v>
      </c>
      <c r="R466" s="41" t="n">
        <v>30</v>
      </c>
      <c r="S466" s="46" t="n">
        <v>2.4</v>
      </c>
      <c r="T466" s="46" t="n">
        <v>3</v>
      </c>
      <c r="U466" s="46" t="n">
        <v>1</v>
      </c>
    </row>
    <row r="467" customFormat="false" ht="15" hidden="false" customHeight="true" outlineLevel="0" collapsed="false">
      <c r="A467" s="9" t="n">
        <v>438</v>
      </c>
      <c r="B467" s="47" t="s">
        <v>141</v>
      </c>
      <c r="C467" s="47" t="s">
        <v>2313</v>
      </c>
      <c r="D467" s="47" t="s">
        <v>1251</v>
      </c>
      <c r="E467" s="47"/>
      <c r="F467" s="45" t="s">
        <v>472</v>
      </c>
      <c r="G467" s="9" t="n">
        <v>30</v>
      </c>
      <c r="H467" s="12" t="n">
        <f aca="false">'Engineering Assumptions'!$C$42*'Engineering Assumptions'!$B$5*U467</f>
        <v>1337</v>
      </c>
      <c r="I467" s="12" t="n">
        <f aca="false">'Engineering Assumptions'!$B$8</f>
        <v>650</v>
      </c>
      <c r="J467" s="12" t="n">
        <f aca="false">'Engineering Assumptions'!$D$42*S467*U467</f>
        <v>288</v>
      </c>
      <c r="K467" s="12" t="n">
        <f aca="false">'Engineering Assumptions'!$E$42*T467*U467</f>
        <v>450</v>
      </c>
      <c r="L467" s="13" t="n">
        <f aca="false">H467+I467+J467+K467</f>
        <v>2725</v>
      </c>
      <c r="M467" s="12" t="n">
        <f aca="false">L467*'Engineering Assumptions'!$B$10</f>
        <v>408.75</v>
      </c>
      <c r="N467" s="13" t="n">
        <f aca="false">L467+M467</f>
        <v>3133.75</v>
      </c>
      <c r="O467" s="12" t="n">
        <f aca="false">N467*'Engineering Assumptions'!$B$11</f>
        <v>626.75</v>
      </c>
      <c r="P467" s="183" t="n">
        <f aca="false">MROUND(N467+O467,10)</f>
        <v>3760</v>
      </c>
      <c r="Q467" s="12" t="n">
        <f aca="false">'Fleet Pricing'!H467</f>
        <v>1710</v>
      </c>
      <c r="R467" s="41" t="n">
        <v>30</v>
      </c>
      <c r="S467" s="46" t="n">
        <v>2.4</v>
      </c>
      <c r="T467" s="46" t="n">
        <v>3</v>
      </c>
      <c r="U467" s="46" t="n">
        <v>1</v>
      </c>
    </row>
    <row r="468" customFormat="false" ht="15" hidden="false" customHeight="true" outlineLevel="0" collapsed="false">
      <c r="A468" s="9" t="n">
        <v>439</v>
      </c>
      <c r="B468" s="47" t="s">
        <v>141</v>
      </c>
      <c r="C468" s="47" t="s">
        <v>2313</v>
      </c>
      <c r="D468" s="47" t="s">
        <v>1252</v>
      </c>
      <c r="E468" s="47"/>
      <c r="F468" s="45" t="s">
        <v>472</v>
      </c>
      <c r="G468" s="9" t="n">
        <v>30</v>
      </c>
      <c r="H468" s="12" t="n">
        <f aca="false">'Engineering Assumptions'!$C$42*'Engineering Assumptions'!$B$5*U468</f>
        <v>1337</v>
      </c>
      <c r="I468" s="12" t="n">
        <f aca="false">'Engineering Assumptions'!$B$8</f>
        <v>650</v>
      </c>
      <c r="J468" s="12" t="n">
        <f aca="false">'Engineering Assumptions'!$D$42*S468*U468</f>
        <v>288</v>
      </c>
      <c r="K468" s="12" t="n">
        <f aca="false">'Engineering Assumptions'!$E$42*T468*U468</f>
        <v>450</v>
      </c>
      <c r="L468" s="13" t="n">
        <f aca="false">H468+I468+J468+K468</f>
        <v>2725</v>
      </c>
      <c r="M468" s="12" t="n">
        <f aca="false">L468*'Engineering Assumptions'!$B$10</f>
        <v>408.75</v>
      </c>
      <c r="N468" s="13" t="n">
        <f aca="false">L468+M468</f>
        <v>3133.75</v>
      </c>
      <c r="O468" s="12" t="n">
        <f aca="false">N468*'Engineering Assumptions'!$B$11</f>
        <v>626.75</v>
      </c>
      <c r="P468" s="183" t="n">
        <f aca="false">MROUND(N468+O468,10)</f>
        <v>3760</v>
      </c>
      <c r="Q468" s="12" t="n">
        <f aca="false">'Fleet Pricing'!H468</f>
        <v>1710</v>
      </c>
      <c r="R468" s="41" t="n">
        <v>30</v>
      </c>
      <c r="S468" s="46" t="n">
        <v>2.4</v>
      </c>
      <c r="T468" s="46" t="n">
        <v>3</v>
      </c>
      <c r="U468" s="46" t="n">
        <v>1</v>
      </c>
    </row>
    <row r="469" customFormat="false" ht="15" hidden="false" customHeight="true" outlineLevel="0" collapsed="false">
      <c r="A469" s="9" t="n">
        <v>440</v>
      </c>
      <c r="B469" s="47" t="s">
        <v>141</v>
      </c>
      <c r="C469" s="47" t="s">
        <v>2313</v>
      </c>
      <c r="D469" s="47" t="s">
        <v>1239</v>
      </c>
      <c r="E469" s="47" t="s">
        <v>1240</v>
      </c>
      <c r="F469" s="45" t="s">
        <v>472</v>
      </c>
      <c r="G469" s="9" t="n">
        <v>30</v>
      </c>
      <c r="H469" s="12" t="n">
        <f aca="false">'Engineering Assumptions'!$C$42*'Engineering Assumptions'!$B$5*U469</f>
        <v>1337</v>
      </c>
      <c r="I469" s="12" t="n">
        <f aca="false">'Engineering Assumptions'!$B$8</f>
        <v>650</v>
      </c>
      <c r="J469" s="12" t="n">
        <f aca="false">'Engineering Assumptions'!$D$42*S469*U469</f>
        <v>288</v>
      </c>
      <c r="K469" s="12" t="n">
        <f aca="false">'Engineering Assumptions'!$E$42*T469*U469</f>
        <v>450</v>
      </c>
      <c r="L469" s="13" t="n">
        <f aca="false">H469+I469+J469+K469</f>
        <v>2725</v>
      </c>
      <c r="M469" s="12" t="n">
        <f aca="false">L469*'Engineering Assumptions'!$B$10</f>
        <v>408.75</v>
      </c>
      <c r="N469" s="13" t="n">
        <f aca="false">L469+M469</f>
        <v>3133.75</v>
      </c>
      <c r="O469" s="12" t="n">
        <f aca="false">N469*'Engineering Assumptions'!$B$11</f>
        <v>626.75</v>
      </c>
      <c r="P469" s="183" t="n">
        <f aca="false">MROUND(N469+O469,10)</f>
        <v>3760</v>
      </c>
      <c r="Q469" s="12" t="n">
        <f aca="false">'Fleet Pricing'!H469</f>
        <v>1710</v>
      </c>
      <c r="R469" s="41" t="n">
        <v>30</v>
      </c>
      <c r="S469" s="46" t="n">
        <v>2.4</v>
      </c>
      <c r="T469" s="46" t="n">
        <v>3</v>
      </c>
      <c r="U469" s="46" t="n">
        <v>1</v>
      </c>
    </row>
    <row r="470" customFormat="false" ht="15" hidden="false" customHeight="true" outlineLevel="0" collapsed="false">
      <c r="A470" s="42" t="s">
        <v>1253</v>
      </c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</row>
    <row r="471" customFormat="false" ht="15" hidden="false" customHeight="true" outlineLevel="0" collapsed="false">
      <c r="A471" s="9" t="n">
        <v>441</v>
      </c>
      <c r="B471" s="47" t="s">
        <v>143</v>
      </c>
      <c r="C471" s="47" t="s">
        <v>2480</v>
      </c>
      <c r="D471" s="47" t="s">
        <v>1254</v>
      </c>
      <c r="E471" s="47" t="s">
        <v>1256</v>
      </c>
      <c r="F471" s="45" t="s">
        <v>310</v>
      </c>
      <c r="G471" s="9" t="n">
        <v>14</v>
      </c>
      <c r="H471" s="12" t="n">
        <f aca="false">'Engineering Assumptions'!$C$43*'Engineering Assumptions'!$B$5*U471</f>
        <v>1528</v>
      </c>
      <c r="I471" s="12" t="n">
        <f aca="false">'Engineering Assumptions'!$B$8</f>
        <v>650</v>
      </c>
      <c r="J471" s="12" t="n">
        <f aca="false">'Engineering Assumptions'!$D$43*S471*U471</f>
        <v>170.5</v>
      </c>
      <c r="K471" s="12" t="n">
        <f aca="false">'Engineering Assumptions'!$E$43*T471*U471</f>
        <v>189</v>
      </c>
      <c r="L471" s="13" t="n">
        <f aca="false">H471+I471+J471+K471</f>
        <v>2537.5</v>
      </c>
      <c r="M471" s="12" t="n">
        <f aca="false">L471*'Engineering Assumptions'!$B$10</f>
        <v>380.625</v>
      </c>
      <c r="N471" s="13" t="n">
        <f aca="false">L471+M471</f>
        <v>2918.125</v>
      </c>
      <c r="O471" s="12" t="n">
        <f aca="false">N471*'Engineering Assumptions'!$B$11</f>
        <v>583.625</v>
      </c>
      <c r="P471" s="183" t="n">
        <f aca="false">MROUND(N471+O471,10)</f>
        <v>3500</v>
      </c>
      <c r="Q471" s="12" t="n">
        <f aca="false">'Fleet Pricing'!H471</f>
        <v>1720</v>
      </c>
      <c r="R471" s="41" t="n">
        <v>14</v>
      </c>
      <c r="S471" s="46" t="n">
        <v>1.55</v>
      </c>
      <c r="T471" s="46" t="n">
        <v>1.35</v>
      </c>
      <c r="U471" s="46" t="n">
        <v>1</v>
      </c>
    </row>
    <row r="472" customFormat="false" ht="15" hidden="false" customHeight="true" outlineLevel="0" collapsed="false">
      <c r="A472" s="9" t="n">
        <v>442</v>
      </c>
      <c r="B472" s="47" t="s">
        <v>143</v>
      </c>
      <c r="C472" s="47" t="s">
        <v>2480</v>
      </c>
      <c r="D472" s="47" t="s">
        <v>1257</v>
      </c>
      <c r="E472" s="47" t="s">
        <v>1258</v>
      </c>
      <c r="F472" s="45" t="s">
        <v>310</v>
      </c>
      <c r="G472" s="9" t="n">
        <v>14</v>
      </c>
      <c r="H472" s="12" t="n">
        <f aca="false">'Engineering Assumptions'!$C$43*'Engineering Assumptions'!$B$5*U472</f>
        <v>1528</v>
      </c>
      <c r="I472" s="12" t="n">
        <f aca="false">'Engineering Assumptions'!$B$8</f>
        <v>650</v>
      </c>
      <c r="J472" s="12" t="n">
        <f aca="false">'Engineering Assumptions'!$D$43*S472*U472</f>
        <v>170.5</v>
      </c>
      <c r="K472" s="12" t="n">
        <f aca="false">'Engineering Assumptions'!$E$43*T472*U472</f>
        <v>189</v>
      </c>
      <c r="L472" s="13" t="n">
        <f aca="false">H472+I472+J472+K472</f>
        <v>2537.5</v>
      </c>
      <c r="M472" s="12" t="n">
        <f aca="false">L472*'Engineering Assumptions'!$B$10</f>
        <v>380.625</v>
      </c>
      <c r="N472" s="13" t="n">
        <f aca="false">L472+M472</f>
        <v>2918.125</v>
      </c>
      <c r="O472" s="12" t="n">
        <f aca="false">N472*'Engineering Assumptions'!$B$11</f>
        <v>583.625</v>
      </c>
      <c r="P472" s="183" t="n">
        <f aca="false">MROUND(N472+O472,10)</f>
        <v>3500</v>
      </c>
      <c r="Q472" s="12" t="n">
        <f aca="false">'Fleet Pricing'!H472</f>
        <v>1720</v>
      </c>
      <c r="R472" s="41" t="n">
        <v>14</v>
      </c>
      <c r="S472" s="46" t="n">
        <v>1.55</v>
      </c>
      <c r="T472" s="46" t="n">
        <v>1.35</v>
      </c>
      <c r="U472" s="46" t="n">
        <v>1</v>
      </c>
    </row>
    <row r="473" customFormat="false" ht="15" hidden="false" customHeight="true" outlineLevel="0" collapsed="false">
      <c r="A473" s="9" t="n">
        <v>443</v>
      </c>
      <c r="B473" s="47" t="s">
        <v>143</v>
      </c>
      <c r="C473" s="47" t="s">
        <v>2481</v>
      </c>
      <c r="D473" s="47" t="s">
        <v>1259</v>
      </c>
      <c r="E473" s="47" t="s">
        <v>1261</v>
      </c>
      <c r="F473" s="45" t="s">
        <v>310</v>
      </c>
      <c r="G473" s="9" t="n">
        <v>14</v>
      </c>
      <c r="H473" s="12" t="n">
        <f aca="false">'Engineering Assumptions'!$C$43*'Engineering Assumptions'!$B$5*U473</f>
        <v>1528</v>
      </c>
      <c r="I473" s="12" t="n">
        <f aca="false">'Engineering Assumptions'!$B$8</f>
        <v>650</v>
      </c>
      <c r="J473" s="12" t="n">
        <f aca="false">'Engineering Assumptions'!$D$43*S473*U473</f>
        <v>170.5</v>
      </c>
      <c r="K473" s="12" t="n">
        <f aca="false">'Engineering Assumptions'!$E$43*T473*U473</f>
        <v>189</v>
      </c>
      <c r="L473" s="13" t="n">
        <f aca="false">H473+I473+J473+K473</f>
        <v>2537.5</v>
      </c>
      <c r="M473" s="12" t="n">
        <f aca="false">L473*'Engineering Assumptions'!$B$10</f>
        <v>380.625</v>
      </c>
      <c r="N473" s="13" t="n">
        <f aca="false">L473+M473</f>
        <v>2918.125</v>
      </c>
      <c r="O473" s="12" t="n">
        <f aca="false">N473*'Engineering Assumptions'!$B$11</f>
        <v>583.625</v>
      </c>
      <c r="P473" s="183" t="n">
        <f aca="false">MROUND(N473+O473,10)</f>
        <v>3500</v>
      </c>
      <c r="Q473" s="12" t="n">
        <f aca="false">'Fleet Pricing'!H473</f>
        <v>1720</v>
      </c>
      <c r="R473" s="41" t="n">
        <v>14</v>
      </c>
      <c r="S473" s="46" t="n">
        <v>1.55</v>
      </c>
      <c r="T473" s="46" t="n">
        <v>1.35</v>
      </c>
      <c r="U473" s="46" t="n">
        <v>1</v>
      </c>
    </row>
    <row r="474" customFormat="false" ht="15" hidden="false" customHeight="true" outlineLevel="0" collapsed="false">
      <c r="A474" s="9" t="n">
        <v>444</v>
      </c>
      <c r="B474" s="47" t="s">
        <v>143</v>
      </c>
      <c r="C474" s="47" t="s">
        <v>2482</v>
      </c>
      <c r="D474" s="47" t="s">
        <v>1263</v>
      </c>
      <c r="E474" s="47" t="s">
        <v>1265</v>
      </c>
      <c r="F474" s="45" t="s">
        <v>310</v>
      </c>
      <c r="G474" s="9" t="n">
        <v>14</v>
      </c>
      <c r="H474" s="12" t="n">
        <f aca="false">'Engineering Assumptions'!$C$43*'Engineering Assumptions'!$B$5*U474</f>
        <v>1528</v>
      </c>
      <c r="I474" s="12" t="n">
        <f aca="false">'Engineering Assumptions'!$B$8</f>
        <v>650</v>
      </c>
      <c r="J474" s="12" t="n">
        <f aca="false">'Engineering Assumptions'!$D$43*S474*U474</f>
        <v>170.5</v>
      </c>
      <c r="K474" s="12" t="n">
        <f aca="false">'Engineering Assumptions'!$E$43*T474*U474</f>
        <v>189</v>
      </c>
      <c r="L474" s="13" t="n">
        <f aca="false">H474+I474+J474+K474</f>
        <v>2537.5</v>
      </c>
      <c r="M474" s="12" t="n">
        <f aca="false">L474*'Engineering Assumptions'!$B$10</f>
        <v>380.625</v>
      </c>
      <c r="N474" s="13" t="n">
        <f aca="false">L474+M474</f>
        <v>2918.125</v>
      </c>
      <c r="O474" s="12" t="n">
        <f aca="false">N474*'Engineering Assumptions'!$B$11</f>
        <v>583.625</v>
      </c>
      <c r="P474" s="183" t="n">
        <f aca="false">MROUND(N474+O474,10)</f>
        <v>3500</v>
      </c>
      <c r="Q474" s="12" t="n">
        <f aca="false">'Fleet Pricing'!H474</f>
        <v>1720</v>
      </c>
      <c r="R474" s="41" t="n">
        <v>14</v>
      </c>
      <c r="S474" s="46" t="n">
        <v>1.55</v>
      </c>
      <c r="T474" s="46" t="n">
        <v>1.35</v>
      </c>
      <c r="U474" s="46" t="n">
        <v>1</v>
      </c>
    </row>
    <row r="475" customFormat="false" ht="15" hidden="false" customHeight="true" outlineLevel="0" collapsed="false">
      <c r="A475" s="9" t="n">
        <v>445</v>
      </c>
      <c r="B475" s="47" t="s">
        <v>143</v>
      </c>
      <c r="C475" s="47" t="s">
        <v>2483</v>
      </c>
      <c r="D475" s="47" t="s">
        <v>1267</v>
      </c>
      <c r="E475" s="47" t="s">
        <v>1269</v>
      </c>
      <c r="F475" s="45" t="s">
        <v>623</v>
      </c>
      <c r="G475" s="9" t="n">
        <v>18</v>
      </c>
      <c r="H475" s="12" t="n">
        <f aca="false">'Engineering Assumptions'!$C$43*'Engineering Assumptions'!$B$5*U475</f>
        <v>1528</v>
      </c>
      <c r="I475" s="12" t="n">
        <f aca="false">'Engineering Assumptions'!$B$8</f>
        <v>650</v>
      </c>
      <c r="J475" s="12" t="n">
        <f aca="false">'Engineering Assumptions'!$D$43*S475*U475</f>
        <v>214.5</v>
      </c>
      <c r="K475" s="12" t="n">
        <f aca="false">'Engineering Assumptions'!$E$43*T475*U475</f>
        <v>294</v>
      </c>
      <c r="L475" s="13" t="n">
        <f aca="false">H475+I475+J475+K475</f>
        <v>2686.5</v>
      </c>
      <c r="M475" s="12" t="n">
        <f aca="false">L475*'Engineering Assumptions'!$B$10</f>
        <v>402.975</v>
      </c>
      <c r="N475" s="13" t="n">
        <f aca="false">L475+M475</f>
        <v>3089.475</v>
      </c>
      <c r="O475" s="12" t="n">
        <f aca="false">N475*'Engineering Assumptions'!$B$11</f>
        <v>617.895</v>
      </c>
      <c r="P475" s="183" t="n">
        <f aca="false">MROUND(N475+O475,10)</f>
        <v>3710</v>
      </c>
      <c r="Q475" s="12" t="n">
        <f aca="false">'Fleet Pricing'!H475</f>
        <v>1510</v>
      </c>
      <c r="R475" s="41" t="n">
        <v>18</v>
      </c>
      <c r="S475" s="46" t="n">
        <v>1.95</v>
      </c>
      <c r="T475" s="46" t="n">
        <v>2.1</v>
      </c>
      <c r="U475" s="46" t="n">
        <v>1</v>
      </c>
    </row>
    <row r="476" customFormat="false" ht="15" hidden="false" customHeight="true" outlineLevel="0" collapsed="false">
      <c r="A476" s="9" t="n">
        <v>446</v>
      </c>
      <c r="B476" s="47" t="s">
        <v>143</v>
      </c>
      <c r="C476" s="47" t="s">
        <v>2482</v>
      </c>
      <c r="D476" s="47" t="s">
        <v>1270</v>
      </c>
      <c r="E476" s="47" t="s">
        <v>1271</v>
      </c>
      <c r="F476" s="45" t="s">
        <v>729</v>
      </c>
      <c r="G476" s="9" t="n">
        <v>21</v>
      </c>
      <c r="H476" s="12" t="n">
        <f aca="false">'Engineering Assumptions'!$C$43*'Engineering Assumptions'!$B$5*U476</f>
        <v>1528</v>
      </c>
      <c r="I476" s="12" t="n">
        <f aca="false">'Engineering Assumptions'!$B$8</f>
        <v>650</v>
      </c>
      <c r="J476" s="12" t="n">
        <f aca="false">'Engineering Assumptions'!$D$43*S476*U476</f>
        <v>264</v>
      </c>
      <c r="K476" s="12" t="n">
        <f aca="false">'Engineering Assumptions'!$E$43*T476*U476</f>
        <v>420</v>
      </c>
      <c r="L476" s="13" t="n">
        <f aca="false">H476+I476+J476+K476</f>
        <v>2862</v>
      </c>
      <c r="M476" s="12" t="n">
        <f aca="false">L476*'Engineering Assumptions'!$B$10</f>
        <v>429.3</v>
      </c>
      <c r="N476" s="13" t="n">
        <f aca="false">L476+M476</f>
        <v>3291.3</v>
      </c>
      <c r="O476" s="12" t="n">
        <f aca="false">N476*'Engineering Assumptions'!$B$11</f>
        <v>658.26</v>
      </c>
      <c r="P476" s="183" t="n">
        <f aca="false">MROUND(N476+O476,10)</f>
        <v>3950</v>
      </c>
      <c r="Q476" s="12" t="n">
        <f aca="false">'Fleet Pricing'!H476</f>
        <v>1510</v>
      </c>
      <c r="R476" s="41" t="n">
        <v>21</v>
      </c>
      <c r="S476" s="46" t="n">
        <v>2.4</v>
      </c>
      <c r="T476" s="46" t="n">
        <v>3</v>
      </c>
      <c r="U476" s="46" t="n">
        <v>1</v>
      </c>
    </row>
    <row r="477" customFormat="false" ht="15" hidden="false" customHeight="true" outlineLevel="0" collapsed="false">
      <c r="A477" s="9" t="n">
        <v>447</v>
      </c>
      <c r="B477" s="47" t="s">
        <v>143</v>
      </c>
      <c r="C477" s="47" t="s">
        <v>2482</v>
      </c>
      <c r="D477" s="47" t="s">
        <v>1272</v>
      </c>
      <c r="E477" s="47" t="s">
        <v>1273</v>
      </c>
      <c r="F477" s="45" t="s">
        <v>729</v>
      </c>
      <c r="G477" s="9" t="n">
        <v>21</v>
      </c>
      <c r="H477" s="12" t="n">
        <f aca="false">'Engineering Assumptions'!$C$43*'Engineering Assumptions'!$B$5*U477</f>
        <v>1528</v>
      </c>
      <c r="I477" s="12" t="n">
        <f aca="false">'Engineering Assumptions'!$B$8</f>
        <v>650</v>
      </c>
      <c r="J477" s="12" t="n">
        <f aca="false">'Engineering Assumptions'!$D$43*S477*U477</f>
        <v>264</v>
      </c>
      <c r="K477" s="12" t="n">
        <f aca="false">'Engineering Assumptions'!$E$43*T477*U477</f>
        <v>420</v>
      </c>
      <c r="L477" s="13" t="n">
        <f aca="false">H477+I477+J477+K477</f>
        <v>2862</v>
      </c>
      <c r="M477" s="12" t="n">
        <f aca="false">L477*'Engineering Assumptions'!$B$10</f>
        <v>429.3</v>
      </c>
      <c r="N477" s="13" t="n">
        <f aca="false">L477+M477</f>
        <v>3291.3</v>
      </c>
      <c r="O477" s="12" t="n">
        <f aca="false">N477*'Engineering Assumptions'!$B$11</f>
        <v>658.26</v>
      </c>
      <c r="P477" s="183" t="n">
        <f aca="false">MROUND(N477+O477,10)</f>
        <v>3950</v>
      </c>
      <c r="Q477" s="12" t="n">
        <f aca="false">'Fleet Pricing'!H477</f>
        <v>1510</v>
      </c>
      <c r="R477" s="41" t="n">
        <v>21</v>
      </c>
      <c r="S477" s="46" t="n">
        <v>2.4</v>
      </c>
      <c r="T477" s="46" t="n">
        <v>3</v>
      </c>
      <c r="U477" s="46" t="n">
        <v>1</v>
      </c>
    </row>
    <row r="478" customFormat="false" ht="15" hidden="false" customHeight="true" outlineLevel="0" collapsed="false">
      <c r="A478" s="9" t="n">
        <v>448</v>
      </c>
      <c r="B478" s="47" t="s">
        <v>143</v>
      </c>
      <c r="C478" s="47" t="s">
        <v>2484</v>
      </c>
      <c r="D478" s="47" t="s">
        <v>1275</v>
      </c>
      <c r="E478" s="47" t="s">
        <v>1277</v>
      </c>
      <c r="F478" s="45" t="s">
        <v>1276</v>
      </c>
      <c r="G478" s="9" t="n">
        <v>46</v>
      </c>
      <c r="H478" s="12" t="n">
        <f aca="false">'Engineering Assumptions'!$C$43*'Engineering Assumptions'!$B$5*U478</f>
        <v>1528</v>
      </c>
      <c r="I478" s="12" t="n">
        <f aca="false">'Engineering Assumptions'!$B$8</f>
        <v>650</v>
      </c>
      <c r="J478" s="12" t="n">
        <f aca="false">'Engineering Assumptions'!$D$43*S478*U478</f>
        <v>264</v>
      </c>
      <c r="K478" s="12" t="n">
        <f aca="false">'Engineering Assumptions'!$E$43*T478*U478</f>
        <v>420</v>
      </c>
      <c r="L478" s="13" t="n">
        <f aca="false">H478+I478+J478+K478</f>
        <v>2862</v>
      </c>
      <c r="M478" s="12" t="n">
        <f aca="false">L478*'Engineering Assumptions'!$B$10</f>
        <v>429.3</v>
      </c>
      <c r="N478" s="13" t="n">
        <f aca="false">L478+M478</f>
        <v>3291.3</v>
      </c>
      <c r="O478" s="12" t="n">
        <f aca="false">N478*'Engineering Assumptions'!$B$11</f>
        <v>658.26</v>
      </c>
      <c r="P478" s="183" t="n">
        <f aca="false">MROUND(N478+O478,10)</f>
        <v>3950</v>
      </c>
      <c r="Q478" s="12" t="n">
        <f aca="false">'Fleet Pricing'!H478</f>
        <v>1220</v>
      </c>
      <c r="R478" s="41" t="n">
        <v>46</v>
      </c>
      <c r="S478" s="46" t="n">
        <v>2.4</v>
      </c>
      <c r="T478" s="46" t="n">
        <v>3</v>
      </c>
      <c r="U478" s="46" t="n">
        <v>1</v>
      </c>
    </row>
    <row r="479" customFormat="false" ht="15" hidden="false" customHeight="true" outlineLevel="0" collapsed="false">
      <c r="A479" s="9" t="n">
        <v>449</v>
      </c>
      <c r="B479" s="47" t="s">
        <v>143</v>
      </c>
      <c r="C479" s="47" t="s">
        <v>2485</v>
      </c>
      <c r="D479" s="47" t="s">
        <v>1278</v>
      </c>
      <c r="E479" s="47" t="s">
        <v>1281</v>
      </c>
      <c r="F479" s="45" t="s">
        <v>1280</v>
      </c>
      <c r="G479" s="9" t="n">
        <v>52</v>
      </c>
      <c r="H479" s="12" t="n">
        <f aca="false">'Engineering Assumptions'!$C$43*'Engineering Assumptions'!$B$5*U479</f>
        <v>1528</v>
      </c>
      <c r="I479" s="12" t="n">
        <f aca="false">'Engineering Assumptions'!$B$8</f>
        <v>650</v>
      </c>
      <c r="J479" s="12" t="n">
        <f aca="false">'Engineering Assumptions'!$D$43*S479*U479</f>
        <v>264</v>
      </c>
      <c r="K479" s="12" t="n">
        <f aca="false">'Engineering Assumptions'!$E$43*T479*U479</f>
        <v>420</v>
      </c>
      <c r="L479" s="13" t="n">
        <f aca="false">H479+I479+J479+K479</f>
        <v>2862</v>
      </c>
      <c r="M479" s="12" t="n">
        <f aca="false">L479*'Engineering Assumptions'!$B$10</f>
        <v>429.3</v>
      </c>
      <c r="N479" s="13" t="n">
        <f aca="false">L479+M479</f>
        <v>3291.3</v>
      </c>
      <c r="O479" s="12" t="n">
        <f aca="false">N479*'Engineering Assumptions'!$B$11</f>
        <v>658.26</v>
      </c>
      <c r="P479" s="183" t="n">
        <f aca="false">MROUND(N479+O479,10)</f>
        <v>3950</v>
      </c>
      <c r="Q479" s="12" t="n">
        <f aca="false">'Fleet Pricing'!H479</f>
        <v>1220</v>
      </c>
      <c r="R479" s="41" t="n">
        <v>52</v>
      </c>
      <c r="S479" s="46" t="n">
        <v>2.4</v>
      </c>
      <c r="T479" s="46" t="n">
        <v>3</v>
      </c>
      <c r="U479" s="46" t="n">
        <v>1</v>
      </c>
    </row>
    <row r="480" customFormat="false" ht="15" hidden="false" customHeight="true" outlineLevel="0" collapsed="false">
      <c r="A480" s="9" t="n">
        <v>450</v>
      </c>
      <c r="B480" s="47" t="s">
        <v>143</v>
      </c>
      <c r="C480" s="47" t="s">
        <v>2313</v>
      </c>
      <c r="D480" s="47" t="s">
        <v>1283</v>
      </c>
      <c r="E480" s="47" t="s">
        <v>1269</v>
      </c>
      <c r="F480" s="45" t="s">
        <v>472</v>
      </c>
      <c r="G480" s="9" t="n">
        <v>30</v>
      </c>
      <c r="H480" s="12" t="n">
        <f aca="false">'Engineering Assumptions'!$C$43*'Engineering Assumptions'!$B$5*U480</f>
        <v>1528</v>
      </c>
      <c r="I480" s="12" t="n">
        <f aca="false">'Engineering Assumptions'!$B$8</f>
        <v>650</v>
      </c>
      <c r="J480" s="12" t="n">
        <f aca="false">'Engineering Assumptions'!$D$43*S480*U480</f>
        <v>264</v>
      </c>
      <c r="K480" s="12" t="n">
        <f aca="false">'Engineering Assumptions'!$E$43*T480*U480</f>
        <v>420</v>
      </c>
      <c r="L480" s="13" t="n">
        <f aca="false">H480+I480+J480+K480</f>
        <v>2862</v>
      </c>
      <c r="M480" s="12" t="n">
        <f aca="false">L480*'Engineering Assumptions'!$B$10</f>
        <v>429.3</v>
      </c>
      <c r="N480" s="13" t="n">
        <f aca="false">L480+M480</f>
        <v>3291.3</v>
      </c>
      <c r="O480" s="12" t="n">
        <f aca="false">N480*'Engineering Assumptions'!$B$11</f>
        <v>658.26</v>
      </c>
      <c r="P480" s="183" t="n">
        <f aca="false">MROUND(N480+O480,10)</f>
        <v>3950</v>
      </c>
      <c r="Q480" s="12" t="n">
        <f aca="false">'Fleet Pricing'!H480</f>
        <v>1220</v>
      </c>
      <c r="R480" s="41" t="n">
        <v>30</v>
      </c>
      <c r="S480" s="46" t="n">
        <v>2.4</v>
      </c>
      <c r="T480" s="46" t="n">
        <v>3</v>
      </c>
      <c r="U480" s="46" t="n">
        <v>1</v>
      </c>
    </row>
    <row r="481" customFormat="false" ht="15" hidden="false" customHeight="true" outlineLevel="0" collapsed="false">
      <c r="A481" s="9" t="n">
        <v>451</v>
      </c>
      <c r="B481" s="47" t="s">
        <v>143</v>
      </c>
      <c r="C481" s="47" t="s">
        <v>2313</v>
      </c>
      <c r="D481" s="47"/>
      <c r="E481" s="47"/>
      <c r="F481" s="45" t="s">
        <v>472</v>
      </c>
      <c r="G481" s="9" t="n">
        <v>30</v>
      </c>
      <c r="H481" s="12" t="n">
        <f aca="false">'Engineering Assumptions'!$C$43*'Engineering Assumptions'!$B$5*U481</f>
        <v>1528</v>
      </c>
      <c r="I481" s="12" t="n">
        <f aca="false">'Engineering Assumptions'!$B$8</f>
        <v>650</v>
      </c>
      <c r="J481" s="12" t="n">
        <f aca="false">'Engineering Assumptions'!$D$43*S481*U481</f>
        <v>264</v>
      </c>
      <c r="K481" s="12" t="n">
        <f aca="false">'Engineering Assumptions'!$E$43*T481*U481</f>
        <v>420</v>
      </c>
      <c r="L481" s="13" t="n">
        <f aca="false">H481+I481+J481+K481</f>
        <v>2862</v>
      </c>
      <c r="M481" s="12" t="n">
        <f aca="false">L481*'Engineering Assumptions'!$B$10</f>
        <v>429.3</v>
      </c>
      <c r="N481" s="13" t="n">
        <f aca="false">L481+M481</f>
        <v>3291.3</v>
      </c>
      <c r="O481" s="12" t="n">
        <f aca="false">N481*'Engineering Assumptions'!$B$11</f>
        <v>658.26</v>
      </c>
      <c r="P481" s="183" t="n">
        <f aca="false">MROUND(N481+O481,10)</f>
        <v>3950</v>
      </c>
      <c r="Q481" s="12" t="n">
        <f aca="false">'Fleet Pricing'!H481</f>
        <v>1220</v>
      </c>
      <c r="R481" s="41" t="n">
        <v>30</v>
      </c>
      <c r="S481" s="46" t="n">
        <v>2.4</v>
      </c>
      <c r="T481" s="46" t="n">
        <v>3</v>
      </c>
      <c r="U481" s="46" t="n">
        <v>1</v>
      </c>
    </row>
    <row r="482" customFormat="false" ht="15" hidden="false" customHeight="true" outlineLevel="0" collapsed="false">
      <c r="A482" s="9" t="n">
        <v>452</v>
      </c>
      <c r="B482" s="47" t="s">
        <v>143</v>
      </c>
      <c r="C482" s="47" t="s">
        <v>2483</v>
      </c>
      <c r="D482" s="47"/>
      <c r="E482" s="47"/>
      <c r="F482" s="45" t="s">
        <v>472</v>
      </c>
      <c r="G482" s="9" t="n">
        <v>30</v>
      </c>
      <c r="H482" s="12" t="n">
        <f aca="false">'Engineering Assumptions'!$C$43*'Engineering Assumptions'!$B$5*U482</f>
        <v>1528</v>
      </c>
      <c r="I482" s="12" t="n">
        <f aca="false">'Engineering Assumptions'!$B$8</f>
        <v>650</v>
      </c>
      <c r="J482" s="12" t="n">
        <f aca="false">'Engineering Assumptions'!$D$43*S482*U482</f>
        <v>264</v>
      </c>
      <c r="K482" s="12" t="n">
        <f aca="false">'Engineering Assumptions'!$E$43*T482*U482</f>
        <v>420</v>
      </c>
      <c r="L482" s="13" t="n">
        <f aca="false">H482+I482+J482+K482</f>
        <v>2862</v>
      </c>
      <c r="M482" s="12" t="n">
        <f aca="false">L482*'Engineering Assumptions'!$B$10</f>
        <v>429.3</v>
      </c>
      <c r="N482" s="13" t="n">
        <f aca="false">L482+M482</f>
        <v>3291.3</v>
      </c>
      <c r="O482" s="12" t="n">
        <f aca="false">N482*'Engineering Assumptions'!$B$11</f>
        <v>658.26</v>
      </c>
      <c r="P482" s="183" t="n">
        <f aca="false">MROUND(N482+O482,10)</f>
        <v>3950</v>
      </c>
      <c r="Q482" s="12" t="n">
        <f aca="false">'Fleet Pricing'!H482</f>
        <v>1220</v>
      </c>
      <c r="R482" s="41" t="n">
        <v>30</v>
      </c>
      <c r="S482" s="46" t="n">
        <v>2.4</v>
      </c>
      <c r="T482" s="46" t="n">
        <v>3</v>
      </c>
      <c r="U482" s="46" t="n">
        <v>1</v>
      </c>
    </row>
    <row r="483" customFormat="false" ht="15" hidden="false" customHeight="true" outlineLevel="0" collapsed="false">
      <c r="A483" s="42" t="s">
        <v>1284</v>
      </c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 customFormat="false" ht="15" hidden="false" customHeight="true" outlineLevel="0" collapsed="false">
      <c r="A484" s="9" t="n">
        <v>453</v>
      </c>
      <c r="B484" s="47" t="s">
        <v>145</v>
      </c>
      <c r="C484" s="47" t="s">
        <v>2486</v>
      </c>
      <c r="D484" s="47" t="s">
        <v>1286</v>
      </c>
      <c r="E484" s="47" t="s">
        <v>1288</v>
      </c>
      <c r="F484" s="45" t="s">
        <v>397</v>
      </c>
      <c r="G484" s="9" t="n">
        <v>9</v>
      </c>
      <c r="H484" s="12" t="n">
        <f aca="false">'Engineering Assumptions'!$C$44*'Engineering Assumptions'!$B$5*U484</f>
        <v>458.4</v>
      </c>
      <c r="I484" s="12" t="n">
        <v>0</v>
      </c>
      <c r="J484" s="12" t="n">
        <f aca="false">'Engineering Assumptions'!$D$44*S484*U484</f>
        <v>31.25</v>
      </c>
      <c r="K484" s="12" t="n">
        <f aca="false">'Engineering Assumptions'!$E$44*T484*U484</f>
        <v>26.25</v>
      </c>
      <c r="L484" s="13" t="n">
        <f aca="false">H484+I484+J484+K484</f>
        <v>515.9</v>
      </c>
      <c r="M484" s="12" t="n">
        <f aca="false">L484*'Engineering Assumptions'!$B$10</f>
        <v>77.385</v>
      </c>
      <c r="N484" s="13" t="n">
        <f aca="false">L484+M484</f>
        <v>593.285</v>
      </c>
      <c r="O484" s="12" t="n">
        <f aca="false">N484*'Engineering Assumptions'!$B$11</f>
        <v>118.657</v>
      </c>
      <c r="P484" s="183" t="n">
        <f aca="false">MROUND(N484+O484,10)</f>
        <v>710</v>
      </c>
      <c r="Q484" s="12" t="n">
        <f aca="false">'Fleet Pricing'!H484</f>
        <v>460</v>
      </c>
      <c r="R484" s="41" t="n">
        <v>9</v>
      </c>
      <c r="S484" s="46" t="n">
        <v>1.25</v>
      </c>
      <c r="T484" s="46" t="n">
        <v>0.75</v>
      </c>
      <c r="U484" s="46" t="n">
        <v>1</v>
      </c>
    </row>
    <row r="485" customFormat="false" ht="15" hidden="false" customHeight="true" outlineLevel="0" collapsed="false">
      <c r="A485" s="9" t="n">
        <v>454</v>
      </c>
      <c r="B485" s="47" t="s">
        <v>145</v>
      </c>
      <c r="C485" s="47" t="s">
        <v>2486</v>
      </c>
      <c r="D485" s="47" t="s">
        <v>1294</v>
      </c>
      <c r="E485" s="47" t="s">
        <v>1295</v>
      </c>
      <c r="F485" s="45" t="s">
        <v>397</v>
      </c>
      <c r="G485" s="9" t="n">
        <v>9</v>
      </c>
      <c r="H485" s="12" t="n">
        <f aca="false">'Engineering Assumptions'!$C$44*'Engineering Assumptions'!$B$5*U485</f>
        <v>458.4</v>
      </c>
      <c r="I485" s="12" t="n">
        <v>0</v>
      </c>
      <c r="J485" s="12" t="n">
        <f aca="false">'Engineering Assumptions'!$D$44*S485*U485</f>
        <v>31.25</v>
      </c>
      <c r="K485" s="12" t="n">
        <f aca="false">'Engineering Assumptions'!$E$44*T485*U485</f>
        <v>26.25</v>
      </c>
      <c r="L485" s="13" t="n">
        <f aca="false">H485+I485+J485+K485</f>
        <v>515.9</v>
      </c>
      <c r="M485" s="12" t="n">
        <f aca="false">L485*'Engineering Assumptions'!$B$10</f>
        <v>77.385</v>
      </c>
      <c r="N485" s="13" t="n">
        <f aca="false">L485+M485</f>
        <v>593.285</v>
      </c>
      <c r="O485" s="12" t="n">
        <f aca="false">N485*'Engineering Assumptions'!$B$11</f>
        <v>118.657</v>
      </c>
      <c r="P485" s="183" t="n">
        <f aca="false">MROUND(N485+O485,10)</f>
        <v>710</v>
      </c>
      <c r="Q485" s="12" t="n">
        <f aca="false">'Fleet Pricing'!H485</f>
        <v>460</v>
      </c>
      <c r="R485" s="41" t="n">
        <v>9</v>
      </c>
      <c r="S485" s="46" t="n">
        <v>1.25</v>
      </c>
      <c r="T485" s="46" t="n">
        <v>0.75</v>
      </c>
      <c r="U485" s="46" t="n">
        <v>1</v>
      </c>
    </row>
    <row r="486" customFormat="false" ht="15" hidden="false" customHeight="true" outlineLevel="0" collapsed="false">
      <c r="A486" s="9" t="n">
        <v>455</v>
      </c>
      <c r="B486" s="47" t="s">
        <v>145</v>
      </c>
      <c r="C486" s="47" t="s">
        <v>2487</v>
      </c>
      <c r="D486" s="47" t="s">
        <v>1328</v>
      </c>
      <c r="E486" s="47" t="s">
        <v>1330</v>
      </c>
      <c r="F486" s="45" t="s">
        <v>397</v>
      </c>
      <c r="G486" s="9" t="n">
        <v>9</v>
      </c>
      <c r="H486" s="12" t="n">
        <f aca="false">'Engineering Assumptions'!$C$44*'Engineering Assumptions'!$B$5*U486</f>
        <v>458.4</v>
      </c>
      <c r="I486" s="12" t="n">
        <v>0</v>
      </c>
      <c r="J486" s="12" t="n">
        <f aca="false">'Engineering Assumptions'!$D$44*S486*U486</f>
        <v>31.25</v>
      </c>
      <c r="K486" s="12" t="n">
        <f aca="false">'Engineering Assumptions'!$E$44*T486*U486</f>
        <v>26.25</v>
      </c>
      <c r="L486" s="13" t="n">
        <f aca="false">H486+I486+J486+K486</f>
        <v>515.9</v>
      </c>
      <c r="M486" s="12" t="n">
        <f aca="false">L486*'Engineering Assumptions'!$B$10</f>
        <v>77.385</v>
      </c>
      <c r="N486" s="13" t="n">
        <f aca="false">L486+M486</f>
        <v>593.285</v>
      </c>
      <c r="O486" s="12" t="n">
        <f aca="false">N486*'Engineering Assumptions'!$B$11</f>
        <v>118.657</v>
      </c>
      <c r="P486" s="183" t="n">
        <f aca="false">MROUND(N486+O486,10)</f>
        <v>710</v>
      </c>
      <c r="Q486" s="12" t="n">
        <f aca="false">'Fleet Pricing'!H486</f>
        <v>460</v>
      </c>
      <c r="R486" s="41" t="n">
        <v>9</v>
      </c>
      <c r="S486" s="46" t="n">
        <v>1.25</v>
      </c>
      <c r="T486" s="46" t="n">
        <v>0.75</v>
      </c>
      <c r="U486" s="46" t="n">
        <v>1</v>
      </c>
    </row>
    <row r="487" customFormat="false" ht="15" hidden="false" customHeight="true" outlineLevel="0" collapsed="false">
      <c r="A487" s="9" t="n">
        <v>456</v>
      </c>
      <c r="B487" s="47" t="s">
        <v>145</v>
      </c>
      <c r="C487" s="47" t="s">
        <v>2488</v>
      </c>
      <c r="D487" s="47" t="s">
        <v>1356</v>
      </c>
      <c r="E487" s="47" t="s">
        <v>1357</v>
      </c>
      <c r="F487" s="45" t="s">
        <v>397</v>
      </c>
      <c r="G487" s="9" t="n">
        <v>9</v>
      </c>
      <c r="H487" s="12" t="n">
        <f aca="false">'Engineering Assumptions'!$C$44*'Engineering Assumptions'!$B$5*U487</f>
        <v>458.4</v>
      </c>
      <c r="I487" s="12" t="n">
        <v>0</v>
      </c>
      <c r="J487" s="12" t="n">
        <f aca="false">'Engineering Assumptions'!$D$44*S487*U487</f>
        <v>31.25</v>
      </c>
      <c r="K487" s="12" t="n">
        <f aca="false">'Engineering Assumptions'!$E$44*T487*U487</f>
        <v>26.25</v>
      </c>
      <c r="L487" s="13" t="n">
        <f aca="false">H487+I487+J487+K487</f>
        <v>515.9</v>
      </c>
      <c r="M487" s="12" t="n">
        <f aca="false">L487*'Engineering Assumptions'!$B$10</f>
        <v>77.385</v>
      </c>
      <c r="N487" s="13" t="n">
        <f aca="false">L487+M487</f>
        <v>593.285</v>
      </c>
      <c r="O487" s="12" t="n">
        <f aca="false">N487*'Engineering Assumptions'!$B$11</f>
        <v>118.657</v>
      </c>
      <c r="P487" s="183" t="n">
        <f aca="false">MROUND(N487+O487,10)</f>
        <v>710</v>
      </c>
      <c r="Q487" s="12" t="n">
        <f aca="false">'Fleet Pricing'!H487</f>
        <v>460</v>
      </c>
      <c r="R487" s="41" t="n">
        <v>9</v>
      </c>
      <c r="S487" s="46" t="n">
        <v>1.25</v>
      </c>
      <c r="T487" s="46" t="n">
        <v>0.75</v>
      </c>
      <c r="U487" s="46" t="n">
        <v>1</v>
      </c>
    </row>
    <row r="488" customFormat="false" ht="15" hidden="false" customHeight="true" outlineLevel="0" collapsed="false">
      <c r="A488" s="9" t="n">
        <v>457</v>
      </c>
      <c r="B488" s="47" t="s">
        <v>145</v>
      </c>
      <c r="C488" s="47" t="s">
        <v>2488</v>
      </c>
      <c r="D488" s="47" t="s">
        <v>1301</v>
      </c>
      <c r="E488" s="47" t="s">
        <v>1302</v>
      </c>
      <c r="F488" s="45" t="s">
        <v>397</v>
      </c>
      <c r="G488" s="9" t="n">
        <v>9</v>
      </c>
      <c r="H488" s="12" t="n">
        <f aca="false">'Engineering Assumptions'!$C$44*'Engineering Assumptions'!$B$5*U488</f>
        <v>458.4</v>
      </c>
      <c r="I488" s="12" t="n">
        <v>0</v>
      </c>
      <c r="J488" s="12" t="n">
        <f aca="false">'Engineering Assumptions'!$D$44*S488*U488</f>
        <v>31.25</v>
      </c>
      <c r="K488" s="12" t="n">
        <f aca="false">'Engineering Assumptions'!$E$44*T488*U488</f>
        <v>26.25</v>
      </c>
      <c r="L488" s="13" t="n">
        <f aca="false">H488+I488+J488+K488</f>
        <v>515.9</v>
      </c>
      <c r="M488" s="12" t="n">
        <f aca="false">L488*'Engineering Assumptions'!$B$10</f>
        <v>77.385</v>
      </c>
      <c r="N488" s="13" t="n">
        <f aca="false">L488+M488</f>
        <v>593.285</v>
      </c>
      <c r="O488" s="12" t="n">
        <f aca="false">N488*'Engineering Assumptions'!$B$11</f>
        <v>118.657</v>
      </c>
      <c r="P488" s="183" t="n">
        <f aca="false">MROUND(N488+O488,10)</f>
        <v>710</v>
      </c>
      <c r="Q488" s="12" t="n">
        <f aca="false">'Fleet Pricing'!H488</f>
        <v>460</v>
      </c>
      <c r="R488" s="41" t="n">
        <v>9</v>
      </c>
      <c r="S488" s="46" t="n">
        <v>1.25</v>
      </c>
      <c r="T488" s="46" t="n">
        <v>0.75</v>
      </c>
      <c r="U488" s="46" t="n">
        <v>1</v>
      </c>
    </row>
    <row r="489" customFormat="false" ht="15" hidden="false" customHeight="true" outlineLevel="0" collapsed="false">
      <c r="A489" s="9" t="n">
        <v>458</v>
      </c>
      <c r="B489" s="47" t="s">
        <v>145</v>
      </c>
      <c r="C489" s="47" t="s">
        <v>2489</v>
      </c>
      <c r="D489" s="47" t="s">
        <v>1296</v>
      </c>
      <c r="E489" s="47" t="s">
        <v>1298</v>
      </c>
      <c r="F489" s="45" t="s">
        <v>318</v>
      </c>
      <c r="G489" s="9" t="n">
        <v>10</v>
      </c>
      <c r="H489" s="12" t="n">
        <f aca="false">'Engineering Assumptions'!$C$44*'Engineering Assumptions'!$B$5*U489</f>
        <v>458.4</v>
      </c>
      <c r="I489" s="12" t="n">
        <v>0</v>
      </c>
      <c r="J489" s="12" t="n">
        <f aca="false">'Engineering Assumptions'!$D$44*S489*U489</f>
        <v>31.25</v>
      </c>
      <c r="K489" s="12" t="n">
        <f aca="false">'Engineering Assumptions'!$E$44*T489*U489</f>
        <v>26.25</v>
      </c>
      <c r="L489" s="13" t="n">
        <f aca="false">H489+I489+J489+K489</f>
        <v>515.9</v>
      </c>
      <c r="M489" s="12" t="n">
        <f aca="false">L489*'Engineering Assumptions'!$B$10</f>
        <v>77.385</v>
      </c>
      <c r="N489" s="13" t="n">
        <f aca="false">L489+M489</f>
        <v>593.285</v>
      </c>
      <c r="O489" s="12" t="n">
        <f aca="false">N489*'Engineering Assumptions'!$B$11</f>
        <v>118.657</v>
      </c>
      <c r="P489" s="183" t="n">
        <f aca="false">MROUND(N489+O489,10)</f>
        <v>710</v>
      </c>
      <c r="Q489" s="12" t="n">
        <f aca="false">'Fleet Pricing'!H489</f>
        <v>460</v>
      </c>
      <c r="R489" s="41" t="n">
        <v>10</v>
      </c>
      <c r="S489" s="46" t="n">
        <v>1.25</v>
      </c>
      <c r="T489" s="46" t="n">
        <v>0.75</v>
      </c>
      <c r="U489" s="46" t="n">
        <v>1</v>
      </c>
    </row>
    <row r="490" customFormat="false" ht="15" hidden="false" customHeight="true" outlineLevel="0" collapsed="false">
      <c r="A490" s="9" t="n">
        <v>459</v>
      </c>
      <c r="B490" s="47" t="s">
        <v>145</v>
      </c>
      <c r="C490" s="47" t="s">
        <v>2486</v>
      </c>
      <c r="D490" s="47" t="s">
        <v>1299</v>
      </c>
      <c r="E490" s="47" t="s">
        <v>1300</v>
      </c>
      <c r="F490" s="45" t="s">
        <v>318</v>
      </c>
      <c r="G490" s="9" t="n">
        <v>10</v>
      </c>
      <c r="H490" s="12" t="n">
        <f aca="false">'Engineering Assumptions'!$C$44*'Engineering Assumptions'!$B$5*U490</f>
        <v>458.4</v>
      </c>
      <c r="I490" s="12" t="n">
        <v>0</v>
      </c>
      <c r="J490" s="12" t="n">
        <f aca="false">'Engineering Assumptions'!$D$44*S490*U490</f>
        <v>31.25</v>
      </c>
      <c r="K490" s="12" t="n">
        <f aca="false">'Engineering Assumptions'!$E$44*T490*U490</f>
        <v>26.25</v>
      </c>
      <c r="L490" s="13" t="n">
        <f aca="false">H490+I490+J490+K490</f>
        <v>515.9</v>
      </c>
      <c r="M490" s="12" t="n">
        <f aca="false">L490*'Engineering Assumptions'!$B$10</f>
        <v>77.385</v>
      </c>
      <c r="N490" s="13" t="n">
        <f aca="false">L490+M490</f>
        <v>593.285</v>
      </c>
      <c r="O490" s="12" t="n">
        <f aca="false">N490*'Engineering Assumptions'!$B$11</f>
        <v>118.657</v>
      </c>
      <c r="P490" s="183" t="n">
        <f aca="false">MROUND(N490+O490,10)</f>
        <v>710</v>
      </c>
      <c r="Q490" s="12" t="n">
        <f aca="false">'Fleet Pricing'!H490</f>
        <v>460</v>
      </c>
      <c r="R490" s="41" t="n">
        <v>10</v>
      </c>
      <c r="S490" s="46" t="n">
        <v>1.25</v>
      </c>
      <c r="T490" s="46" t="n">
        <v>0.75</v>
      </c>
      <c r="U490" s="46" t="n">
        <v>1</v>
      </c>
    </row>
    <row r="491" customFormat="false" ht="15" hidden="false" customHeight="true" outlineLevel="0" collapsed="false">
      <c r="A491" s="9" t="n">
        <v>460</v>
      </c>
      <c r="B491" s="47" t="s">
        <v>145</v>
      </c>
      <c r="C491" s="47" t="s">
        <v>2486</v>
      </c>
      <c r="D491" s="47" t="s">
        <v>1340</v>
      </c>
      <c r="E491" s="47" t="s">
        <v>1341</v>
      </c>
      <c r="F491" s="45" t="s">
        <v>318</v>
      </c>
      <c r="G491" s="9" t="n">
        <v>10</v>
      </c>
      <c r="H491" s="12" t="n">
        <f aca="false">'Engineering Assumptions'!$C$44*'Engineering Assumptions'!$B$5*U491</f>
        <v>458.4</v>
      </c>
      <c r="I491" s="12" t="n">
        <v>0</v>
      </c>
      <c r="J491" s="12" t="n">
        <f aca="false">'Engineering Assumptions'!$D$44*S491*U491</f>
        <v>31.25</v>
      </c>
      <c r="K491" s="12" t="n">
        <f aca="false">'Engineering Assumptions'!$E$44*T491*U491</f>
        <v>26.25</v>
      </c>
      <c r="L491" s="13" t="n">
        <f aca="false">H491+I491+J491+K491</f>
        <v>515.9</v>
      </c>
      <c r="M491" s="12" t="n">
        <f aca="false">L491*'Engineering Assumptions'!$B$10</f>
        <v>77.385</v>
      </c>
      <c r="N491" s="13" t="n">
        <f aca="false">L491+M491</f>
        <v>593.285</v>
      </c>
      <c r="O491" s="12" t="n">
        <f aca="false">N491*'Engineering Assumptions'!$B$11</f>
        <v>118.657</v>
      </c>
      <c r="P491" s="183" t="n">
        <f aca="false">MROUND(N491+O491,10)</f>
        <v>710</v>
      </c>
      <c r="Q491" s="12" t="n">
        <f aca="false">'Fleet Pricing'!H491</f>
        <v>460</v>
      </c>
      <c r="R491" s="41" t="n">
        <v>10</v>
      </c>
      <c r="S491" s="46" t="n">
        <v>1.25</v>
      </c>
      <c r="T491" s="46" t="n">
        <v>0.75</v>
      </c>
      <c r="U491" s="46" t="n">
        <v>1</v>
      </c>
    </row>
    <row r="492" customFormat="false" ht="15" hidden="false" customHeight="true" outlineLevel="0" collapsed="false">
      <c r="A492" s="9" t="n">
        <v>461</v>
      </c>
      <c r="B492" s="47" t="s">
        <v>145</v>
      </c>
      <c r="C492" s="47" t="s">
        <v>2486</v>
      </c>
      <c r="D492" s="47" t="s">
        <v>1344</v>
      </c>
      <c r="E492" s="47" t="s">
        <v>1345</v>
      </c>
      <c r="F492" s="45" t="s">
        <v>318</v>
      </c>
      <c r="G492" s="9" t="n">
        <v>10</v>
      </c>
      <c r="H492" s="12" t="n">
        <f aca="false">'Engineering Assumptions'!$C$44*'Engineering Assumptions'!$B$5*U492</f>
        <v>458.4</v>
      </c>
      <c r="I492" s="12" t="n">
        <v>0</v>
      </c>
      <c r="J492" s="12" t="n">
        <f aca="false">'Engineering Assumptions'!$D$44*S492*U492</f>
        <v>31.25</v>
      </c>
      <c r="K492" s="12" t="n">
        <f aca="false">'Engineering Assumptions'!$E$44*T492*U492</f>
        <v>26.25</v>
      </c>
      <c r="L492" s="13" t="n">
        <f aca="false">H492+I492+J492+K492</f>
        <v>515.9</v>
      </c>
      <c r="M492" s="12" t="n">
        <f aca="false">L492*'Engineering Assumptions'!$B$10</f>
        <v>77.385</v>
      </c>
      <c r="N492" s="13" t="n">
        <f aca="false">L492+M492</f>
        <v>593.285</v>
      </c>
      <c r="O492" s="12" t="n">
        <f aca="false">N492*'Engineering Assumptions'!$B$11</f>
        <v>118.657</v>
      </c>
      <c r="P492" s="183" t="n">
        <f aca="false">MROUND(N492+O492,10)</f>
        <v>710</v>
      </c>
      <c r="Q492" s="12" t="n">
        <f aca="false">'Fleet Pricing'!H492</f>
        <v>460</v>
      </c>
      <c r="R492" s="41" t="n">
        <v>10</v>
      </c>
      <c r="S492" s="46" t="n">
        <v>1.25</v>
      </c>
      <c r="T492" s="46" t="n">
        <v>0.75</v>
      </c>
      <c r="U492" s="46" t="n">
        <v>1</v>
      </c>
    </row>
    <row r="493" customFormat="false" ht="15" hidden="false" customHeight="true" outlineLevel="0" collapsed="false">
      <c r="A493" s="9" t="n">
        <v>462</v>
      </c>
      <c r="B493" s="47" t="s">
        <v>145</v>
      </c>
      <c r="C493" s="47" t="s">
        <v>2488</v>
      </c>
      <c r="D493" s="47"/>
      <c r="E493" s="47"/>
      <c r="F493" s="45" t="s">
        <v>318</v>
      </c>
      <c r="G493" s="9" t="n">
        <v>10</v>
      </c>
      <c r="H493" s="12" t="n">
        <f aca="false">'Engineering Assumptions'!$C$44*'Engineering Assumptions'!$B$5*U493</f>
        <v>458.4</v>
      </c>
      <c r="I493" s="12" t="n">
        <v>0</v>
      </c>
      <c r="J493" s="12" t="n">
        <f aca="false">'Engineering Assumptions'!$D$44*S493*U493</f>
        <v>31.25</v>
      </c>
      <c r="K493" s="12" t="n">
        <f aca="false">'Engineering Assumptions'!$E$44*T493*U493</f>
        <v>26.25</v>
      </c>
      <c r="L493" s="13" t="n">
        <f aca="false">H493+I493+J493+K493</f>
        <v>515.9</v>
      </c>
      <c r="M493" s="12" t="n">
        <f aca="false">L493*'Engineering Assumptions'!$B$10</f>
        <v>77.385</v>
      </c>
      <c r="N493" s="13" t="n">
        <f aca="false">L493+M493</f>
        <v>593.285</v>
      </c>
      <c r="O493" s="12" t="n">
        <f aca="false">N493*'Engineering Assumptions'!$B$11</f>
        <v>118.657</v>
      </c>
      <c r="P493" s="183" t="n">
        <f aca="false">MROUND(N493+O493,10)</f>
        <v>710</v>
      </c>
      <c r="Q493" s="12" t="n">
        <f aca="false">'Fleet Pricing'!H493</f>
        <v>460</v>
      </c>
      <c r="R493" s="41" t="n">
        <v>10</v>
      </c>
      <c r="S493" s="46" t="n">
        <v>1.25</v>
      </c>
      <c r="T493" s="46" t="n">
        <v>0.75</v>
      </c>
      <c r="U493" s="46" t="n">
        <v>1</v>
      </c>
    </row>
    <row r="494" customFormat="false" ht="15" hidden="false" customHeight="true" outlineLevel="0" collapsed="false">
      <c r="A494" s="9" t="n">
        <v>463</v>
      </c>
      <c r="B494" s="47" t="s">
        <v>145</v>
      </c>
      <c r="C494" s="47" t="s">
        <v>2486</v>
      </c>
      <c r="D494" s="47" t="s">
        <v>1303</v>
      </c>
      <c r="E494" s="47" t="s">
        <v>1304</v>
      </c>
      <c r="F494" s="45" t="s">
        <v>315</v>
      </c>
      <c r="G494" s="9" t="n">
        <v>11</v>
      </c>
      <c r="H494" s="12" t="n">
        <f aca="false">'Engineering Assumptions'!$C$44*'Engineering Assumptions'!$B$5*U494</f>
        <v>458.4</v>
      </c>
      <c r="I494" s="12" t="n">
        <v>0</v>
      </c>
      <c r="J494" s="12" t="n">
        <f aca="false">'Engineering Assumptions'!$D$44*S494*U494</f>
        <v>38.75</v>
      </c>
      <c r="K494" s="12" t="n">
        <f aca="false">'Engineering Assumptions'!$E$44*T494*U494</f>
        <v>47.25</v>
      </c>
      <c r="L494" s="13" t="n">
        <f aca="false">H494+I494+J494+K494</f>
        <v>544.4</v>
      </c>
      <c r="M494" s="12" t="n">
        <f aca="false">L494*'Engineering Assumptions'!$B$10</f>
        <v>81.66</v>
      </c>
      <c r="N494" s="13" t="n">
        <f aca="false">L494+M494</f>
        <v>626.06</v>
      </c>
      <c r="O494" s="12" t="n">
        <f aca="false">N494*'Engineering Assumptions'!$B$11</f>
        <v>125.212</v>
      </c>
      <c r="P494" s="183" t="n">
        <f aca="false">MROUND(N494+O494,10)</f>
        <v>750</v>
      </c>
      <c r="Q494" s="12" t="n">
        <f aca="false">'Fleet Pricing'!H494</f>
        <v>460</v>
      </c>
      <c r="R494" s="41" t="n">
        <v>11</v>
      </c>
      <c r="S494" s="46" t="n">
        <v>1.55</v>
      </c>
      <c r="T494" s="46" t="n">
        <v>1.35</v>
      </c>
      <c r="U494" s="46" t="n">
        <v>1</v>
      </c>
    </row>
    <row r="495" customFormat="false" ht="15" hidden="false" customHeight="true" outlineLevel="0" collapsed="false">
      <c r="A495" s="9" t="n">
        <v>464</v>
      </c>
      <c r="B495" s="47" t="s">
        <v>145</v>
      </c>
      <c r="C495" s="47" t="s">
        <v>2486</v>
      </c>
      <c r="D495" s="47" t="s">
        <v>1342</v>
      </c>
      <c r="E495" s="47" t="s">
        <v>1343</v>
      </c>
      <c r="F495" s="45" t="s">
        <v>315</v>
      </c>
      <c r="G495" s="9" t="n">
        <v>11</v>
      </c>
      <c r="H495" s="12" t="n">
        <f aca="false">'Engineering Assumptions'!$C$44*'Engineering Assumptions'!$B$5*U495</f>
        <v>458.4</v>
      </c>
      <c r="I495" s="12" t="n">
        <v>0</v>
      </c>
      <c r="J495" s="12" t="n">
        <f aca="false">'Engineering Assumptions'!$D$44*S495*U495</f>
        <v>38.75</v>
      </c>
      <c r="K495" s="12" t="n">
        <f aca="false">'Engineering Assumptions'!$E$44*T495*U495</f>
        <v>47.25</v>
      </c>
      <c r="L495" s="13" t="n">
        <f aca="false">H495+I495+J495+K495</f>
        <v>544.4</v>
      </c>
      <c r="M495" s="12" t="n">
        <f aca="false">L495*'Engineering Assumptions'!$B$10</f>
        <v>81.66</v>
      </c>
      <c r="N495" s="13" t="n">
        <f aca="false">L495+M495</f>
        <v>626.06</v>
      </c>
      <c r="O495" s="12" t="n">
        <f aca="false">N495*'Engineering Assumptions'!$B$11</f>
        <v>125.212</v>
      </c>
      <c r="P495" s="183" t="n">
        <f aca="false">MROUND(N495+O495,10)</f>
        <v>750</v>
      </c>
      <c r="Q495" s="12" t="n">
        <f aca="false">'Fleet Pricing'!H495</f>
        <v>460</v>
      </c>
      <c r="R495" s="41" t="n">
        <v>11</v>
      </c>
      <c r="S495" s="46" t="n">
        <v>1.55</v>
      </c>
      <c r="T495" s="46" t="n">
        <v>1.35</v>
      </c>
      <c r="U495" s="46" t="n">
        <v>1</v>
      </c>
    </row>
    <row r="496" customFormat="false" ht="15" hidden="false" customHeight="true" outlineLevel="0" collapsed="false">
      <c r="A496" s="9" t="n">
        <v>465</v>
      </c>
      <c r="B496" s="47" t="s">
        <v>145</v>
      </c>
      <c r="C496" s="47" t="s">
        <v>2490</v>
      </c>
      <c r="D496" s="47" t="s">
        <v>1305</v>
      </c>
      <c r="E496" s="47" t="s">
        <v>1307</v>
      </c>
      <c r="F496" s="45" t="s">
        <v>315</v>
      </c>
      <c r="G496" s="9" t="n">
        <v>11</v>
      </c>
      <c r="H496" s="12" t="n">
        <f aca="false">'Engineering Assumptions'!$C$44*'Engineering Assumptions'!$B$5*U496</f>
        <v>458.4</v>
      </c>
      <c r="I496" s="12" t="n">
        <v>0</v>
      </c>
      <c r="J496" s="12" t="n">
        <f aca="false">'Engineering Assumptions'!$D$44*S496*U496</f>
        <v>38.75</v>
      </c>
      <c r="K496" s="12" t="n">
        <f aca="false">'Engineering Assumptions'!$E$44*T496*U496</f>
        <v>47.25</v>
      </c>
      <c r="L496" s="13" t="n">
        <f aca="false">H496+I496+J496+K496</f>
        <v>544.4</v>
      </c>
      <c r="M496" s="12" t="n">
        <f aca="false">L496*'Engineering Assumptions'!$B$10</f>
        <v>81.66</v>
      </c>
      <c r="N496" s="13" t="n">
        <f aca="false">L496+M496</f>
        <v>626.06</v>
      </c>
      <c r="O496" s="12" t="n">
        <f aca="false">N496*'Engineering Assumptions'!$B$11</f>
        <v>125.212</v>
      </c>
      <c r="P496" s="183" t="n">
        <f aca="false">MROUND(N496+O496,10)</f>
        <v>750</v>
      </c>
      <c r="Q496" s="12" t="n">
        <f aca="false">'Fleet Pricing'!H496</f>
        <v>460</v>
      </c>
      <c r="R496" s="41" t="n">
        <v>11</v>
      </c>
      <c r="S496" s="46" t="n">
        <v>1.55</v>
      </c>
      <c r="T496" s="46" t="n">
        <v>1.35</v>
      </c>
      <c r="U496" s="46" t="n">
        <v>1</v>
      </c>
    </row>
    <row r="497" customFormat="false" ht="15" hidden="false" customHeight="true" outlineLevel="0" collapsed="false">
      <c r="A497" s="9" t="n">
        <v>466</v>
      </c>
      <c r="B497" s="47" t="s">
        <v>145</v>
      </c>
      <c r="C497" s="47" t="s">
        <v>2490</v>
      </c>
      <c r="D497" s="47" t="s">
        <v>1346</v>
      </c>
      <c r="E497" s="47" t="s">
        <v>1347</v>
      </c>
      <c r="F497" s="45" t="s">
        <v>315</v>
      </c>
      <c r="G497" s="9" t="n">
        <v>11</v>
      </c>
      <c r="H497" s="12" t="n">
        <f aca="false">'Engineering Assumptions'!$C$44*'Engineering Assumptions'!$B$5*U497</f>
        <v>458.4</v>
      </c>
      <c r="I497" s="12" t="n">
        <v>0</v>
      </c>
      <c r="J497" s="12" t="n">
        <f aca="false">'Engineering Assumptions'!$D$44*S497*U497</f>
        <v>38.75</v>
      </c>
      <c r="K497" s="12" t="n">
        <f aca="false">'Engineering Assumptions'!$E$44*T497*U497</f>
        <v>47.25</v>
      </c>
      <c r="L497" s="13" t="n">
        <f aca="false">H497+I497+J497+K497</f>
        <v>544.4</v>
      </c>
      <c r="M497" s="12" t="n">
        <f aca="false">L497*'Engineering Assumptions'!$B$10</f>
        <v>81.66</v>
      </c>
      <c r="N497" s="13" t="n">
        <f aca="false">L497+M497</f>
        <v>626.06</v>
      </c>
      <c r="O497" s="12" t="n">
        <f aca="false">N497*'Engineering Assumptions'!$B$11</f>
        <v>125.212</v>
      </c>
      <c r="P497" s="183" t="n">
        <f aca="false">MROUND(N497+O497,10)</f>
        <v>750</v>
      </c>
      <c r="Q497" s="12" t="n">
        <f aca="false">'Fleet Pricing'!H497</f>
        <v>460</v>
      </c>
      <c r="R497" s="41" t="n">
        <v>11</v>
      </c>
      <c r="S497" s="46" t="n">
        <v>1.55</v>
      </c>
      <c r="T497" s="46" t="n">
        <v>1.35</v>
      </c>
      <c r="U497" s="46" t="n">
        <v>1</v>
      </c>
    </row>
    <row r="498" customFormat="false" ht="15" hidden="false" customHeight="true" outlineLevel="0" collapsed="false">
      <c r="A498" s="9" t="n">
        <v>467</v>
      </c>
      <c r="B498" s="47" t="s">
        <v>145</v>
      </c>
      <c r="C498" s="47" t="s">
        <v>2491</v>
      </c>
      <c r="D498" s="47" t="s">
        <v>1308</v>
      </c>
      <c r="E498" s="47" t="s">
        <v>1310</v>
      </c>
      <c r="F498" s="45" t="s">
        <v>380</v>
      </c>
      <c r="G498" s="9" t="n">
        <v>13</v>
      </c>
      <c r="H498" s="12" t="n">
        <f aca="false">'Engineering Assumptions'!$C$44*'Engineering Assumptions'!$B$5*U498</f>
        <v>458.4</v>
      </c>
      <c r="I498" s="12" t="n">
        <v>0</v>
      </c>
      <c r="J498" s="12" t="n">
        <f aca="false">'Engineering Assumptions'!$D$44*S498*U498</f>
        <v>38.75</v>
      </c>
      <c r="K498" s="12" t="n">
        <f aca="false">'Engineering Assumptions'!$E$44*T498*U498</f>
        <v>47.25</v>
      </c>
      <c r="L498" s="13" t="n">
        <f aca="false">H498+I498+J498+K498</f>
        <v>544.4</v>
      </c>
      <c r="M498" s="12" t="n">
        <f aca="false">L498*'Engineering Assumptions'!$B$10</f>
        <v>81.66</v>
      </c>
      <c r="N498" s="13" t="n">
        <f aca="false">L498+M498</f>
        <v>626.06</v>
      </c>
      <c r="O498" s="12" t="n">
        <f aca="false">N498*'Engineering Assumptions'!$B$11</f>
        <v>125.212</v>
      </c>
      <c r="P498" s="183" t="n">
        <f aca="false">MROUND(N498+O498,10)</f>
        <v>750</v>
      </c>
      <c r="Q498" s="12" t="n">
        <f aca="false">'Fleet Pricing'!H498</f>
        <v>410</v>
      </c>
      <c r="R498" s="41" t="n">
        <v>13</v>
      </c>
      <c r="S498" s="46" t="n">
        <v>1.55</v>
      </c>
      <c r="T498" s="46" t="n">
        <v>1.35</v>
      </c>
      <c r="U498" s="46" t="n">
        <v>1</v>
      </c>
    </row>
    <row r="499" customFormat="false" ht="15" hidden="false" customHeight="true" outlineLevel="0" collapsed="false">
      <c r="A499" s="9" t="n">
        <v>468</v>
      </c>
      <c r="B499" s="47" t="s">
        <v>145</v>
      </c>
      <c r="C499" s="47" t="s">
        <v>2491</v>
      </c>
      <c r="D499" s="47" t="s">
        <v>1350</v>
      </c>
      <c r="E499" s="47" t="s">
        <v>1351</v>
      </c>
      <c r="F499" s="45" t="s">
        <v>380</v>
      </c>
      <c r="G499" s="9" t="n">
        <v>13</v>
      </c>
      <c r="H499" s="12" t="n">
        <f aca="false">'Engineering Assumptions'!$C$44*'Engineering Assumptions'!$B$5*U499</f>
        <v>458.4</v>
      </c>
      <c r="I499" s="12" t="n">
        <v>0</v>
      </c>
      <c r="J499" s="12" t="n">
        <f aca="false">'Engineering Assumptions'!$D$44*S499*U499</f>
        <v>38.75</v>
      </c>
      <c r="K499" s="12" t="n">
        <f aca="false">'Engineering Assumptions'!$E$44*T499*U499</f>
        <v>47.25</v>
      </c>
      <c r="L499" s="13" t="n">
        <f aca="false">H499+I499+J499+K499</f>
        <v>544.4</v>
      </c>
      <c r="M499" s="12" t="n">
        <f aca="false">L499*'Engineering Assumptions'!$B$10</f>
        <v>81.66</v>
      </c>
      <c r="N499" s="13" t="n">
        <f aca="false">L499+M499</f>
        <v>626.06</v>
      </c>
      <c r="O499" s="12" t="n">
        <f aca="false">N499*'Engineering Assumptions'!$B$11</f>
        <v>125.212</v>
      </c>
      <c r="P499" s="183" t="n">
        <f aca="false">MROUND(N499+O499,10)</f>
        <v>750</v>
      </c>
      <c r="Q499" s="12" t="n">
        <f aca="false">'Fleet Pricing'!H499</f>
        <v>410</v>
      </c>
      <c r="R499" s="41" t="n">
        <v>13</v>
      </c>
      <c r="S499" s="46" t="n">
        <v>1.55</v>
      </c>
      <c r="T499" s="46" t="n">
        <v>1.35</v>
      </c>
      <c r="U499" s="46" t="n">
        <v>1</v>
      </c>
    </row>
    <row r="500" customFormat="false" ht="15" hidden="false" customHeight="true" outlineLevel="0" collapsed="false">
      <c r="A500" s="9" t="n">
        <v>469</v>
      </c>
      <c r="B500" s="47" t="s">
        <v>145</v>
      </c>
      <c r="C500" s="47" t="s">
        <v>2486</v>
      </c>
      <c r="D500" s="47" t="s">
        <v>1311</v>
      </c>
      <c r="E500" s="47" t="s">
        <v>1312</v>
      </c>
      <c r="F500" s="45" t="s">
        <v>310</v>
      </c>
      <c r="G500" s="9" t="n">
        <v>14</v>
      </c>
      <c r="H500" s="12" t="n">
        <f aca="false">'Engineering Assumptions'!$C$44*'Engineering Assumptions'!$B$5*U500</f>
        <v>458.4</v>
      </c>
      <c r="I500" s="12" t="n">
        <v>0</v>
      </c>
      <c r="J500" s="12" t="n">
        <f aca="false">'Engineering Assumptions'!$D$44*S500*U500</f>
        <v>38.75</v>
      </c>
      <c r="K500" s="12" t="n">
        <f aca="false">'Engineering Assumptions'!$E$44*T500*U500</f>
        <v>47.25</v>
      </c>
      <c r="L500" s="13" t="n">
        <f aca="false">H500+I500+J500+K500</f>
        <v>544.4</v>
      </c>
      <c r="M500" s="12" t="n">
        <f aca="false">L500*'Engineering Assumptions'!$B$10</f>
        <v>81.66</v>
      </c>
      <c r="N500" s="13" t="n">
        <f aca="false">L500+M500</f>
        <v>626.06</v>
      </c>
      <c r="O500" s="12" t="n">
        <f aca="false">N500*'Engineering Assumptions'!$B$11</f>
        <v>125.212</v>
      </c>
      <c r="P500" s="183" t="n">
        <f aca="false">MROUND(N500+O500,10)</f>
        <v>750</v>
      </c>
      <c r="Q500" s="12" t="n">
        <f aca="false">'Fleet Pricing'!H500</f>
        <v>410</v>
      </c>
      <c r="R500" s="41" t="n">
        <v>14</v>
      </c>
      <c r="S500" s="46" t="n">
        <v>1.55</v>
      </c>
      <c r="T500" s="46" t="n">
        <v>1.35</v>
      </c>
      <c r="U500" s="46" t="n">
        <v>1</v>
      </c>
    </row>
    <row r="501" customFormat="false" ht="15" hidden="false" customHeight="true" outlineLevel="0" collapsed="false">
      <c r="A501" s="9" t="n">
        <v>470</v>
      </c>
      <c r="B501" s="47" t="s">
        <v>145</v>
      </c>
      <c r="C501" s="47" t="s">
        <v>2486</v>
      </c>
      <c r="D501" s="47" t="s">
        <v>1334</v>
      </c>
      <c r="E501" s="47" t="s">
        <v>1335</v>
      </c>
      <c r="F501" s="45" t="s">
        <v>310</v>
      </c>
      <c r="G501" s="9" t="n">
        <v>14</v>
      </c>
      <c r="H501" s="12" t="n">
        <f aca="false">'Engineering Assumptions'!$C$44*'Engineering Assumptions'!$B$5*U501</f>
        <v>458.4</v>
      </c>
      <c r="I501" s="12" t="n">
        <v>0</v>
      </c>
      <c r="J501" s="12" t="n">
        <f aca="false">'Engineering Assumptions'!$D$44*S501*U501</f>
        <v>38.75</v>
      </c>
      <c r="K501" s="12" t="n">
        <f aca="false">'Engineering Assumptions'!$E$44*T501*U501</f>
        <v>47.25</v>
      </c>
      <c r="L501" s="13" t="n">
        <f aca="false">H501+I501+J501+K501</f>
        <v>544.4</v>
      </c>
      <c r="M501" s="12" t="n">
        <f aca="false">L501*'Engineering Assumptions'!$B$10</f>
        <v>81.66</v>
      </c>
      <c r="N501" s="13" t="n">
        <f aca="false">L501+M501</f>
        <v>626.06</v>
      </c>
      <c r="O501" s="12" t="n">
        <f aca="false">N501*'Engineering Assumptions'!$B$11</f>
        <v>125.212</v>
      </c>
      <c r="P501" s="183" t="n">
        <f aca="false">MROUND(N501+O501,10)</f>
        <v>750</v>
      </c>
      <c r="Q501" s="12" t="n">
        <f aca="false">'Fleet Pricing'!H501</f>
        <v>410</v>
      </c>
      <c r="R501" s="41" t="n">
        <v>14</v>
      </c>
      <c r="S501" s="46" t="n">
        <v>1.55</v>
      </c>
      <c r="T501" s="46" t="n">
        <v>1.35</v>
      </c>
      <c r="U501" s="46" t="n">
        <v>1</v>
      </c>
    </row>
    <row r="502" customFormat="false" ht="15" hidden="false" customHeight="true" outlineLevel="0" collapsed="false">
      <c r="A502" s="9" t="n">
        <v>471</v>
      </c>
      <c r="B502" s="47" t="s">
        <v>145</v>
      </c>
      <c r="C502" s="47" t="s">
        <v>2486</v>
      </c>
      <c r="D502" s="47" t="s">
        <v>1336</v>
      </c>
      <c r="E502" s="47" t="s">
        <v>1337</v>
      </c>
      <c r="F502" s="45" t="s">
        <v>310</v>
      </c>
      <c r="G502" s="9" t="n">
        <v>14</v>
      </c>
      <c r="H502" s="12" t="n">
        <f aca="false">'Engineering Assumptions'!$C$44*'Engineering Assumptions'!$B$5*U502</f>
        <v>458.4</v>
      </c>
      <c r="I502" s="12" t="n">
        <v>0</v>
      </c>
      <c r="J502" s="12" t="n">
        <f aca="false">'Engineering Assumptions'!$D$44*S502*U502</f>
        <v>38.75</v>
      </c>
      <c r="K502" s="12" t="n">
        <f aca="false">'Engineering Assumptions'!$E$44*T502*U502</f>
        <v>47.25</v>
      </c>
      <c r="L502" s="13" t="n">
        <f aca="false">H502+I502+J502+K502</f>
        <v>544.4</v>
      </c>
      <c r="M502" s="12" t="n">
        <f aca="false">L502*'Engineering Assumptions'!$B$10</f>
        <v>81.66</v>
      </c>
      <c r="N502" s="13" t="n">
        <f aca="false">L502+M502</f>
        <v>626.06</v>
      </c>
      <c r="O502" s="12" t="n">
        <f aca="false">N502*'Engineering Assumptions'!$B$11</f>
        <v>125.212</v>
      </c>
      <c r="P502" s="183" t="n">
        <f aca="false">MROUND(N502+O502,10)</f>
        <v>750</v>
      </c>
      <c r="Q502" s="12" t="n">
        <f aca="false">'Fleet Pricing'!H502</f>
        <v>410</v>
      </c>
      <c r="R502" s="41" t="n">
        <v>14</v>
      </c>
      <c r="S502" s="46" t="n">
        <v>1.55</v>
      </c>
      <c r="T502" s="46" t="n">
        <v>1.35</v>
      </c>
      <c r="U502" s="46" t="n">
        <v>1</v>
      </c>
    </row>
    <row r="503" customFormat="false" ht="15" hidden="false" customHeight="true" outlineLevel="0" collapsed="false">
      <c r="A503" s="9" t="n">
        <v>472</v>
      </c>
      <c r="B503" s="47" t="s">
        <v>145</v>
      </c>
      <c r="C503" s="47" t="s">
        <v>2491</v>
      </c>
      <c r="D503" s="47" t="s">
        <v>1313</v>
      </c>
      <c r="E503" s="47" t="s">
        <v>1314</v>
      </c>
      <c r="F503" s="45" t="s">
        <v>310</v>
      </c>
      <c r="G503" s="9" t="n">
        <v>14</v>
      </c>
      <c r="H503" s="12" t="n">
        <f aca="false">'Engineering Assumptions'!$C$44*'Engineering Assumptions'!$B$5*U503</f>
        <v>458.4</v>
      </c>
      <c r="I503" s="12" t="n">
        <v>0</v>
      </c>
      <c r="J503" s="12" t="n">
        <f aca="false">'Engineering Assumptions'!$D$44*S503*U503</f>
        <v>38.75</v>
      </c>
      <c r="K503" s="12" t="n">
        <f aca="false">'Engineering Assumptions'!$E$44*T503*U503</f>
        <v>47.25</v>
      </c>
      <c r="L503" s="13" t="n">
        <f aca="false">H503+I503+J503+K503</f>
        <v>544.4</v>
      </c>
      <c r="M503" s="12" t="n">
        <f aca="false">L503*'Engineering Assumptions'!$B$10</f>
        <v>81.66</v>
      </c>
      <c r="N503" s="13" t="n">
        <f aca="false">L503+M503</f>
        <v>626.06</v>
      </c>
      <c r="O503" s="12" t="n">
        <f aca="false">N503*'Engineering Assumptions'!$B$11</f>
        <v>125.212</v>
      </c>
      <c r="P503" s="183" t="n">
        <f aca="false">MROUND(N503+O503,10)</f>
        <v>750</v>
      </c>
      <c r="Q503" s="12" t="n">
        <f aca="false">'Fleet Pricing'!H503</f>
        <v>410</v>
      </c>
      <c r="R503" s="41" t="n">
        <v>14</v>
      </c>
      <c r="S503" s="46" t="n">
        <v>1.55</v>
      </c>
      <c r="T503" s="46" t="n">
        <v>1.35</v>
      </c>
      <c r="U503" s="46" t="n">
        <v>1</v>
      </c>
    </row>
    <row r="504" customFormat="false" ht="15" hidden="false" customHeight="true" outlineLevel="0" collapsed="false">
      <c r="A504" s="9" t="n">
        <v>473</v>
      </c>
      <c r="B504" s="47" t="s">
        <v>145</v>
      </c>
      <c r="C504" s="47" t="s">
        <v>2491</v>
      </c>
      <c r="D504" s="47" t="s">
        <v>1338</v>
      </c>
      <c r="E504" s="47" t="s">
        <v>1339</v>
      </c>
      <c r="F504" s="45" t="s">
        <v>310</v>
      </c>
      <c r="G504" s="9" t="n">
        <v>14</v>
      </c>
      <c r="H504" s="12" t="n">
        <f aca="false">'Engineering Assumptions'!$C$44*'Engineering Assumptions'!$B$5*U504</f>
        <v>458.4</v>
      </c>
      <c r="I504" s="12" t="n">
        <v>0</v>
      </c>
      <c r="J504" s="12" t="n">
        <f aca="false">'Engineering Assumptions'!$D$44*S504*U504</f>
        <v>38.75</v>
      </c>
      <c r="K504" s="12" t="n">
        <f aca="false">'Engineering Assumptions'!$E$44*T504*U504</f>
        <v>47.25</v>
      </c>
      <c r="L504" s="13" t="n">
        <f aca="false">H504+I504+J504+K504</f>
        <v>544.4</v>
      </c>
      <c r="M504" s="12" t="n">
        <f aca="false">L504*'Engineering Assumptions'!$B$10</f>
        <v>81.66</v>
      </c>
      <c r="N504" s="13" t="n">
        <f aca="false">L504+M504</f>
        <v>626.06</v>
      </c>
      <c r="O504" s="12" t="n">
        <f aca="false">N504*'Engineering Assumptions'!$B$11</f>
        <v>125.212</v>
      </c>
      <c r="P504" s="183" t="n">
        <f aca="false">MROUND(N504+O504,10)</f>
        <v>750</v>
      </c>
      <c r="Q504" s="12" t="n">
        <f aca="false">'Fleet Pricing'!H504</f>
        <v>410</v>
      </c>
      <c r="R504" s="41" t="n">
        <v>14</v>
      </c>
      <c r="S504" s="46" t="n">
        <v>1.55</v>
      </c>
      <c r="T504" s="46" t="n">
        <v>1.35</v>
      </c>
      <c r="U504" s="46" t="n">
        <v>1</v>
      </c>
    </row>
    <row r="505" customFormat="false" ht="15" hidden="false" customHeight="true" outlineLevel="0" collapsed="false">
      <c r="A505" s="9" t="n">
        <v>474</v>
      </c>
      <c r="B505" s="47" t="s">
        <v>145</v>
      </c>
      <c r="C505" s="47" t="s">
        <v>2491</v>
      </c>
      <c r="D505" s="47" t="s">
        <v>1348</v>
      </c>
      <c r="E505" s="47" t="s">
        <v>1349</v>
      </c>
      <c r="F505" s="45" t="s">
        <v>310</v>
      </c>
      <c r="G505" s="9" t="n">
        <v>14</v>
      </c>
      <c r="H505" s="12" t="n">
        <f aca="false">'Engineering Assumptions'!$C$44*'Engineering Assumptions'!$B$5*U505</f>
        <v>458.4</v>
      </c>
      <c r="I505" s="12" t="n">
        <v>0</v>
      </c>
      <c r="J505" s="12" t="n">
        <f aca="false">'Engineering Assumptions'!$D$44*S505*U505</f>
        <v>38.75</v>
      </c>
      <c r="K505" s="12" t="n">
        <f aca="false">'Engineering Assumptions'!$E$44*T505*U505</f>
        <v>47.25</v>
      </c>
      <c r="L505" s="13" t="n">
        <f aca="false">H505+I505+J505+K505</f>
        <v>544.4</v>
      </c>
      <c r="M505" s="12" t="n">
        <f aca="false">L505*'Engineering Assumptions'!$B$10</f>
        <v>81.66</v>
      </c>
      <c r="N505" s="13" t="n">
        <f aca="false">L505+M505</f>
        <v>626.06</v>
      </c>
      <c r="O505" s="12" t="n">
        <f aca="false">N505*'Engineering Assumptions'!$B$11</f>
        <v>125.212</v>
      </c>
      <c r="P505" s="183" t="n">
        <f aca="false">MROUND(N505+O505,10)</f>
        <v>750</v>
      </c>
      <c r="Q505" s="12" t="n">
        <f aca="false">'Fleet Pricing'!H505</f>
        <v>410</v>
      </c>
      <c r="R505" s="41" t="n">
        <v>14</v>
      </c>
      <c r="S505" s="46" t="n">
        <v>1.55</v>
      </c>
      <c r="T505" s="46" t="n">
        <v>1.35</v>
      </c>
      <c r="U505" s="46" t="n">
        <v>1</v>
      </c>
    </row>
    <row r="506" customFormat="false" ht="15" hidden="false" customHeight="true" outlineLevel="0" collapsed="false">
      <c r="A506" s="9" t="n">
        <v>475</v>
      </c>
      <c r="B506" s="47" t="s">
        <v>145</v>
      </c>
      <c r="C506" s="47" t="s">
        <v>2491</v>
      </c>
      <c r="D506" s="47" t="s">
        <v>1315</v>
      </c>
      <c r="E506" s="47" t="s">
        <v>1316</v>
      </c>
      <c r="F506" s="45" t="s">
        <v>748</v>
      </c>
      <c r="G506" s="9" t="n">
        <v>15</v>
      </c>
      <c r="H506" s="12" t="n">
        <f aca="false">'Engineering Assumptions'!$C$44*'Engineering Assumptions'!$B$5*U506</f>
        <v>458.4</v>
      </c>
      <c r="I506" s="12" t="n">
        <v>0</v>
      </c>
      <c r="J506" s="12" t="n">
        <f aca="false">'Engineering Assumptions'!$D$44*S506*U506</f>
        <v>38.75</v>
      </c>
      <c r="K506" s="12" t="n">
        <f aca="false">'Engineering Assumptions'!$E$44*T506*U506</f>
        <v>47.25</v>
      </c>
      <c r="L506" s="13" t="n">
        <f aca="false">H506+I506+J506+K506</f>
        <v>544.4</v>
      </c>
      <c r="M506" s="12" t="n">
        <f aca="false">L506*'Engineering Assumptions'!$B$10</f>
        <v>81.66</v>
      </c>
      <c r="N506" s="13" t="n">
        <f aca="false">L506+M506</f>
        <v>626.06</v>
      </c>
      <c r="O506" s="12" t="n">
        <f aca="false">N506*'Engineering Assumptions'!$B$11</f>
        <v>125.212</v>
      </c>
      <c r="P506" s="183" t="n">
        <f aca="false">MROUND(N506+O506,10)</f>
        <v>750</v>
      </c>
      <c r="Q506" s="12" t="n">
        <f aca="false">'Fleet Pricing'!H506</f>
        <v>410</v>
      </c>
      <c r="R506" s="41" t="n">
        <v>15</v>
      </c>
      <c r="S506" s="46" t="n">
        <v>1.55</v>
      </c>
      <c r="T506" s="46" t="n">
        <v>1.35</v>
      </c>
      <c r="U506" s="46" t="n">
        <v>1</v>
      </c>
    </row>
    <row r="507" customFormat="false" ht="15" hidden="false" customHeight="true" outlineLevel="0" collapsed="false">
      <c r="A507" s="9" t="n">
        <v>476</v>
      </c>
      <c r="B507" s="47" t="s">
        <v>145</v>
      </c>
      <c r="C507" s="47" t="s">
        <v>2491</v>
      </c>
      <c r="D507" s="47" t="s">
        <v>1292</v>
      </c>
      <c r="E507" s="47" t="s">
        <v>1293</v>
      </c>
      <c r="F507" s="45" t="s">
        <v>748</v>
      </c>
      <c r="G507" s="9" t="n">
        <v>15</v>
      </c>
      <c r="H507" s="12" t="n">
        <f aca="false">'Engineering Assumptions'!$C$44*'Engineering Assumptions'!$B$5*U507</f>
        <v>458.4</v>
      </c>
      <c r="I507" s="12" t="n">
        <v>0</v>
      </c>
      <c r="J507" s="12" t="n">
        <f aca="false">'Engineering Assumptions'!$D$44*S507*U507</f>
        <v>38.75</v>
      </c>
      <c r="K507" s="12" t="n">
        <f aca="false">'Engineering Assumptions'!$E$44*T507*U507</f>
        <v>47.25</v>
      </c>
      <c r="L507" s="13" t="n">
        <f aca="false">H507+I507+J507+K507</f>
        <v>544.4</v>
      </c>
      <c r="M507" s="12" t="n">
        <f aca="false">L507*'Engineering Assumptions'!$B$10</f>
        <v>81.66</v>
      </c>
      <c r="N507" s="13" t="n">
        <f aca="false">L507+M507</f>
        <v>626.06</v>
      </c>
      <c r="O507" s="12" t="n">
        <f aca="false">N507*'Engineering Assumptions'!$B$11</f>
        <v>125.212</v>
      </c>
      <c r="P507" s="183" t="n">
        <f aca="false">MROUND(N507+O507,10)</f>
        <v>750</v>
      </c>
      <c r="Q507" s="12" t="n">
        <f aca="false">'Fleet Pricing'!H507</f>
        <v>410</v>
      </c>
      <c r="R507" s="41" t="n">
        <v>15</v>
      </c>
      <c r="S507" s="46" t="n">
        <v>1.55</v>
      </c>
      <c r="T507" s="46" t="n">
        <v>1.35</v>
      </c>
      <c r="U507" s="46" t="n">
        <v>1</v>
      </c>
    </row>
    <row r="508" customFormat="false" ht="15" hidden="false" customHeight="true" outlineLevel="0" collapsed="false">
      <c r="A508" s="9" t="n">
        <v>477</v>
      </c>
      <c r="B508" s="47" t="s">
        <v>145</v>
      </c>
      <c r="C508" s="47" t="s">
        <v>2491</v>
      </c>
      <c r="D508" s="47" t="s">
        <v>1352</v>
      </c>
      <c r="E508" s="47" t="s">
        <v>1353</v>
      </c>
      <c r="F508" s="45" t="s">
        <v>748</v>
      </c>
      <c r="G508" s="9" t="n">
        <v>15</v>
      </c>
      <c r="H508" s="12" t="n">
        <f aca="false">'Engineering Assumptions'!$C$44*'Engineering Assumptions'!$B$5*U508</f>
        <v>458.4</v>
      </c>
      <c r="I508" s="12" t="n">
        <v>0</v>
      </c>
      <c r="J508" s="12" t="n">
        <f aca="false">'Engineering Assumptions'!$D$44*S508*U508</f>
        <v>38.75</v>
      </c>
      <c r="K508" s="12" t="n">
        <f aca="false">'Engineering Assumptions'!$E$44*T508*U508</f>
        <v>47.25</v>
      </c>
      <c r="L508" s="13" t="n">
        <f aca="false">H508+I508+J508+K508</f>
        <v>544.4</v>
      </c>
      <c r="M508" s="12" t="n">
        <f aca="false">L508*'Engineering Assumptions'!$B$10</f>
        <v>81.66</v>
      </c>
      <c r="N508" s="13" t="n">
        <f aca="false">L508+M508</f>
        <v>626.06</v>
      </c>
      <c r="O508" s="12" t="n">
        <f aca="false">N508*'Engineering Assumptions'!$B$11</f>
        <v>125.212</v>
      </c>
      <c r="P508" s="183" t="n">
        <f aca="false">MROUND(N508+O508,10)</f>
        <v>750</v>
      </c>
      <c r="Q508" s="12" t="n">
        <f aca="false">'Fleet Pricing'!H508</f>
        <v>410</v>
      </c>
      <c r="R508" s="41" t="n">
        <v>15</v>
      </c>
      <c r="S508" s="46" t="n">
        <v>1.55</v>
      </c>
      <c r="T508" s="46" t="n">
        <v>1.35</v>
      </c>
      <c r="U508" s="46" t="n">
        <v>1</v>
      </c>
    </row>
    <row r="509" customFormat="false" ht="15" hidden="false" customHeight="true" outlineLevel="0" collapsed="false">
      <c r="A509" s="9" t="n">
        <v>478</v>
      </c>
      <c r="B509" s="47" t="s">
        <v>145</v>
      </c>
      <c r="C509" s="47" t="s">
        <v>2492</v>
      </c>
      <c r="D509" s="47" t="s">
        <v>1317</v>
      </c>
      <c r="E509" s="47" t="s">
        <v>1319</v>
      </c>
      <c r="F509" s="45" t="s">
        <v>810</v>
      </c>
      <c r="G509" s="9" t="n">
        <v>19</v>
      </c>
      <c r="H509" s="12" t="n">
        <f aca="false">'Engineering Assumptions'!$C$44*'Engineering Assumptions'!$B$5*U509</f>
        <v>458.4</v>
      </c>
      <c r="I509" s="12" t="n">
        <v>0</v>
      </c>
      <c r="J509" s="12" t="n">
        <f aca="false">'Engineering Assumptions'!$D$44*S509*U509</f>
        <v>48.75</v>
      </c>
      <c r="K509" s="12" t="n">
        <f aca="false">'Engineering Assumptions'!$E$44*T509*U509</f>
        <v>73.5</v>
      </c>
      <c r="L509" s="13" t="n">
        <f aca="false">H509+I509+J509+K509</f>
        <v>580.65</v>
      </c>
      <c r="M509" s="12" t="n">
        <f aca="false">L509*'Engineering Assumptions'!$B$10</f>
        <v>87.0975</v>
      </c>
      <c r="N509" s="13" t="n">
        <f aca="false">L509+M509</f>
        <v>667.7475</v>
      </c>
      <c r="O509" s="12" t="n">
        <f aca="false">N509*'Engineering Assumptions'!$B$11</f>
        <v>133.5495</v>
      </c>
      <c r="P509" s="183" t="n">
        <f aca="false">MROUND(N509+O509,10)</f>
        <v>800</v>
      </c>
      <c r="Q509" s="12" t="n">
        <f aca="false">'Fleet Pricing'!H509</f>
        <v>360</v>
      </c>
      <c r="R509" s="41" t="n">
        <v>19</v>
      </c>
      <c r="S509" s="46" t="n">
        <v>1.95</v>
      </c>
      <c r="T509" s="46" t="n">
        <v>2.1</v>
      </c>
      <c r="U509" s="46" t="n">
        <v>1</v>
      </c>
    </row>
    <row r="510" customFormat="false" ht="15" hidden="false" customHeight="true" outlineLevel="0" collapsed="false">
      <c r="A510" s="9" t="n">
        <v>479</v>
      </c>
      <c r="B510" s="47" t="s">
        <v>145</v>
      </c>
      <c r="C510" s="47" t="s">
        <v>2493</v>
      </c>
      <c r="D510" s="47" t="s">
        <v>1320</v>
      </c>
      <c r="E510" s="47" t="s">
        <v>1322</v>
      </c>
      <c r="F510" s="45" t="s">
        <v>348</v>
      </c>
      <c r="G510" s="9" t="n">
        <v>20</v>
      </c>
      <c r="H510" s="12" t="n">
        <f aca="false">'Engineering Assumptions'!$C$44*'Engineering Assumptions'!$B$5*U510</f>
        <v>458.4</v>
      </c>
      <c r="I510" s="12" t="n">
        <v>0</v>
      </c>
      <c r="J510" s="12" t="n">
        <f aca="false">'Engineering Assumptions'!$D$44*S510*U510</f>
        <v>48.75</v>
      </c>
      <c r="K510" s="12" t="n">
        <f aca="false">'Engineering Assumptions'!$E$44*T510*U510</f>
        <v>73.5</v>
      </c>
      <c r="L510" s="13" t="n">
        <f aca="false">H510+I510+J510+K510</f>
        <v>580.65</v>
      </c>
      <c r="M510" s="12" t="n">
        <f aca="false">L510*'Engineering Assumptions'!$B$10</f>
        <v>87.0975</v>
      </c>
      <c r="N510" s="13" t="n">
        <f aca="false">L510+M510</f>
        <v>667.7475</v>
      </c>
      <c r="O510" s="12" t="n">
        <f aca="false">N510*'Engineering Assumptions'!$B$11</f>
        <v>133.5495</v>
      </c>
      <c r="P510" s="183" t="n">
        <f aca="false">MROUND(N510+O510,10)</f>
        <v>800</v>
      </c>
      <c r="Q510" s="12" t="n">
        <f aca="false">'Fleet Pricing'!H510</f>
        <v>360</v>
      </c>
      <c r="R510" s="41" t="n">
        <v>20</v>
      </c>
      <c r="S510" s="46" t="n">
        <v>1.95</v>
      </c>
      <c r="T510" s="46" t="n">
        <v>2.1</v>
      </c>
      <c r="U510" s="46" t="n">
        <v>1</v>
      </c>
    </row>
    <row r="511" customFormat="false" ht="15" hidden="false" customHeight="true" outlineLevel="0" collapsed="false">
      <c r="A511" s="9" t="n">
        <v>480</v>
      </c>
      <c r="B511" s="47" t="s">
        <v>145</v>
      </c>
      <c r="C511" s="47" t="s">
        <v>2493</v>
      </c>
      <c r="D511" s="47" t="s">
        <v>1289</v>
      </c>
      <c r="E511" s="47" t="s">
        <v>1291</v>
      </c>
      <c r="F511" s="45" t="s">
        <v>348</v>
      </c>
      <c r="G511" s="9" t="n">
        <v>20</v>
      </c>
      <c r="H511" s="12" t="n">
        <f aca="false">'Engineering Assumptions'!$C$44*'Engineering Assumptions'!$B$5*U511</f>
        <v>458.4</v>
      </c>
      <c r="I511" s="12" t="n">
        <v>0</v>
      </c>
      <c r="J511" s="12" t="n">
        <f aca="false">'Engineering Assumptions'!$D$44*S511*U511</f>
        <v>48.75</v>
      </c>
      <c r="K511" s="12" t="n">
        <f aca="false">'Engineering Assumptions'!$E$44*T511*U511</f>
        <v>73.5</v>
      </c>
      <c r="L511" s="13" t="n">
        <f aca="false">H511+I511+J511+K511</f>
        <v>580.65</v>
      </c>
      <c r="M511" s="12" t="n">
        <f aca="false">L511*'Engineering Assumptions'!$B$10</f>
        <v>87.0975</v>
      </c>
      <c r="N511" s="13" t="n">
        <f aca="false">L511+M511</f>
        <v>667.7475</v>
      </c>
      <c r="O511" s="12" t="n">
        <f aca="false">N511*'Engineering Assumptions'!$B$11</f>
        <v>133.5495</v>
      </c>
      <c r="P511" s="183" t="n">
        <f aca="false">MROUND(N511+O511,10)</f>
        <v>800</v>
      </c>
      <c r="Q511" s="12" t="n">
        <f aca="false">'Fleet Pricing'!H511</f>
        <v>360</v>
      </c>
      <c r="R511" s="41" t="n">
        <v>20</v>
      </c>
      <c r="S511" s="46" t="n">
        <v>1.95</v>
      </c>
      <c r="T511" s="46" t="n">
        <v>2.1</v>
      </c>
      <c r="U511" s="46" t="n">
        <v>1</v>
      </c>
    </row>
    <row r="512" customFormat="false" ht="15" hidden="false" customHeight="true" outlineLevel="0" collapsed="false">
      <c r="A512" s="9" t="n">
        <v>481</v>
      </c>
      <c r="B512" s="47" t="s">
        <v>145</v>
      </c>
      <c r="C512" s="47" t="s">
        <v>2494</v>
      </c>
      <c r="D512" s="47" t="s">
        <v>1324</v>
      </c>
      <c r="E512" s="47" t="s">
        <v>1326</v>
      </c>
      <c r="F512" s="45" t="s">
        <v>348</v>
      </c>
      <c r="G512" s="9" t="n">
        <v>20</v>
      </c>
      <c r="H512" s="12" t="n">
        <f aca="false">'Engineering Assumptions'!$C$44*'Engineering Assumptions'!$B$5*U512</f>
        <v>458.4</v>
      </c>
      <c r="I512" s="12" t="n">
        <v>0</v>
      </c>
      <c r="J512" s="12" t="n">
        <f aca="false">'Engineering Assumptions'!$D$44*S512*U512</f>
        <v>48.75</v>
      </c>
      <c r="K512" s="12" t="n">
        <f aca="false">'Engineering Assumptions'!$E$44*T512*U512</f>
        <v>73.5</v>
      </c>
      <c r="L512" s="13" t="n">
        <f aca="false">H512+I512+J512+K512</f>
        <v>580.65</v>
      </c>
      <c r="M512" s="12" t="n">
        <f aca="false">L512*'Engineering Assumptions'!$B$10</f>
        <v>87.0975</v>
      </c>
      <c r="N512" s="13" t="n">
        <f aca="false">L512+M512</f>
        <v>667.7475</v>
      </c>
      <c r="O512" s="12" t="n">
        <f aca="false">N512*'Engineering Assumptions'!$B$11</f>
        <v>133.5495</v>
      </c>
      <c r="P512" s="183" t="n">
        <f aca="false">MROUND(N512+O512,10)</f>
        <v>800</v>
      </c>
      <c r="Q512" s="12" t="n">
        <f aca="false">'Fleet Pricing'!H512</f>
        <v>360</v>
      </c>
      <c r="R512" s="41" t="n">
        <v>20</v>
      </c>
      <c r="S512" s="46" t="n">
        <v>1.95</v>
      </c>
      <c r="T512" s="46" t="n">
        <v>2.1</v>
      </c>
      <c r="U512" s="46" t="n">
        <v>1</v>
      </c>
    </row>
    <row r="513" customFormat="false" ht="15" hidden="false" customHeight="true" outlineLevel="0" collapsed="false">
      <c r="A513" s="9" t="n">
        <v>482</v>
      </c>
      <c r="B513" s="47" t="s">
        <v>145</v>
      </c>
      <c r="C513" s="47" t="s">
        <v>2495</v>
      </c>
      <c r="D513" s="47"/>
      <c r="E513" s="47"/>
      <c r="F513" s="45" t="s">
        <v>353</v>
      </c>
      <c r="G513" s="9" t="n">
        <v>22</v>
      </c>
      <c r="H513" s="12" t="n">
        <f aca="false">'Engineering Assumptions'!$C$44*'Engineering Assumptions'!$B$5*U513</f>
        <v>458.4</v>
      </c>
      <c r="I513" s="12" t="n">
        <v>0</v>
      </c>
      <c r="J513" s="12" t="n">
        <f aca="false">'Engineering Assumptions'!$D$44*S513*U513</f>
        <v>60</v>
      </c>
      <c r="K513" s="12" t="n">
        <f aca="false">'Engineering Assumptions'!$E$44*T513*U513</f>
        <v>105</v>
      </c>
      <c r="L513" s="13" t="n">
        <f aca="false">H513+I513+J513+K513</f>
        <v>623.4</v>
      </c>
      <c r="M513" s="12" t="n">
        <f aca="false">L513*'Engineering Assumptions'!$B$10</f>
        <v>93.51</v>
      </c>
      <c r="N513" s="13" t="n">
        <f aca="false">L513+M513</f>
        <v>716.91</v>
      </c>
      <c r="O513" s="12" t="n">
        <f aca="false">N513*'Engineering Assumptions'!$B$11</f>
        <v>143.382</v>
      </c>
      <c r="P513" s="183" t="n">
        <f aca="false">MROUND(N513+O513,10)</f>
        <v>860</v>
      </c>
      <c r="Q513" s="12" t="n">
        <f aca="false">'Fleet Pricing'!H513</f>
        <v>330</v>
      </c>
      <c r="R513" s="41" t="n">
        <v>22</v>
      </c>
      <c r="S513" s="46" t="n">
        <v>2.4</v>
      </c>
      <c r="T513" s="46" t="n">
        <v>3</v>
      </c>
      <c r="U513" s="46" t="n">
        <v>1</v>
      </c>
    </row>
    <row r="514" customFormat="false" ht="23.25" hidden="false" customHeight="true" outlineLevel="0" collapsed="false">
      <c r="A514" s="9" t="n">
        <v>483</v>
      </c>
      <c r="B514" s="47" t="s">
        <v>145</v>
      </c>
      <c r="C514" s="47" t="s">
        <v>2496</v>
      </c>
      <c r="D514" s="47" t="s">
        <v>1331</v>
      </c>
      <c r="E514" s="47" t="s">
        <v>1333</v>
      </c>
      <c r="F514" s="45" t="s">
        <v>423</v>
      </c>
      <c r="G514" s="9" t="n">
        <v>23</v>
      </c>
      <c r="H514" s="12" t="n">
        <f aca="false">'Engineering Assumptions'!$C$44*'Engineering Assumptions'!$B$5*U514</f>
        <v>458.4</v>
      </c>
      <c r="I514" s="12" t="n">
        <v>0</v>
      </c>
      <c r="J514" s="12" t="n">
        <f aca="false">'Engineering Assumptions'!$D$44*S514*U514</f>
        <v>60</v>
      </c>
      <c r="K514" s="12" t="n">
        <f aca="false">'Engineering Assumptions'!$E$44*T514*U514</f>
        <v>105</v>
      </c>
      <c r="L514" s="13" t="n">
        <f aca="false">H514+I514+J514+K514</f>
        <v>623.4</v>
      </c>
      <c r="M514" s="12" t="n">
        <f aca="false">L514*'Engineering Assumptions'!$B$10</f>
        <v>93.51</v>
      </c>
      <c r="N514" s="13" t="n">
        <f aca="false">L514+M514</f>
        <v>716.91</v>
      </c>
      <c r="O514" s="12" t="n">
        <f aca="false">N514*'Engineering Assumptions'!$B$11</f>
        <v>143.382</v>
      </c>
      <c r="P514" s="183" t="n">
        <f aca="false">MROUND(N514+O514,10)</f>
        <v>860</v>
      </c>
      <c r="Q514" s="12" t="n">
        <f aca="false">'Fleet Pricing'!H514</f>
        <v>330</v>
      </c>
      <c r="R514" s="41" t="n">
        <v>23</v>
      </c>
      <c r="S514" s="46" t="n">
        <v>2.4</v>
      </c>
      <c r="T514" s="46" t="n">
        <v>3</v>
      </c>
      <c r="U514" s="46" t="n">
        <v>1</v>
      </c>
    </row>
    <row r="515" customFormat="false" ht="15" hidden="false" customHeight="true" outlineLevel="0" collapsed="false">
      <c r="A515" s="9" t="n">
        <v>484</v>
      </c>
      <c r="B515" s="47" t="s">
        <v>145</v>
      </c>
      <c r="C515" s="47" t="s">
        <v>2313</v>
      </c>
      <c r="D515" s="47" t="s">
        <v>1371</v>
      </c>
      <c r="E515" s="47" t="s">
        <v>1372</v>
      </c>
      <c r="F515" s="45" t="s">
        <v>472</v>
      </c>
      <c r="G515" s="9" t="n">
        <v>30</v>
      </c>
      <c r="H515" s="12" t="n">
        <f aca="false">'Engineering Assumptions'!$C$44*'Engineering Assumptions'!$B$5*U515</f>
        <v>458.4</v>
      </c>
      <c r="I515" s="12" t="n">
        <v>0</v>
      </c>
      <c r="J515" s="12" t="n">
        <f aca="false">'Engineering Assumptions'!$D$44*S515*U515</f>
        <v>60</v>
      </c>
      <c r="K515" s="12" t="n">
        <f aca="false">'Engineering Assumptions'!$E$44*T515*U515</f>
        <v>105</v>
      </c>
      <c r="L515" s="13" t="n">
        <f aca="false">H515+I515+J515+K515</f>
        <v>623.4</v>
      </c>
      <c r="M515" s="12" t="n">
        <f aca="false">L515*'Engineering Assumptions'!$B$10</f>
        <v>93.51</v>
      </c>
      <c r="N515" s="13" t="n">
        <f aca="false">L515+M515</f>
        <v>716.91</v>
      </c>
      <c r="O515" s="12" t="n">
        <f aca="false">N515*'Engineering Assumptions'!$B$11</f>
        <v>143.382</v>
      </c>
      <c r="P515" s="183" t="n">
        <f aca="false">MROUND(N515+O515,10)</f>
        <v>860</v>
      </c>
      <c r="Q515" s="12" t="n">
        <f aca="false">'Fleet Pricing'!H515</f>
        <v>290</v>
      </c>
      <c r="R515" s="41" t="n">
        <v>30</v>
      </c>
      <c r="S515" s="46" t="n">
        <v>2.4</v>
      </c>
      <c r="T515" s="46" t="n">
        <v>3</v>
      </c>
      <c r="U515" s="46" t="n">
        <v>1</v>
      </c>
    </row>
    <row r="516" customFormat="false" ht="15" hidden="false" customHeight="true" outlineLevel="0" collapsed="false">
      <c r="A516" s="9" t="n">
        <v>485</v>
      </c>
      <c r="B516" s="47" t="s">
        <v>145</v>
      </c>
      <c r="C516" s="47" t="s">
        <v>2313</v>
      </c>
      <c r="D516" s="47"/>
      <c r="E516" s="47"/>
      <c r="F516" s="45" t="s">
        <v>472</v>
      </c>
      <c r="G516" s="9" t="n">
        <v>30</v>
      </c>
      <c r="H516" s="12" t="n">
        <f aca="false">'Engineering Assumptions'!$C$44*'Engineering Assumptions'!$B$5*U516</f>
        <v>458.4</v>
      </c>
      <c r="I516" s="12" t="n">
        <v>0</v>
      </c>
      <c r="J516" s="12" t="n">
        <f aca="false">'Engineering Assumptions'!$D$44*S516*U516</f>
        <v>60</v>
      </c>
      <c r="K516" s="12" t="n">
        <f aca="false">'Engineering Assumptions'!$E$44*T516*U516</f>
        <v>105</v>
      </c>
      <c r="L516" s="13" t="n">
        <f aca="false">H516+I516+J516+K516</f>
        <v>623.4</v>
      </c>
      <c r="M516" s="12" t="n">
        <f aca="false">L516*'Engineering Assumptions'!$B$10</f>
        <v>93.51</v>
      </c>
      <c r="N516" s="13" t="n">
        <f aca="false">L516+M516</f>
        <v>716.91</v>
      </c>
      <c r="O516" s="12" t="n">
        <f aca="false">N516*'Engineering Assumptions'!$B$11</f>
        <v>143.382</v>
      </c>
      <c r="P516" s="183" t="n">
        <f aca="false">MROUND(N516+O516,10)</f>
        <v>860</v>
      </c>
      <c r="Q516" s="12" t="n">
        <f aca="false">'Fleet Pricing'!H516</f>
        <v>290</v>
      </c>
      <c r="R516" s="41" t="n">
        <v>30</v>
      </c>
      <c r="S516" s="46" t="n">
        <v>2.4</v>
      </c>
      <c r="T516" s="46" t="n">
        <v>3</v>
      </c>
      <c r="U516" s="46" t="n">
        <v>1</v>
      </c>
    </row>
    <row r="517" customFormat="false" ht="15" hidden="false" customHeight="true" outlineLevel="0" collapsed="false">
      <c r="A517" s="9" t="n">
        <v>486</v>
      </c>
      <c r="B517" s="47" t="s">
        <v>145</v>
      </c>
      <c r="C517" s="47" t="s">
        <v>2313</v>
      </c>
      <c r="D517" s="47"/>
      <c r="E517" s="47"/>
      <c r="F517" s="45" t="s">
        <v>472</v>
      </c>
      <c r="G517" s="9" t="n">
        <v>30</v>
      </c>
      <c r="H517" s="12" t="n">
        <f aca="false">'Engineering Assumptions'!$C$44*'Engineering Assumptions'!$B$5*U517</f>
        <v>458.4</v>
      </c>
      <c r="I517" s="12" t="n">
        <v>0</v>
      </c>
      <c r="J517" s="12" t="n">
        <f aca="false">'Engineering Assumptions'!$D$44*S517*U517</f>
        <v>60</v>
      </c>
      <c r="K517" s="12" t="n">
        <f aca="false">'Engineering Assumptions'!$E$44*T517*U517</f>
        <v>105</v>
      </c>
      <c r="L517" s="13" t="n">
        <f aca="false">H517+I517+J517+K517</f>
        <v>623.4</v>
      </c>
      <c r="M517" s="12" t="n">
        <f aca="false">L517*'Engineering Assumptions'!$B$10</f>
        <v>93.51</v>
      </c>
      <c r="N517" s="13" t="n">
        <f aca="false">L517+M517</f>
        <v>716.91</v>
      </c>
      <c r="O517" s="12" t="n">
        <f aca="false">N517*'Engineering Assumptions'!$B$11</f>
        <v>143.382</v>
      </c>
      <c r="P517" s="183" t="n">
        <f aca="false">MROUND(N517+O517,10)</f>
        <v>860</v>
      </c>
      <c r="Q517" s="12" t="n">
        <f aca="false">'Fleet Pricing'!H517</f>
        <v>290</v>
      </c>
      <c r="R517" s="41" t="n">
        <v>30</v>
      </c>
      <c r="S517" s="46" t="n">
        <v>2.4</v>
      </c>
      <c r="T517" s="46" t="n">
        <v>3</v>
      </c>
      <c r="U517" s="46" t="n">
        <v>1</v>
      </c>
    </row>
    <row r="518" customFormat="false" ht="15" hidden="false" customHeight="true" outlineLevel="0" collapsed="false">
      <c r="A518" s="9" t="n">
        <v>487</v>
      </c>
      <c r="B518" s="47" t="s">
        <v>145</v>
      </c>
      <c r="C518" s="47" t="s">
        <v>2313</v>
      </c>
      <c r="D518" s="47"/>
      <c r="E518" s="47"/>
      <c r="F518" s="45" t="s">
        <v>472</v>
      </c>
      <c r="G518" s="9" t="n">
        <v>30</v>
      </c>
      <c r="H518" s="12" t="n">
        <f aca="false">'Engineering Assumptions'!$C$44*'Engineering Assumptions'!$B$5*U518</f>
        <v>458.4</v>
      </c>
      <c r="I518" s="12" t="n">
        <v>0</v>
      </c>
      <c r="J518" s="12" t="n">
        <f aca="false">'Engineering Assumptions'!$D$44*S518*U518</f>
        <v>60</v>
      </c>
      <c r="K518" s="12" t="n">
        <f aca="false">'Engineering Assumptions'!$E$44*T518*U518</f>
        <v>105</v>
      </c>
      <c r="L518" s="13" t="n">
        <f aca="false">H518+I518+J518+K518</f>
        <v>623.4</v>
      </c>
      <c r="M518" s="12" t="n">
        <f aca="false">L518*'Engineering Assumptions'!$B$10</f>
        <v>93.51</v>
      </c>
      <c r="N518" s="13" t="n">
        <f aca="false">L518+M518</f>
        <v>716.91</v>
      </c>
      <c r="O518" s="12" t="n">
        <f aca="false">N518*'Engineering Assumptions'!$B$11</f>
        <v>143.382</v>
      </c>
      <c r="P518" s="183" t="n">
        <f aca="false">MROUND(N518+O518,10)</f>
        <v>860</v>
      </c>
      <c r="Q518" s="12" t="n">
        <f aca="false">'Fleet Pricing'!H518</f>
        <v>290</v>
      </c>
      <c r="R518" s="41" t="n">
        <v>30</v>
      </c>
      <c r="S518" s="46" t="n">
        <v>2.4</v>
      </c>
      <c r="T518" s="46" t="n">
        <v>3</v>
      </c>
      <c r="U518" s="46" t="n">
        <v>1</v>
      </c>
    </row>
    <row r="519" customFormat="false" ht="41.25" hidden="false" customHeight="true" outlineLevel="0" collapsed="false">
      <c r="A519" s="9" t="n">
        <v>488</v>
      </c>
      <c r="B519" s="47" t="s">
        <v>145</v>
      </c>
      <c r="C519" s="47" t="s">
        <v>2313</v>
      </c>
      <c r="D519" s="47"/>
      <c r="E519" s="47"/>
      <c r="F519" s="45" t="s">
        <v>2119</v>
      </c>
      <c r="G519" s="9" t="n">
        <v>30</v>
      </c>
      <c r="H519" s="12" t="n">
        <f aca="false">'Engineering Assumptions'!$C$44*'Engineering Assumptions'!$B$5*U519</f>
        <v>458.4</v>
      </c>
      <c r="I519" s="12" t="n">
        <v>0</v>
      </c>
      <c r="J519" s="12" t="n">
        <f aca="false">'Engineering Assumptions'!$D$44*S519*U519</f>
        <v>60</v>
      </c>
      <c r="K519" s="12" t="n">
        <f aca="false">'Engineering Assumptions'!$E$44*T519*U519</f>
        <v>105</v>
      </c>
      <c r="L519" s="13" t="n">
        <f aca="false">H519+I519+J519+K519</f>
        <v>623.4</v>
      </c>
      <c r="M519" s="12" t="n">
        <f aca="false">L519*'Engineering Assumptions'!$B$10</f>
        <v>93.51</v>
      </c>
      <c r="N519" s="13" t="n">
        <f aca="false">L519+M519</f>
        <v>716.91</v>
      </c>
      <c r="O519" s="12" t="n">
        <f aca="false">N519*'Engineering Assumptions'!$B$11</f>
        <v>143.382</v>
      </c>
      <c r="P519" s="183" t="n">
        <f aca="false">MROUND(N519+O519,10)</f>
        <v>860</v>
      </c>
      <c r="Q519" s="12" t="n">
        <f aca="false">'Fleet Pricing'!H519</f>
        <v>290</v>
      </c>
      <c r="R519" s="41" t="n">
        <v>30</v>
      </c>
      <c r="S519" s="46" t="n">
        <v>2.4</v>
      </c>
      <c r="T519" s="46" t="n">
        <v>3</v>
      </c>
      <c r="U519" s="46" t="n">
        <v>1</v>
      </c>
    </row>
    <row r="520" customFormat="false" ht="41.25" hidden="false" customHeight="true" outlineLevel="0" collapsed="false">
      <c r="A520" s="9" t="n">
        <v>489</v>
      </c>
      <c r="B520" s="47" t="s">
        <v>145</v>
      </c>
      <c r="C520" s="47" t="s">
        <v>2313</v>
      </c>
      <c r="D520" s="47"/>
      <c r="E520" s="47"/>
      <c r="F520" s="45" t="s">
        <v>2120</v>
      </c>
      <c r="G520" s="9" t="n">
        <v>30</v>
      </c>
      <c r="H520" s="12" t="n">
        <f aca="false">'Engineering Assumptions'!$C$44*'Engineering Assumptions'!$B$5*U520</f>
        <v>458.4</v>
      </c>
      <c r="I520" s="12" t="n">
        <v>0</v>
      </c>
      <c r="J520" s="12" t="n">
        <f aca="false">'Engineering Assumptions'!$D$44*S520*U520</f>
        <v>60</v>
      </c>
      <c r="K520" s="12" t="n">
        <f aca="false">'Engineering Assumptions'!$E$44*T520*U520</f>
        <v>105</v>
      </c>
      <c r="L520" s="13" t="n">
        <f aca="false">H520+I520+J520+K520</f>
        <v>623.4</v>
      </c>
      <c r="M520" s="12" t="n">
        <f aca="false">L520*'Engineering Assumptions'!$B$10</f>
        <v>93.51</v>
      </c>
      <c r="N520" s="13" t="n">
        <f aca="false">L520+M520</f>
        <v>716.91</v>
      </c>
      <c r="O520" s="12" t="n">
        <f aca="false">N520*'Engineering Assumptions'!$B$11</f>
        <v>143.382</v>
      </c>
      <c r="P520" s="183" t="n">
        <f aca="false">MROUND(N520+O520,10)</f>
        <v>860</v>
      </c>
      <c r="Q520" s="12" t="n">
        <f aca="false">'Fleet Pricing'!H520</f>
        <v>290</v>
      </c>
      <c r="R520" s="41" t="n">
        <v>30</v>
      </c>
      <c r="S520" s="46" t="n">
        <v>2.4</v>
      </c>
      <c r="T520" s="46" t="n">
        <v>3</v>
      </c>
      <c r="U520" s="46" t="n">
        <v>1</v>
      </c>
    </row>
    <row r="521" customFormat="false" ht="41.25" hidden="false" customHeight="true" outlineLevel="0" collapsed="false">
      <c r="A521" s="9" t="n">
        <v>490</v>
      </c>
      <c r="B521" s="47" t="s">
        <v>145</v>
      </c>
      <c r="C521" s="47" t="s">
        <v>2313</v>
      </c>
      <c r="D521" s="47"/>
      <c r="E521" s="47"/>
      <c r="F521" s="45" t="s">
        <v>2121</v>
      </c>
      <c r="G521" s="9" t="n">
        <v>30</v>
      </c>
      <c r="H521" s="12" t="n">
        <f aca="false">'Engineering Assumptions'!$C$44*'Engineering Assumptions'!$B$5*U521</f>
        <v>458.4</v>
      </c>
      <c r="I521" s="12" t="n">
        <v>0</v>
      </c>
      <c r="J521" s="12" t="n">
        <f aca="false">'Engineering Assumptions'!$D$44*S521*U521</f>
        <v>60</v>
      </c>
      <c r="K521" s="12" t="n">
        <f aca="false">'Engineering Assumptions'!$E$44*T521*U521</f>
        <v>105</v>
      </c>
      <c r="L521" s="13" t="n">
        <f aca="false">H521+I521+J521+K521</f>
        <v>623.4</v>
      </c>
      <c r="M521" s="12" t="n">
        <f aca="false">L521*'Engineering Assumptions'!$B$10</f>
        <v>93.51</v>
      </c>
      <c r="N521" s="13" t="n">
        <f aca="false">L521+M521</f>
        <v>716.91</v>
      </c>
      <c r="O521" s="12" t="n">
        <f aca="false">N521*'Engineering Assumptions'!$B$11</f>
        <v>143.382</v>
      </c>
      <c r="P521" s="183" t="n">
        <f aca="false">MROUND(N521+O521,10)</f>
        <v>860</v>
      </c>
      <c r="Q521" s="12" t="n">
        <f aca="false">'Fleet Pricing'!H521</f>
        <v>290</v>
      </c>
      <c r="R521" s="41" t="n">
        <v>30</v>
      </c>
      <c r="S521" s="46" t="n">
        <v>2.4</v>
      </c>
      <c r="T521" s="46" t="n">
        <v>3</v>
      </c>
      <c r="U521" s="46" t="n">
        <v>1</v>
      </c>
    </row>
    <row r="522" customFormat="false" ht="54.75" hidden="false" customHeight="true" outlineLevel="0" collapsed="false">
      <c r="A522" s="9" t="n">
        <v>491</v>
      </c>
      <c r="B522" s="47" t="s">
        <v>145</v>
      </c>
      <c r="C522" s="47" t="s">
        <v>2313</v>
      </c>
      <c r="D522" s="47"/>
      <c r="E522" s="47"/>
      <c r="F522" s="45" t="s">
        <v>2122</v>
      </c>
      <c r="G522" s="9" t="n">
        <v>30</v>
      </c>
      <c r="H522" s="12" t="n">
        <f aca="false">'Engineering Assumptions'!$C$44*'Engineering Assumptions'!$B$5*U522</f>
        <v>458.4</v>
      </c>
      <c r="I522" s="12" t="n">
        <v>0</v>
      </c>
      <c r="J522" s="12" t="n">
        <f aca="false">'Engineering Assumptions'!$D$44*S522*U522</f>
        <v>60</v>
      </c>
      <c r="K522" s="12" t="n">
        <f aca="false">'Engineering Assumptions'!$E$44*T522*U522</f>
        <v>105</v>
      </c>
      <c r="L522" s="13" t="n">
        <f aca="false">H522+I522+J522+K522</f>
        <v>623.4</v>
      </c>
      <c r="M522" s="12" t="n">
        <f aca="false">L522*'Engineering Assumptions'!$B$10</f>
        <v>93.51</v>
      </c>
      <c r="N522" s="13" t="n">
        <f aca="false">L522+M522</f>
        <v>716.91</v>
      </c>
      <c r="O522" s="12" t="n">
        <f aca="false">N522*'Engineering Assumptions'!$B$11</f>
        <v>143.382</v>
      </c>
      <c r="P522" s="183" t="n">
        <f aca="false">MROUND(N522+O522,10)</f>
        <v>860</v>
      </c>
      <c r="Q522" s="12" t="n">
        <f aca="false">'Fleet Pricing'!H522</f>
        <v>290</v>
      </c>
      <c r="R522" s="41" t="n">
        <v>30</v>
      </c>
      <c r="S522" s="46" t="n">
        <v>2.4</v>
      </c>
      <c r="T522" s="46" t="n">
        <v>3</v>
      </c>
      <c r="U522" s="46" t="n">
        <v>1</v>
      </c>
    </row>
    <row r="523" customFormat="false" ht="15" hidden="false" customHeight="true" outlineLevel="0" collapsed="false">
      <c r="A523" s="9" t="n">
        <v>492</v>
      </c>
      <c r="B523" s="47" t="s">
        <v>145</v>
      </c>
      <c r="C523" s="47" t="s">
        <v>2313</v>
      </c>
      <c r="D523" s="47"/>
      <c r="E523" s="47"/>
      <c r="F523" s="45" t="s">
        <v>472</v>
      </c>
      <c r="G523" s="9" t="n">
        <v>30</v>
      </c>
      <c r="H523" s="12" t="n">
        <f aca="false">'Engineering Assumptions'!$C$44*'Engineering Assumptions'!$B$5*U523</f>
        <v>458.4</v>
      </c>
      <c r="I523" s="12" t="n">
        <v>0</v>
      </c>
      <c r="J523" s="12" t="n">
        <f aca="false">'Engineering Assumptions'!$D$44*S523*U523</f>
        <v>60</v>
      </c>
      <c r="K523" s="12" t="n">
        <f aca="false">'Engineering Assumptions'!$E$44*T523*U523</f>
        <v>105</v>
      </c>
      <c r="L523" s="13" t="n">
        <f aca="false">H523+I523+J523+K523</f>
        <v>623.4</v>
      </c>
      <c r="M523" s="12" t="n">
        <f aca="false">L523*'Engineering Assumptions'!$B$10</f>
        <v>93.51</v>
      </c>
      <c r="N523" s="13" t="n">
        <f aca="false">L523+M523</f>
        <v>716.91</v>
      </c>
      <c r="O523" s="12" t="n">
        <f aca="false">N523*'Engineering Assumptions'!$B$11</f>
        <v>143.382</v>
      </c>
      <c r="P523" s="183" t="n">
        <f aca="false">MROUND(N523+O523,10)</f>
        <v>860</v>
      </c>
      <c r="Q523" s="12" t="n">
        <f aca="false">'Fleet Pricing'!H523</f>
        <v>290</v>
      </c>
      <c r="R523" s="41" t="n">
        <v>30</v>
      </c>
      <c r="S523" s="46" t="n">
        <v>2.4</v>
      </c>
      <c r="T523" s="46" t="n">
        <v>3</v>
      </c>
      <c r="U523" s="46" t="n">
        <v>1</v>
      </c>
    </row>
    <row r="524" customFormat="false" ht="41.25" hidden="false" customHeight="true" outlineLevel="0" collapsed="false">
      <c r="A524" s="9" t="n">
        <v>493</v>
      </c>
      <c r="B524" s="47" t="s">
        <v>145</v>
      </c>
      <c r="C524" s="47" t="s">
        <v>2313</v>
      </c>
      <c r="D524" s="47"/>
      <c r="E524" s="47"/>
      <c r="F524" s="45" t="s">
        <v>2124</v>
      </c>
      <c r="G524" s="9" t="n">
        <v>30</v>
      </c>
      <c r="H524" s="12" t="n">
        <f aca="false">'Engineering Assumptions'!$C$44*'Engineering Assumptions'!$B$5*U524</f>
        <v>458.4</v>
      </c>
      <c r="I524" s="12" t="n">
        <v>0</v>
      </c>
      <c r="J524" s="12" t="n">
        <f aca="false">'Engineering Assumptions'!$D$44*S524*U524</f>
        <v>60</v>
      </c>
      <c r="K524" s="12" t="n">
        <f aca="false">'Engineering Assumptions'!$E$44*T524*U524</f>
        <v>105</v>
      </c>
      <c r="L524" s="13" t="n">
        <f aca="false">H524+I524+J524+K524</f>
        <v>623.4</v>
      </c>
      <c r="M524" s="12" t="n">
        <f aca="false">L524*'Engineering Assumptions'!$B$10</f>
        <v>93.51</v>
      </c>
      <c r="N524" s="13" t="n">
        <f aca="false">L524+M524</f>
        <v>716.91</v>
      </c>
      <c r="O524" s="12" t="n">
        <f aca="false">N524*'Engineering Assumptions'!$B$11</f>
        <v>143.382</v>
      </c>
      <c r="P524" s="183" t="n">
        <f aca="false">MROUND(N524+O524,10)</f>
        <v>860</v>
      </c>
      <c r="Q524" s="12" t="n">
        <f aca="false">'Fleet Pricing'!H524</f>
        <v>290</v>
      </c>
      <c r="R524" s="41" t="n">
        <v>30</v>
      </c>
      <c r="S524" s="46" t="n">
        <v>2.4</v>
      </c>
      <c r="T524" s="46" t="n">
        <v>3</v>
      </c>
      <c r="U524" s="46" t="n">
        <v>1</v>
      </c>
    </row>
    <row r="525" customFormat="false" ht="41.25" hidden="false" customHeight="true" outlineLevel="0" collapsed="false">
      <c r="A525" s="9" t="n">
        <v>494</v>
      </c>
      <c r="B525" s="47" t="s">
        <v>145</v>
      </c>
      <c r="C525" s="47" t="s">
        <v>2313</v>
      </c>
      <c r="D525" s="47"/>
      <c r="E525" s="47"/>
      <c r="F525" s="45" t="s">
        <v>1354</v>
      </c>
      <c r="G525" s="9" t="n">
        <v>30</v>
      </c>
      <c r="H525" s="12" t="n">
        <f aca="false">'Engineering Assumptions'!$C$44*'Engineering Assumptions'!$B$5*U525</f>
        <v>458.4</v>
      </c>
      <c r="I525" s="12" t="n">
        <v>0</v>
      </c>
      <c r="J525" s="12" t="n">
        <f aca="false">'Engineering Assumptions'!$D$44*S525*U525</f>
        <v>60</v>
      </c>
      <c r="K525" s="12" t="n">
        <f aca="false">'Engineering Assumptions'!$E$44*T525*U525</f>
        <v>105</v>
      </c>
      <c r="L525" s="13" t="n">
        <f aca="false">H525+I525+J525+K525</f>
        <v>623.4</v>
      </c>
      <c r="M525" s="12" t="n">
        <f aca="false">L525*'Engineering Assumptions'!$B$10</f>
        <v>93.51</v>
      </c>
      <c r="N525" s="13" t="n">
        <f aca="false">L525+M525</f>
        <v>716.91</v>
      </c>
      <c r="O525" s="12" t="n">
        <f aca="false">N525*'Engineering Assumptions'!$B$11</f>
        <v>143.382</v>
      </c>
      <c r="P525" s="183" t="n">
        <f aca="false">MROUND(N525+O525,10)</f>
        <v>860</v>
      </c>
      <c r="Q525" s="12" t="n">
        <f aca="false">'Fleet Pricing'!H525</f>
        <v>290</v>
      </c>
      <c r="R525" s="41" t="n">
        <v>30</v>
      </c>
      <c r="S525" s="46" t="n">
        <v>2.4</v>
      </c>
      <c r="T525" s="46" t="n">
        <v>3</v>
      </c>
      <c r="U525" s="46" t="n">
        <v>1</v>
      </c>
    </row>
    <row r="526" customFormat="false" ht="54.75" hidden="false" customHeight="true" outlineLevel="0" collapsed="false">
      <c r="A526" s="9" t="n">
        <v>495</v>
      </c>
      <c r="B526" s="47" t="s">
        <v>145</v>
      </c>
      <c r="C526" s="47" t="s">
        <v>2313</v>
      </c>
      <c r="D526" s="47"/>
      <c r="E526" s="47"/>
      <c r="F526" s="45" t="s">
        <v>2127</v>
      </c>
      <c r="G526" s="9" t="n">
        <v>30</v>
      </c>
      <c r="H526" s="12" t="n">
        <f aca="false">'Engineering Assumptions'!$C$44*'Engineering Assumptions'!$B$5*U526</f>
        <v>458.4</v>
      </c>
      <c r="I526" s="12" t="n">
        <v>0</v>
      </c>
      <c r="J526" s="12" t="n">
        <f aca="false">'Engineering Assumptions'!$D$44*S526*U526</f>
        <v>60</v>
      </c>
      <c r="K526" s="12" t="n">
        <f aca="false">'Engineering Assumptions'!$E$44*T526*U526</f>
        <v>105</v>
      </c>
      <c r="L526" s="13" t="n">
        <f aca="false">H526+I526+J526+K526</f>
        <v>623.4</v>
      </c>
      <c r="M526" s="12" t="n">
        <f aca="false">L526*'Engineering Assumptions'!$B$10</f>
        <v>93.51</v>
      </c>
      <c r="N526" s="13" t="n">
        <f aca="false">L526+M526</f>
        <v>716.91</v>
      </c>
      <c r="O526" s="12" t="n">
        <f aca="false">N526*'Engineering Assumptions'!$B$11</f>
        <v>143.382</v>
      </c>
      <c r="P526" s="183" t="n">
        <f aca="false">MROUND(N526+O526,10)</f>
        <v>860</v>
      </c>
      <c r="Q526" s="12" t="n">
        <f aca="false">'Fleet Pricing'!H526</f>
        <v>290</v>
      </c>
      <c r="R526" s="41" t="n">
        <v>30</v>
      </c>
      <c r="S526" s="46" t="n">
        <v>2.4</v>
      </c>
      <c r="T526" s="46" t="n">
        <v>3</v>
      </c>
      <c r="U526" s="46" t="n">
        <v>1</v>
      </c>
    </row>
    <row r="527" customFormat="false" ht="54.75" hidden="false" customHeight="true" outlineLevel="0" collapsed="false">
      <c r="A527" s="9" t="n">
        <v>496</v>
      </c>
      <c r="B527" s="47" t="s">
        <v>145</v>
      </c>
      <c r="C527" s="47" t="s">
        <v>2313</v>
      </c>
      <c r="D527" s="47"/>
      <c r="E527" s="47"/>
      <c r="F527" s="45" t="s">
        <v>1358</v>
      </c>
      <c r="G527" s="9" t="n">
        <v>30</v>
      </c>
      <c r="H527" s="12" t="n">
        <f aca="false">'Engineering Assumptions'!$C$44*'Engineering Assumptions'!$B$5*U527</f>
        <v>458.4</v>
      </c>
      <c r="I527" s="12" t="n">
        <v>0</v>
      </c>
      <c r="J527" s="12" t="n">
        <f aca="false">'Engineering Assumptions'!$D$44*S527*U527</f>
        <v>60</v>
      </c>
      <c r="K527" s="12" t="n">
        <f aca="false">'Engineering Assumptions'!$E$44*T527*U527</f>
        <v>105</v>
      </c>
      <c r="L527" s="13" t="n">
        <f aca="false">H527+I527+J527+K527</f>
        <v>623.4</v>
      </c>
      <c r="M527" s="12" t="n">
        <f aca="false">L527*'Engineering Assumptions'!$B$10</f>
        <v>93.51</v>
      </c>
      <c r="N527" s="13" t="n">
        <f aca="false">L527+M527</f>
        <v>716.91</v>
      </c>
      <c r="O527" s="12" t="n">
        <f aca="false">N527*'Engineering Assumptions'!$B$11</f>
        <v>143.382</v>
      </c>
      <c r="P527" s="183" t="n">
        <f aca="false">MROUND(N527+O527,10)</f>
        <v>860</v>
      </c>
      <c r="Q527" s="12" t="n">
        <f aca="false">'Fleet Pricing'!H527</f>
        <v>290</v>
      </c>
      <c r="R527" s="41" t="n">
        <v>30</v>
      </c>
      <c r="S527" s="46" t="n">
        <v>2.4</v>
      </c>
      <c r="T527" s="46" t="n">
        <v>3</v>
      </c>
      <c r="U527" s="46" t="n">
        <v>1</v>
      </c>
    </row>
    <row r="528" customFormat="false" ht="54.75" hidden="false" customHeight="true" outlineLevel="0" collapsed="false">
      <c r="A528" s="9" t="n">
        <v>497</v>
      </c>
      <c r="B528" s="47" t="s">
        <v>145</v>
      </c>
      <c r="C528" s="47" t="s">
        <v>2313</v>
      </c>
      <c r="D528" s="47"/>
      <c r="E528" s="47"/>
      <c r="F528" s="45" t="s">
        <v>1360</v>
      </c>
      <c r="G528" s="9" t="n">
        <v>30</v>
      </c>
      <c r="H528" s="12" t="n">
        <f aca="false">'Engineering Assumptions'!$C$44*'Engineering Assumptions'!$B$5*U528</f>
        <v>458.4</v>
      </c>
      <c r="I528" s="12" t="n">
        <v>0</v>
      </c>
      <c r="J528" s="12" t="n">
        <f aca="false">'Engineering Assumptions'!$D$44*S528*U528</f>
        <v>60</v>
      </c>
      <c r="K528" s="12" t="n">
        <f aca="false">'Engineering Assumptions'!$E$44*T528*U528</f>
        <v>105</v>
      </c>
      <c r="L528" s="13" t="n">
        <f aca="false">H528+I528+J528+K528</f>
        <v>623.4</v>
      </c>
      <c r="M528" s="12" t="n">
        <f aca="false">L528*'Engineering Assumptions'!$B$10</f>
        <v>93.51</v>
      </c>
      <c r="N528" s="13" t="n">
        <f aca="false">L528+M528</f>
        <v>716.91</v>
      </c>
      <c r="O528" s="12" t="n">
        <f aca="false">N528*'Engineering Assumptions'!$B$11</f>
        <v>143.382</v>
      </c>
      <c r="P528" s="183" t="n">
        <f aca="false">MROUND(N528+O528,10)</f>
        <v>860</v>
      </c>
      <c r="Q528" s="12" t="n">
        <f aca="false">'Fleet Pricing'!H528</f>
        <v>290</v>
      </c>
      <c r="R528" s="41" t="n">
        <v>30</v>
      </c>
      <c r="S528" s="46" t="n">
        <v>2.4</v>
      </c>
      <c r="T528" s="46" t="n">
        <v>3</v>
      </c>
      <c r="U528" s="46" t="n">
        <v>1</v>
      </c>
    </row>
    <row r="529" customFormat="false" ht="15" hidden="false" customHeight="true" outlineLevel="0" collapsed="false">
      <c r="A529" s="9" t="n">
        <v>498</v>
      </c>
      <c r="B529" s="47" t="s">
        <v>145</v>
      </c>
      <c r="C529" s="47" t="s">
        <v>2313</v>
      </c>
      <c r="D529" s="47"/>
      <c r="E529" s="47"/>
      <c r="F529" s="45" t="s">
        <v>472</v>
      </c>
      <c r="G529" s="9" t="n">
        <v>30</v>
      </c>
      <c r="H529" s="12" t="n">
        <f aca="false">'Engineering Assumptions'!$C$44*'Engineering Assumptions'!$B$5*U529</f>
        <v>458.4</v>
      </c>
      <c r="I529" s="12" t="n">
        <v>0</v>
      </c>
      <c r="J529" s="12" t="n">
        <f aca="false">'Engineering Assumptions'!$D$44*S529*U529</f>
        <v>60</v>
      </c>
      <c r="K529" s="12" t="n">
        <f aca="false">'Engineering Assumptions'!$E$44*T529*U529</f>
        <v>105</v>
      </c>
      <c r="L529" s="13" t="n">
        <f aca="false">H529+I529+J529+K529</f>
        <v>623.4</v>
      </c>
      <c r="M529" s="12" t="n">
        <f aca="false">L529*'Engineering Assumptions'!$B$10</f>
        <v>93.51</v>
      </c>
      <c r="N529" s="13" t="n">
        <f aca="false">L529+M529</f>
        <v>716.91</v>
      </c>
      <c r="O529" s="12" t="n">
        <f aca="false">N529*'Engineering Assumptions'!$B$11</f>
        <v>143.382</v>
      </c>
      <c r="P529" s="183" t="n">
        <f aca="false">MROUND(N529+O529,10)</f>
        <v>860</v>
      </c>
      <c r="Q529" s="12" t="n">
        <f aca="false">'Fleet Pricing'!H529</f>
        <v>290</v>
      </c>
      <c r="R529" s="41" t="n">
        <v>30</v>
      </c>
      <c r="S529" s="46" t="n">
        <v>2.4</v>
      </c>
      <c r="T529" s="46" t="n">
        <v>3</v>
      </c>
      <c r="U529" s="46" t="n">
        <v>1</v>
      </c>
    </row>
    <row r="530" customFormat="false" ht="15" hidden="false" customHeight="true" outlineLevel="0" collapsed="false">
      <c r="A530" s="9" t="n">
        <v>499</v>
      </c>
      <c r="B530" s="47" t="s">
        <v>145</v>
      </c>
      <c r="C530" s="47" t="s">
        <v>2313</v>
      </c>
      <c r="D530" s="47"/>
      <c r="E530" s="47"/>
      <c r="F530" s="45" t="s">
        <v>472</v>
      </c>
      <c r="G530" s="9" t="n">
        <v>30</v>
      </c>
      <c r="H530" s="12" t="n">
        <f aca="false">'Engineering Assumptions'!$C$44*'Engineering Assumptions'!$B$5*U530</f>
        <v>458.4</v>
      </c>
      <c r="I530" s="12" t="n">
        <v>0</v>
      </c>
      <c r="J530" s="12" t="n">
        <f aca="false">'Engineering Assumptions'!$D$44*S530*U530</f>
        <v>60</v>
      </c>
      <c r="K530" s="12" t="n">
        <f aca="false">'Engineering Assumptions'!$E$44*T530*U530</f>
        <v>105</v>
      </c>
      <c r="L530" s="13" t="n">
        <f aca="false">H530+I530+J530+K530</f>
        <v>623.4</v>
      </c>
      <c r="M530" s="12" t="n">
        <f aca="false">L530*'Engineering Assumptions'!$B$10</f>
        <v>93.51</v>
      </c>
      <c r="N530" s="13" t="n">
        <f aca="false">L530+M530</f>
        <v>716.91</v>
      </c>
      <c r="O530" s="12" t="n">
        <f aca="false">N530*'Engineering Assumptions'!$B$11</f>
        <v>143.382</v>
      </c>
      <c r="P530" s="183" t="n">
        <f aca="false">MROUND(N530+O530,10)</f>
        <v>860</v>
      </c>
      <c r="Q530" s="12" t="n">
        <f aca="false">'Fleet Pricing'!H530</f>
        <v>290</v>
      </c>
      <c r="R530" s="41" t="n">
        <v>30</v>
      </c>
      <c r="S530" s="46" t="n">
        <v>2.4</v>
      </c>
      <c r="T530" s="46" t="n">
        <v>3</v>
      </c>
      <c r="U530" s="46" t="n">
        <v>1</v>
      </c>
    </row>
    <row r="531" customFormat="false" ht="15" hidden="false" customHeight="true" outlineLevel="0" collapsed="false">
      <c r="A531" s="9" t="n">
        <v>500</v>
      </c>
      <c r="B531" s="47" t="s">
        <v>145</v>
      </c>
      <c r="C531" s="47" t="s">
        <v>2313</v>
      </c>
      <c r="D531" s="47"/>
      <c r="E531" s="47"/>
      <c r="F531" s="45" t="s">
        <v>472</v>
      </c>
      <c r="G531" s="9" t="n">
        <v>30</v>
      </c>
      <c r="H531" s="12" t="n">
        <f aca="false">'Engineering Assumptions'!$C$44*'Engineering Assumptions'!$B$5*U531</f>
        <v>458.4</v>
      </c>
      <c r="I531" s="12" t="n">
        <v>0</v>
      </c>
      <c r="J531" s="12" t="n">
        <f aca="false">'Engineering Assumptions'!$D$44*S531*U531</f>
        <v>60</v>
      </c>
      <c r="K531" s="12" t="n">
        <f aca="false">'Engineering Assumptions'!$E$44*T531*U531</f>
        <v>105</v>
      </c>
      <c r="L531" s="13" t="n">
        <f aca="false">H531+I531+J531+K531</f>
        <v>623.4</v>
      </c>
      <c r="M531" s="12" t="n">
        <f aca="false">L531*'Engineering Assumptions'!$B$10</f>
        <v>93.51</v>
      </c>
      <c r="N531" s="13" t="n">
        <f aca="false">L531+M531</f>
        <v>716.91</v>
      </c>
      <c r="O531" s="12" t="n">
        <f aca="false">N531*'Engineering Assumptions'!$B$11</f>
        <v>143.382</v>
      </c>
      <c r="P531" s="183" t="n">
        <f aca="false">MROUND(N531+O531,10)</f>
        <v>860</v>
      </c>
      <c r="Q531" s="12" t="n">
        <f aca="false">'Fleet Pricing'!H531</f>
        <v>290</v>
      </c>
      <c r="R531" s="41" t="n">
        <v>30</v>
      </c>
      <c r="S531" s="46" t="n">
        <v>2.4</v>
      </c>
      <c r="T531" s="46" t="n">
        <v>3</v>
      </c>
      <c r="U531" s="46" t="n">
        <v>1</v>
      </c>
    </row>
    <row r="532" customFormat="false" ht="15" hidden="false" customHeight="true" outlineLevel="0" collapsed="false">
      <c r="A532" s="9" t="n">
        <v>501</v>
      </c>
      <c r="B532" s="47" t="s">
        <v>145</v>
      </c>
      <c r="C532" s="47" t="s">
        <v>2313</v>
      </c>
      <c r="D532" s="47"/>
      <c r="E532" s="47"/>
      <c r="F532" s="45" t="s">
        <v>472</v>
      </c>
      <c r="G532" s="9" t="n">
        <v>30</v>
      </c>
      <c r="H532" s="12" t="n">
        <f aca="false">'Engineering Assumptions'!$C$44*'Engineering Assumptions'!$B$5*U532</f>
        <v>458.4</v>
      </c>
      <c r="I532" s="12" t="n">
        <v>0</v>
      </c>
      <c r="J532" s="12" t="n">
        <f aca="false">'Engineering Assumptions'!$D$44*S532*U532</f>
        <v>60</v>
      </c>
      <c r="K532" s="12" t="n">
        <f aca="false">'Engineering Assumptions'!$E$44*T532*U532</f>
        <v>105</v>
      </c>
      <c r="L532" s="13" t="n">
        <f aca="false">H532+I532+J532+K532</f>
        <v>623.4</v>
      </c>
      <c r="M532" s="12" t="n">
        <f aca="false">L532*'Engineering Assumptions'!$B$10</f>
        <v>93.51</v>
      </c>
      <c r="N532" s="13" t="n">
        <f aca="false">L532+M532</f>
        <v>716.91</v>
      </c>
      <c r="O532" s="12" t="n">
        <f aca="false">N532*'Engineering Assumptions'!$B$11</f>
        <v>143.382</v>
      </c>
      <c r="P532" s="183" t="n">
        <f aca="false">MROUND(N532+O532,10)</f>
        <v>860</v>
      </c>
      <c r="Q532" s="12" t="n">
        <f aca="false">'Fleet Pricing'!H532</f>
        <v>290</v>
      </c>
      <c r="R532" s="41" t="n">
        <v>30</v>
      </c>
      <c r="S532" s="46" t="n">
        <v>2.4</v>
      </c>
      <c r="T532" s="46" t="n">
        <v>3</v>
      </c>
      <c r="U532" s="46" t="n">
        <v>1</v>
      </c>
    </row>
    <row r="533" customFormat="false" ht="41.25" hidden="false" customHeight="true" outlineLevel="0" collapsed="false">
      <c r="A533" s="9" t="n">
        <v>502</v>
      </c>
      <c r="B533" s="47" t="s">
        <v>145</v>
      </c>
      <c r="C533" s="47" t="s">
        <v>2313</v>
      </c>
      <c r="D533" s="47"/>
      <c r="E533" s="47"/>
      <c r="F533" s="45" t="s">
        <v>1366</v>
      </c>
      <c r="G533" s="9" t="n">
        <v>30</v>
      </c>
      <c r="H533" s="12" t="n">
        <f aca="false">'Engineering Assumptions'!$C$44*'Engineering Assumptions'!$B$5*U533</f>
        <v>458.4</v>
      </c>
      <c r="I533" s="12" t="n">
        <v>0</v>
      </c>
      <c r="J533" s="12" t="n">
        <f aca="false">'Engineering Assumptions'!$D$44*S533*U533</f>
        <v>60</v>
      </c>
      <c r="K533" s="12" t="n">
        <f aca="false">'Engineering Assumptions'!$E$44*T533*U533</f>
        <v>105</v>
      </c>
      <c r="L533" s="13" t="n">
        <f aca="false">H533+I533+J533+K533</f>
        <v>623.4</v>
      </c>
      <c r="M533" s="12" t="n">
        <f aca="false">L533*'Engineering Assumptions'!$B$10</f>
        <v>93.51</v>
      </c>
      <c r="N533" s="13" t="n">
        <f aca="false">L533+M533</f>
        <v>716.91</v>
      </c>
      <c r="O533" s="12" t="n">
        <f aca="false">N533*'Engineering Assumptions'!$B$11</f>
        <v>143.382</v>
      </c>
      <c r="P533" s="183" t="n">
        <f aca="false">MROUND(N533+O533,10)</f>
        <v>860</v>
      </c>
      <c r="Q533" s="12" t="n">
        <f aca="false">'Fleet Pricing'!H533</f>
        <v>290</v>
      </c>
      <c r="R533" s="41" t="n">
        <v>30</v>
      </c>
      <c r="S533" s="46" t="n">
        <v>2.4</v>
      </c>
      <c r="T533" s="46" t="n">
        <v>3</v>
      </c>
      <c r="U533" s="46" t="n">
        <v>1</v>
      </c>
    </row>
    <row r="534" customFormat="false" ht="54.75" hidden="false" customHeight="true" outlineLevel="0" collapsed="false">
      <c r="A534" s="9" t="n">
        <v>503</v>
      </c>
      <c r="B534" s="47" t="s">
        <v>145</v>
      </c>
      <c r="C534" s="47" t="s">
        <v>2313</v>
      </c>
      <c r="D534" s="47"/>
      <c r="E534" s="47"/>
      <c r="F534" s="45" t="s">
        <v>1368</v>
      </c>
      <c r="G534" s="9" t="n">
        <v>30</v>
      </c>
      <c r="H534" s="12" t="n">
        <f aca="false">'Engineering Assumptions'!$C$44*'Engineering Assumptions'!$B$5*U534</f>
        <v>458.4</v>
      </c>
      <c r="I534" s="12" t="n">
        <v>0</v>
      </c>
      <c r="J534" s="12" t="n">
        <f aca="false">'Engineering Assumptions'!$D$44*S534*U534</f>
        <v>60</v>
      </c>
      <c r="K534" s="12" t="n">
        <f aca="false">'Engineering Assumptions'!$E$44*T534*U534</f>
        <v>105</v>
      </c>
      <c r="L534" s="13" t="n">
        <f aca="false">H534+I534+J534+K534</f>
        <v>623.4</v>
      </c>
      <c r="M534" s="12" t="n">
        <f aca="false">L534*'Engineering Assumptions'!$B$10</f>
        <v>93.51</v>
      </c>
      <c r="N534" s="13" t="n">
        <f aca="false">L534+M534</f>
        <v>716.91</v>
      </c>
      <c r="O534" s="12" t="n">
        <f aca="false">N534*'Engineering Assumptions'!$B$11</f>
        <v>143.382</v>
      </c>
      <c r="P534" s="183" t="n">
        <f aca="false">MROUND(N534+O534,10)</f>
        <v>860</v>
      </c>
      <c r="Q534" s="12" t="n">
        <f aca="false">'Fleet Pricing'!H534</f>
        <v>290</v>
      </c>
      <c r="R534" s="41" t="n">
        <v>30</v>
      </c>
      <c r="S534" s="46" t="n">
        <v>2.4</v>
      </c>
      <c r="T534" s="46" t="n">
        <v>3</v>
      </c>
      <c r="U534" s="46" t="n">
        <v>1</v>
      </c>
    </row>
    <row r="535" customFormat="false" ht="15" hidden="false" customHeight="true" outlineLevel="0" collapsed="false">
      <c r="A535" s="9" t="n">
        <v>504</v>
      </c>
      <c r="B535" s="47" t="s">
        <v>145</v>
      </c>
      <c r="C535" s="47" t="s">
        <v>2497</v>
      </c>
      <c r="D535" s="47"/>
      <c r="E535" s="47"/>
      <c r="F535" s="45" t="s">
        <v>472</v>
      </c>
      <c r="G535" s="9" t="n">
        <v>30</v>
      </c>
      <c r="H535" s="12" t="n">
        <f aca="false">'Engineering Assumptions'!$C$44*'Engineering Assumptions'!$B$5*U535</f>
        <v>458.4</v>
      </c>
      <c r="I535" s="12" t="n">
        <v>0</v>
      </c>
      <c r="J535" s="12" t="n">
        <f aca="false">'Engineering Assumptions'!$D$44*S535*U535</f>
        <v>60</v>
      </c>
      <c r="K535" s="12" t="n">
        <f aca="false">'Engineering Assumptions'!$E$44*T535*U535</f>
        <v>105</v>
      </c>
      <c r="L535" s="13" t="n">
        <f aca="false">H535+I535+J535+K535</f>
        <v>623.4</v>
      </c>
      <c r="M535" s="12" t="n">
        <f aca="false">L535*'Engineering Assumptions'!$B$10</f>
        <v>93.51</v>
      </c>
      <c r="N535" s="13" t="n">
        <f aca="false">L535+M535</f>
        <v>716.91</v>
      </c>
      <c r="O535" s="12" t="n">
        <f aca="false">N535*'Engineering Assumptions'!$B$11</f>
        <v>143.382</v>
      </c>
      <c r="P535" s="183" t="n">
        <f aca="false">MROUND(N535+O535,10)</f>
        <v>860</v>
      </c>
      <c r="Q535" s="12" t="n">
        <f aca="false">'Fleet Pricing'!H535</f>
        <v>290</v>
      </c>
      <c r="R535" s="41" t="n">
        <v>30</v>
      </c>
      <c r="S535" s="46" t="n">
        <v>2.4</v>
      </c>
      <c r="T535" s="46" t="n">
        <v>3</v>
      </c>
      <c r="U535" s="46" t="n">
        <v>1</v>
      </c>
    </row>
    <row r="536" customFormat="false" ht="41.25" hidden="false" customHeight="true" outlineLevel="0" collapsed="false">
      <c r="A536" s="9" t="n">
        <v>505</v>
      </c>
      <c r="B536" s="47" t="s">
        <v>145</v>
      </c>
      <c r="C536" s="47" t="s">
        <v>2498</v>
      </c>
      <c r="D536" s="47"/>
      <c r="E536" s="47"/>
      <c r="F536" s="45" t="s">
        <v>1373</v>
      </c>
      <c r="G536" s="9" t="n">
        <v>30</v>
      </c>
      <c r="H536" s="12" t="n">
        <f aca="false">'Engineering Assumptions'!$C$44*'Engineering Assumptions'!$B$5*U536</f>
        <v>458.4</v>
      </c>
      <c r="I536" s="12" t="n">
        <v>0</v>
      </c>
      <c r="J536" s="12" t="n">
        <f aca="false">'Engineering Assumptions'!$D$44*S536*U536</f>
        <v>60</v>
      </c>
      <c r="K536" s="12" t="n">
        <f aca="false">'Engineering Assumptions'!$E$44*T536*U536</f>
        <v>105</v>
      </c>
      <c r="L536" s="13" t="n">
        <f aca="false">H536+I536+J536+K536</f>
        <v>623.4</v>
      </c>
      <c r="M536" s="12" t="n">
        <f aca="false">L536*'Engineering Assumptions'!$B$10</f>
        <v>93.51</v>
      </c>
      <c r="N536" s="13" t="n">
        <f aca="false">L536+M536</f>
        <v>716.91</v>
      </c>
      <c r="O536" s="12" t="n">
        <f aca="false">N536*'Engineering Assumptions'!$B$11</f>
        <v>143.382</v>
      </c>
      <c r="P536" s="183" t="n">
        <f aca="false">MROUND(N536+O536,10)</f>
        <v>860</v>
      </c>
      <c r="Q536" s="12" t="n">
        <f aca="false">'Fleet Pricing'!H536</f>
        <v>290</v>
      </c>
      <c r="R536" s="41" t="n">
        <v>30</v>
      </c>
      <c r="S536" s="46" t="n">
        <v>2.4</v>
      </c>
      <c r="T536" s="46" t="n">
        <v>3</v>
      </c>
      <c r="U536" s="46" t="n">
        <v>1</v>
      </c>
    </row>
    <row r="537" customFormat="false" ht="15" hidden="false" customHeight="true" outlineLevel="0" collapsed="false">
      <c r="A537" s="42" t="s">
        <v>1375</v>
      </c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 customFormat="false" ht="23.25" hidden="false" customHeight="true" outlineLevel="0" collapsed="false">
      <c r="A538" s="9" t="n">
        <v>506</v>
      </c>
      <c r="B538" s="47" t="s">
        <v>147</v>
      </c>
      <c r="C538" s="47" t="s">
        <v>2499</v>
      </c>
      <c r="D538" s="47" t="s">
        <v>1376</v>
      </c>
      <c r="E538" s="47" t="s">
        <v>1244</v>
      </c>
      <c r="F538" s="45" t="s">
        <v>397</v>
      </c>
      <c r="G538" s="9" t="n">
        <v>9</v>
      </c>
      <c r="H538" s="12" t="n">
        <f aca="false">'Engineering Assumptions'!$C$45*'Engineering Assumptions'!$B$5*U538</f>
        <v>1719</v>
      </c>
      <c r="I538" s="12" t="n">
        <f aca="false">'Engineering Assumptions'!$B$8</f>
        <v>650</v>
      </c>
      <c r="J538" s="12" t="n">
        <f aca="false">'Engineering Assumptions'!$D$45*S538*U538</f>
        <v>137.5</v>
      </c>
      <c r="K538" s="12" t="n">
        <f aca="false">'Engineering Assumptions'!$E$45*T538*U538</f>
        <v>105</v>
      </c>
      <c r="L538" s="13" t="n">
        <f aca="false">H538+I538+J538+K538</f>
        <v>2611.5</v>
      </c>
      <c r="M538" s="12" t="n">
        <f aca="false">L538*'Engineering Assumptions'!$B$10</f>
        <v>391.725</v>
      </c>
      <c r="N538" s="13" t="n">
        <f aca="false">L538+M538</f>
        <v>3003.225</v>
      </c>
      <c r="O538" s="12" t="n">
        <f aca="false">N538*'Engineering Assumptions'!$B$11</f>
        <v>600.645</v>
      </c>
      <c r="P538" s="183" t="n">
        <f aca="false">MROUND(N538+O538,10)</f>
        <v>3600</v>
      </c>
      <c r="Q538" s="12" t="n">
        <f aca="false">'Fleet Pricing'!H538</f>
        <v>1610</v>
      </c>
      <c r="R538" s="41" t="n">
        <v>9</v>
      </c>
      <c r="S538" s="46" t="n">
        <v>1.25</v>
      </c>
      <c r="T538" s="46" t="n">
        <v>0.75</v>
      </c>
      <c r="U538" s="46" t="n">
        <v>1</v>
      </c>
    </row>
    <row r="539" customFormat="false" ht="23.25" hidden="false" customHeight="true" outlineLevel="0" collapsed="false">
      <c r="A539" s="9" t="n">
        <v>507</v>
      </c>
      <c r="B539" s="47" t="s">
        <v>147</v>
      </c>
      <c r="C539" s="47" t="s">
        <v>2499</v>
      </c>
      <c r="D539" s="47" t="s">
        <v>1377</v>
      </c>
      <c r="E539" s="47" t="s">
        <v>1242</v>
      </c>
      <c r="F539" s="45" t="s">
        <v>397</v>
      </c>
      <c r="G539" s="9" t="n">
        <v>9</v>
      </c>
      <c r="H539" s="12" t="n">
        <f aca="false">'Engineering Assumptions'!$C$45*'Engineering Assumptions'!$B$5*U539</f>
        <v>1719</v>
      </c>
      <c r="I539" s="12" t="n">
        <f aca="false">'Engineering Assumptions'!$B$8</f>
        <v>650</v>
      </c>
      <c r="J539" s="12" t="n">
        <f aca="false">'Engineering Assumptions'!$D$45*S539*U539</f>
        <v>137.5</v>
      </c>
      <c r="K539" s="12" t="n">
        <f aca="false">'Engineering Assumptions'!$E$45*T539*U539</f>
        <v>105</v>
      </c>
      <c r="L539" s="13" t="n">
        <f aca="false">H539+I539+J539+K539</f>
        <v>2611.5</v>
      </c>
      <c r="M539" s="12" t="n">
        <f aca="false">L539*'Engineering Assumptions'!$B$10</f>
        <v>391.725</v>
      </c>
      <c r="N539" s="13" t="n">
        <f aca="false">L539+M539</f>
        <v>3003.225</v>
      </c>
      <c r="O539" s="12" t="n">
        <f aca="false">N539*'Engineering Assumptions'!$B$11</f>
        <v>600.645</v>
      </c>
      <c r="P539" s="183" t="n">
        <f aca="false">MROUND(N539+O539,10)</f>
        <v>3600</v>
      </c>
      <c r="Q539" s="12" t="n">
        <f aca="false">'Fleet Pricing'!H539</f>
        <v>1610</v>
      </c>
      <c r="R539" s="41" t="n">
        <v>9</v>
      </c>
      <c r="S539" s="46" t="n">
        <v>1.25</v>
      </c>
      <c r="T539" s="46" t="n">
        <v>0.75</v>
      </c>
      <c r="U539" s="46" t="n">
        <v>1</v>
      </c>
    </row>
    <row r="540" customFormat="false" ht="15" hidden="false" customHeight="true" outlineLevel="0" collapsed="false">
      <c r="A540" s="9" t="n">
        <v>508</v>
      </c>
      <c r="B540" s="47" t="s">
        <v>147</v>
      </c>
      <c r="C540" s="47" t="s">
        <v>2500</v>
      </c>
      <c r="D540" s="47" t="s">
        <v>1378</v>
      </c>
      <c r="E540" s="47"/>
      <c r="F540" s="45" t="s">
        <v>397</v>
      </c>
      <c r="G540" s="9" t="n">
        <v>9</v>
      </c>
      <c r="H540" s="12" t="n">
        <f aca="false">'Engineering Assumptions'!$C$45*'Engineering Assumptions'!$B$5*U540</f>
        <v>1719</v>
      </c>
      <c r="I540" s="12" t="n">
        <f aca="false">'Engineering Assumptions'!$B$8</f>
        <v>650</v>
      </c>
      <c r="J540" s="12" t="n">
        <f aca="false">'Engineering Assumptions'!$D$45*S540*U540</f>
        <v>137.5</v>
      </c>
      <c r="K540" s="12" t="n">
        <f aca="false">'Engineering Assumptions'!$E$45*T540*U540</f>
        <v>105</v>
      </c>
      <c r="L540" s="13" t="n">
        <f aca="false">H540+I540+J540+K540</f>
        <v>2611.5</v>
      </c>
      <c r="M540" s="12" t="n">
        <f aca="false">L540*'Engineering Assumptions'!$B$10</f>
        <v>391.725</v>
      </c>
      <c r="N540" s="13" t="n">
        <f aca="false">L540+M540</f>
        <v>3003.225</v>
      </c>
      <c r="O540" s="12" t="n">
        <f aca="false">N540*'Engineering Assumptions'!$B$11</f>
        <v>600.645</v>
      </c>
      <c r="P540" s="183" t="n">
        <f aca="false">MROUND(N540+O540,10)</f>
        <v>3600</v>
      </c>
      <c r="Q540" s="12" t="n">
        <f aca="false">'Fleet Pricing'!H540</f>
        <v>1610</v>
      </c>
      <c r="R540" s="41" t="n">
        <v>9</v>
      </c>
      <c r="S540" s="46" t="n">
        <v>1.25</v>
      </c>
      <c r="T540" s="46" t="n">
        <v>0.75</v>
      </c>
      <c r="U540" s="46" t="n">
        <v>1</v>
      </c>
    </row>
    <row r="541" customFormat="false" ht="23.25" hidden="false" customHeight="true" outlineLevel="0" collapsed="false">
      <c r="A541" s="9" t="n">
        <v>509</v>
      </c>
      <c r="B541" s="47" t="s">
        <v>147</v>
      </c>
      <c r="C541" s="47" t="s">
        <v>2501</v>
      </c>
      <c r="D541" s="47" t="s">
        <v>1380</v>
      </c>
      <c r="E541" s="47" t="s">
        <v>1238</v>
      </c>
      <c r="F541" s="45" t="s">
        <v>397</v>
      </c>
      <c r="G541" s="9" t="n">
        <v>9</v>
      </c>
      <c r="H541" s="12" t="n">
        <f aca="false">'Engineering Assumptions'!$C$45*'Engineering Assumptions'!$B$5*U541</f>
        <v>1719</v>
      </c>
      <c r="I541" s="12" t="n">
        <f aca="false">'Engineering Assumptions'!$B$8</f>
        <v>650</v>
      </c>
      <c r="J541" s="12" t="n">
        <f aca="false">'Engineering Assumptions'!$D$45*S541*U541</f>
        <v>137.5</v>
      </c>
      <c r="K541" s="12" t="n">
        <f aca="false">'Engineering Assumptions'!$E$45*T541*U541</f>
        <v>105</v>
      </c>
      <c r="L541" s="13" t="n">
        <f aca="false">H541+I541+J541+K541</f>
        <v>2611.5</v>
      </c>
      <c r="M541" s="12" t="n">
        <f aca="false">L541*'Engineering Assumptions'!$B$10</f>
        <v>391.725</v>
      </c>
      <c r="N541" s="13" t="n">
        <f aca="false">L541+M541</f>
        <v>3003.225</v>
      </c>
      <c r="O541" s="12" t="n">
        <f aca="false">N541*'Engineering Assumptions'!$B$11</f>
        <v>600.645</v>
      </c>
      <c r="P541" s="183" t="n">
        <f aca="false">MROUND(N541+O541,10)</f>
        <v>3600</v>
      </c>
      <c r="Q541" s="12" t="n">
        <f aca="false">'Fleet Pricing'!H541</f>
        <v>1610</v>
      </c>
      <c r="R541" s="41" t="n">
        <v>9</v>
      </c>
      <c r="S541" s="46" t="n">
        <v>1.25</v>
      </c>
      <c r="T541" s="46" t="n">
        <v>0.75</v>
      </c>
      <c r="U541" s="46" t="n">
        <v>1</v>
      </c>
    </row>
    <row r="542" customFormat="false" ht="23.25" hidden="false" customHeight="true" outlineLevel="0" collapsed="false">
      <c r="A542" s="9" t="n">
        <v>510</v>
      </c>
      <c r="B542" s="47" t="s">
        <v>147</v>
      </c>
      <c r="C542" s="47" t="s">
        <v>2501</v>
      </c>
      <c r="D542" s="47" t="s">
        <v>1381</v>
      </c>
      <c r="E542" s="47"/>
      <c r="F542" s="45" t="s">
        <v>472</v>
      </c>
      <c r="G542" s="9" t="n">
        <v>30</v>
      </c>
      <c r="H542" s="12" t="n">
        <f aca="false">'Engineering Assumptions'!$C$45*'Engineering Assumptions'!$B$5*U542</f>
        <v>1719</v>
      </c>
      <c r="I542" s="12" t="n">
        <f aca="false">'Engineering Assumptions'!$B$8</f>
        <v>650</v>
      </c>
      <c r="J542" s="12" t="n">
        <f aca="false">'Engineering Assumptions'!$D$45*S542*U542</f>
        <v>264</v>
      </c>
      <c r="K542" s="12" t="n">
        <f aca="false">'Engineering Assumptions'!$E$45*T542*U542</f>
        <v>420</v>
      </c>
      <c r="L542" s="13" t="n">
        <f aca="false">H542+I542+J542+K542</f>
        <v>3053</v>
      </c>
      <c r="M542" s="12" t="n">
        <f aca="false">L542*'Engineering Assumptions'!$B$10</f>
        <v>457.95</v>
      </c>
      <c r="N542" s="13" t="n">
        <f aca="false">L542+M542</f>
        <v>3510.95</v>
      </c>
      <c r="O542" s="12" t="n">
        <f aca="false">N542*'Engineering Assumptions'!$B$11</f>
        <v>702.19</v>
      </c>
      <c r="P542" s="183" t="n">
        <f aca="false">MROUND(N542+O542,10)</f>
        <v>4210</v>
      </c>
      <c r="Q542" s="12" t="n">
        <f aca="false">'Fleet Pricing'!H542</f>
        <v>1020</v>
      </c>
      <c r="R542" s="41" t="n">
        <v>30</v>
      </c>
      <c r="S542" s="46" t="n">
        <v>2.4</v>
      </c>
      <c r="T542" s="46" t="n">
        <v>3</v>
      </c>
      <c r="U542" s="46" t="n">
        <v>1</v>
      </c>
    </row>
    <row r="543" customFormat="false" ht="23.25" hidden="false" customHeight="true" outlineLevel="0" collapsed="false">
      <c r="A543" s="9" t="n">
        <v>511</v>
      </c>
      <c r="B543" s="47" t="s">
        <v>147</v>
      </c>
      <c r="C543" s="47" t="s">
        <v>2501</v>
      </c>
      <c r="D543" s="47" t="s">
        <v>1382</v>
      </c>
      <c r="E543" s="47"/>
      <c r="F543" s="45" t="s">
        <v>472</v>
      </c>
      <c r="G543" s="9" t="n">
        <v>30</v>
      </c>
      <c r="H543" s="12" t="n">
        <f aca="false">'Engineering Assumptions'!$C$45*'Engineering Assumptions'!$B$5*U543</f>
        <v>1719</v>
      </c>
      <c r="I543" s="12" t="n">
        <f aca="false">'Engineering Assumptions'!$B$8</f>
        <v>650</v>
      </c>
      <c r="J543" s="12" t="n">
        <f aca="false">'Engineering Assumptions'!$D$45*S543*U543</f>
        <v>264</v>
      </c>
      <c r="K543" s="12" t="n">
        <f aca="false">'Engineering Assumptions'!$E$45*T543*U543</f>
        <v>420</v>
      </c>
      <c r="L543" s="13" t="n">
        <f aca="false">H543+I543+J543+K543</f>
        <v>3053</v>
      </c>
      <c r="M543" s="12" t="n">
        <f aca="false">L543*'Engineering Assumptions'!$B$10</f>
        <v>457.95</v>
      </c>
      <c r="N543" s="13" t="n">
        <f aca="false">L543+M543</f>
        <v>3510.95</v>
      </c>
      <c r="O543" s="12" t="n">
        <f aca="false">N543*'Engineering Assumptions'!$B$11</f>
        <v>702.19</v>
      </c>
      <c r="P543" s="183" t="n">
        <f aca="false">MROUND(N543+O543,10)</f>
        <v>4210</v>
      </c>
      <c r="Q543" s="12" t="n">
        <f aca="false">'Fleet Pricing'!H543</f>
        <v>1020</v>
      </c>
      <c r="R543" s="41" t="n">
        <v>30</v>
      </c>
      <c r="S543" s="46" t="n">
        <v>2.4</v>
      </c>
      <c r="T543" s="46" t="n">
        <v>3</v>
      </c>
      <c r="U543" s="46" t="n">
        <v>1</v>
      </c>
    </row>
    <row r="544" customFormat="false" ht="23.25" hidden="false" customHeight="true" outlineLevel="0" collapsed="false">
      <c r="A544" s="9" t="n">
        <v>512</v>
      </c>
      <c r="B544" s="47" t="s">
        <v>147</v>
      </c>
      <c r="C544" s="47" t="s">
        <v>2501</v>
      </c>
      <c r="D544" s="47" t="s">
        <v>1383</v>
      </c>
      <c r="E544" s="47"/>
      <c r="F544" s="45" t="s">
        <v>472</v>
      </c>
      <c r="G544" s="9" t="n">
        <v>30</v>
      </c>
      <c r="H544" s="12" t="n">
        <f aca="false">'Engineering Assumptions'!$C$45*'Engineering Assumptions'!$B$5*U544</f>
        <v>1719</v>
      </c>
      <c r="I544" s="12" t="n">
        <f aca="false">'Engineering Assumptions'!$B$8</f>
        <v>650</v>
      </c>
      <c r="J544" s="12" t="n">
        <f aca="false">'Engineering Assumptions'!$D$45*S544*U544</f>
        <v>264</v>
      </c>
      <c r="K544" s="12" t="n">
        <f aca="false">'Engineering Assumptions'!$E$45*T544*U544</f>
        <v>420</v>
      </c>
      <c r="L544" s="13" t="n">
        <f aca="false">H544+I544+J544+K544</f>
        <v>3053</v>
      </c>
      <c r="M544" s="12" t="n">
        <f aca="false">L544*'Engineering Assumptions'!$B$10</f>
        <v>457.95</v>
      </c>
      <c r="N544" s="13" t="n">
        <f aca="false">L544+M544</f>
        <v>3510.95</v>
      </c>
      <c r="O544" s="12" t="n">
        <f aca="false">N544*'Engineering Assumptions'!$B$11</f>
        <v>702.19</v>
      </c>
      <c r="P544" s="183" t="n">
        <f aca="false">MROUND(N544+O544,10)</f>
        <v>4210</v>
      </c>
      <c r="Q544" s="12" t="n">
        <f aca="false">'Fleet Pricing'!H544</f>
        <v>1020</v>
      </c>
      <c r="R544" s="41" t="n">
        <v>30</v>
      </c>
      <c r="S544" s="46" t="n">
        <v>2.4</v>
      </c>
      <c r="T544" s="46" t="n">
        <v>3</v>
      </c>
      <c r="U544" s="46" t="n">
        <v>1</v>
      </c>
    </row>
    <row r="545" customFormat="false" ht="23.25" hidden="false" customHeight="true" outlineLevel="0" collapsed="false">
      <c r="A545" s="9" t="n">
        <v>513</v>
      </c>
      <c r="B545" s="47" t="s">
        <v>147</v>
      </c>
      <c r="C545" s="47" t="s">
        <v>2501</v>
      </c>
      <c r="D545" s="47" t="s">
        <v>1384</v>
      </c>
      <c r="E545" s="47"/>
      <c r="F545" s="45" t="s">
        <v>472</v>
      </c>
      <c r="G545" s="9" t="n">
        <v>30</v>
      </c>
      <c r="H545" s="12" t="n">
        <f aca="false">'Engineering Assumptions'!$C$45*'Engineering Assumptions'!$B$5*U545</f>
        <v>1719</v>
      </c>
      <c r="I545" s="12" t="n">
        <f aca="false">'Engineering Assumptions'!$B$8</f>
        <v>650</v>
      </c>
      <c r="J545" s="12" t="n">
        <f aca="false">'Engineering Assumptions'!$D$45*S545*U545</f>
        <v>264</v>
      </c>
      <c r="K545" s="12" t="n">
        <f aca="false">'Engineering Assumptions'!$E$45*T545*U545</f>
        <v>420</v>
      </c>
      <c r="L545" s="13" t="n">
        <f aca="false">H545+I545+J545+K545</f>
        <v>3053</v>
      </c>
      <c r="M545" s="12" t="n">
        <f aca="false">L545*'Engineering Assumptions'!$B$10</f>
        <v>457.95</v>
      </c>
      <c r="N545" s="13" t="n">
        <f aca="false">L545+M545</f>
        <v>3510.95</v>
      </c>
      <c r="O545" s="12" t="n">
        <f aca="false">N545*'Engineering Assumptions'!$B$11</f>
        <v>702.19</v>
      </c>
      <c r="P545" s="183" t="n">
        <f aca="false">MROUND(N545+O545,10)</f>
        <v>4210</v>
      </c>
      <c r="Q545" s="12" t="n">
        <f aca="false">'Fleet Pricing'!H545</f>
        <v>1020</v>
      </c>
      <c r="R545" s="41" t="n">
        <v>30</v>
      </c>
      <c r="S545" s="46" t="n">
        <v>2.4</v>
      </c>
      <c r="T545" s="46" t="n">
        <v>3</v>
      </c>
      <c r="U545" s="46" t="n">
        <v>1</v>
      </c>
    </row>
    <row r="546" customFormat="false" ht="23.25" hidden="false" customHeight="true" outlineLevel="0" collapsed="false">
      <c r="A546" s="9" t="n">
        <v>514</v>
      </c>
      <c r="B546" s="47" t="s">
        <v>147</v>
      </c>
      <c r="C546" s="47" t="s">
        <v>2501</v>
      </c>
      <c r="D546" s="47" t="s">
        <v>1385</v>
      </c>
      <c r="E546" s="47"/>
      <c r="F546" s="45" t="s">
        <v>472</v>
      </c>
      <c r="G546" s="9" t="n">
        <v>30</v>
      </c>
      <c r="H546" s="12" t="n">
        <f aca="false">'Engineering Assumptions'!$C$45*'Engineering Assumptions'!$B$5*U546</f>
        <v>1719</v>
      </c>
      <c r="I546" s="12" t="n">
        <f aca="false">'Engineering Assumptions'!$B$8</f>
        <v>650</v>
      </c>
      <c r="J546" s="12" t="n">
        <f aca="false">'Engineering Assumptions'!$D$45*S546*U546</f>
        <v>264</v>
      </c>
      <c r="K546" s="12" t="n">
        <f aca="false">'Engineering Assumptions'!$E$45*T546*U546</f>
        <v>420</v>
      </c>
      <c r="L546" s="13" t="n">
        <f aca="false">H546+I546+J546+K546</f>
        <v>3053</v>
      </c>
      <c r="M546" s="12" t="n">
        <f aca="false">L546*'Engineering Assumptions'!$B$10</f>
        <v>457.95</v>
      </c>
      <c r="N546" s="13" t="n">
        <f aca="false">L546+M546</f>
        <v>3510.95</v>
      </c>
      <c r="O546" s="12" t="n">
        <f aca="false">N546*'Engineering Assumptions'!$B$11</f>
        <v>702.19</v>
      </c>
      <c r="P546" s="183" t="n">
        <f aca="false">MROUND(N546+O546,10)</f>
        <v>4210</v>
      </c>
      <c r="Q546" s="12" t="n">
        <f aca="false">'Fleet Pricing'!H546</f>
        <v>1020</v>
      </c>
      <c r="R546" s="41" t="n">
        <v>30</v>
      </c>
      <c r="S546" s="46" t="n">
        <v>2.4</v>
      </c>
      <c r="T546" s="46" t="n">
        <v>3</v>
      </c>
      <c r="U546" s="46" t="n">
        <v>1</v>
      </c>
    </row>
    <row r="547" customFormat="false" ht="23.25" hidden="false" customHeight="true" outlineLevel="0" collapsed="false">
      <c r="A547" s="9" t="n">
        <v>515</v>
      </c>
      <c r="B547" s="47" t="s">
        <v>147</v>
      </c>
      <c r="C547" s="47" t="s">
        <v>2501</v>
      </c>
      <c r="D547" s="47" t="s">
        <v>1386</v>
      </c>
      <c r="E547" s="47"/>
      <c r="F547" s="45" t="s">
        <v>472</v>
      </c>
      <c r="G547" s="9" t="n">
        <v>30</v>
      </c>
      <c r="H547" s="12" t="n">
        <f aca="false">'Engineering Assumptions'!$C$45*'Engineering Assumptions'!$B$5*U547</f>
        <v>1719</v>
      </c>
      <c r="I547" s="12" t="n">
        <f aca="false">'Engineering Assumptions'!$B$8</f>
        <v>650</v>
      </c>
      <c r="J547" s="12" t="n">
        <f aca="false">'Engineering Assumptions'!$D$45*S547*U547</f>
        <v>264</v>
      </c>
      <c r="K547" s="12" t="n">
        <f aca="false">'Engineering Assumptions'!$E$45*T547*U547</f>
        <v>420</v>
      </c>
      <c r="L547" s="13" t="n">
        <f aca="false">H547+I547+J547+K547</f>
        <v>3053</v>
      </c>
      <c r="M547" s="12" t="n">
        <f aca="false">L547*'Engineering Assumptions'!$B$10</f>
        <v>457.95</v>
      </c>
      <c r="N547" s="13" t="n">
        <f aca="false">L547+M547</f>
        <v>3510.95</v>
      </c>
      <c r="O547" s="12" t="n">
        <f aca="false">N547*'Engineering Assumptions'!$B$11</f>
        <v>702.19</v>
      </c>
      <c r="P547" s="183" t="n">
        <f aca="false">MROUND(N547+O547,10)</f>
        <v>4210</v>
      </c>
      <c r="Q547" s="12" t="n">
        <f aca="false">'Fleet Pricing'!H547</f>
        <v>1020</v>
      </c>
      <c r="R547" s="41" t="n">
        <v>30</v>
      </c>
      <c r="S547" s="46" t="n">
        <v>2.4</v>
      </c>
      <c r="T547" s="46" t="n">
        <v>3</v>
      </c>
      <c r="U547" s="46" t="n">
        <v>1</v>
      </c>
    </row>
    <row r="548" customFormat="false" ht="15" hidden="false" customHeight="true" outlineLevel="0" collapsed="false">
      <c r="A548" s="42" t="s">
        <v>1387</v>
      </c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</row>
    <row r="549" customFormat="false" ht="15" hidden="false" customHeight="true" outlineLevel="0" collapsed="false">
      <c r="A549" s="9" t="n">
        <v>516</v>
      </c>
      <c r="B549" s="47" t="s">
        <v>149</v>
      </c>
      <c r="C549" s="47" t="s">
        <v>2502</v>
      </c>
      <c r="D549" s="47" t="s">
        <v>1389</v>
      </c>
      <c r="E549" s="47"/>
      <c r="F549" s="45" t="s">
        <v>472</v>
      </c>
      <c r="G549" s="9" t="n">
        <v>30</v>
      </c>
      <c r="H549" s="12" t="n">
        <f aca="false">'Engineering Assumptions'!$C$46*'Engineering Assumptions'!$B$5*U549</f>
        <v>1337</v>
      </c>
      <c r="I549" s="12" t="n">
        <f aca="false">'Engineering Assumptions'!$B$8</f>
        <v>650</v>
      </c>
      <c r="J549" s="12" t="n">
        <f aca="false">'Engineering Assumptions'!$D$46*S549*U549</f>
        <v>384</v>
      </c>
      <c r="K549" s="12" t="n">
        <f aca="false">'Engineering Assumptions'!$E$46*T549*U549</f>
        <v>630</v>
      </c>
      <c r="L549" s="13" t="n">
        <f aca="false">H549+I549+J549+K549</f>
        <v>3001</v>
      </c>
      <c r="M549" s="12" t="n">
        <f aca="false">L549*'Engineering Assumptions'!$B$10</f>
        <v>450.15</v>
      </c>
      <c r="N549" s="13" t="n">
        <f aca="false">L549+M549</f>
        <v>3451.15</v>
      </c>
      <c r="O549" s="12" t="n">
        <f aca="false">N549*'Engineering Assumptions'!$B$11</f>
        <v>690.23</v>
      </c>
      <c r="P549" s="183" t="n">
        <f aca="false">MROUND(N549+O549,10)</f>
        <v>4140</v>
      </c>
      <c r="Q549" s="12" t="n">
        <f aca="false">'Fleet Pricing'!H549</f>
        <v>1770</v>
      </c>
      <c r="R549" s="41" t="n">
        <v>30</v>
      </c>
      <c r="S549" s="46" t="n">
        <v>2.4</v>
      </c>
      <c r="T549" s="46" t="n">
        <v>3</v>
      </c>
      <c r="U549" s="46" t="n">
        <v>1</v>
      </c>
    </row>
    <row r="550" customFormat="false" ht="15" hidden="false" customHeight="true" outlineLevel="0" collapsed="false">
      <c r="A550" s="9" t="n">
        <v>517</v>
      </c>
      <c r="B550" s="47" t="s">
        <v>149</v>
      </c>
      <c r="C550" s="47" t="s">
        <v>2503</v>
      </c>
      <c r="D550" s="47" t="s">
        <v>1391</v>
      </c>
      <c r="E550" s="47"/>
      <c r="F550" s="45" t="s">
        <v>472</v>
      </c>
      <c r="G550" s="9" t="n">
        <v>30</v>
      </c>
      <c r="H550" s="12" t="n">
        <f aca="false">'Engineering Assumptions'!$C$46*'Engineering Assumptions'!$B$5*U550</f>
        <v>1337</v>
      </c>
      <c r="I550" s="12" t="n">
        <f aca="false">'Engineering Assumptions'!$B$8</f>
        <v>650</v>
      </c>
      <c r="J550" s="12" t="n">
        <f aca="false">'Engineering Assumptions'!$D$46*S550*U550</f>
        <v>384</v>
      </c>
      <c r="K550" s="12" t="n">
        <f aca="false">'Engineering Assumptions'!$E$46*T550*U550</f>
        <v>630</v>
      </c>
      <c r="L550" s="13" t="n">
        <f aca="false">H550+I550+J550+K550</f>
        <v>3001</v>
      </c>
      <c r="M550" s="12" t="n">
        <f aca="false">L550*'Engineering Assumptions'!$B$10</f>
        <v>450.15</v>
      </c>
      <c r="N550" s="13" t="n">
        <f aca="false">L550+M550</f>
        <v>3451.15</v>
      </c>
      <c r="O550" s="12" t="n">
        <f aca="false">N550*'Engineering Assumptions'!$B$11</f>
        <v>690.23</v>
      </c>
      <c r="P550" s="183" t="n">
        <f aca="false">MROUND(N550+O550,10)</f>
        <v>4140</v>
      </c>
      <c r="Q550" s="12" t="n">
        <f aca="false">'Fleet Pricing'!H550</f>
        <v>1770</v>
      </c>
      <c r="R550" s="41" t="n">
        <v>30</v>
      </c>
      <c r="S550" s="46" t="n">
        <v>2.4</v>
      </c>
      <c r="T550" s="46" t="n">
        <v>3</v>
      </c>
      <c r="U550" s="46" t="n">
        <v>1</v>
      </c>
    </row>
    <row r="551" customFormat="false" ht="15" hidden="false" customHeight="true" outlineLevel="0" collapsed="false">
      <c r="A551" s="9" t="n">
        <v>518</v>
      </c>
      <c r="B551" s="47" t="s">
        <v>149</v>
      </c>
      <c r="C551" s="47" t="s">
        <v>2503</v>
      </c>
      <c r="D551" s="47" t="s">
        <v>1392</v>
      </c>
      <c r="E551" s="47"/>
      <c r="F551" s="45" t="s">
        <v>472</v>
      </c>
      <c r="G551" s="9" t="n">
        <v>30</v>
      </c>
      <c r="H551" s="12" t="n">
        <f aca="false">'Engineering Assumptions'!$C$46*'Engineering Assumptions'!$B$5*U551</f>
        <v>1337</v>
      </c>
      <c r="I551" s="12" t="n">
        <f aca="false">'Engineering Assumptions'!$B$8</f>
        <v>650</v>
      </c>
      <c r="J551" s="12" t="n">
        <f aca="false">'Engineering Assumptions'!$D$46*S551*U551</f>
        <v>384</v>
      </c>
      <c r="K551" s="12" t="n">
        <f aca="false">'Engineering Assumptions'!$E$46*T551*U551</f>
        <v>630</v>
      </c>
      <c r="L551" s="13" t="n">
        <f aca="false">H551+I551+J551+K551</f>
        <v>3001</v>
      </c>
      <c r="M551" s="12" t="n">
        <f aca="false">L551*'Engineering Assumptions'!$B$10</f>
        <v>450.15</v>
      </c>
      <c r="N551" s="13" t="n">
        <f aca="false">L551+M551</f>
        <v>3451.15</v>
      </c>
      <c r="O551" s="12" t="n">
        <f aca="false">N551*'Engineering Assumptions'!$B$11</f>
        <v>690.23</v>
      </c>
      <c r="P551" s="183" t="n">
        <f aca="false">MROUND(N551+O551,10)</f>
        <v>4140</v>
      </c>
      <c r="Q551" s="12" t="n">
        <f aca="false">'Fleet Pricing'!H551</f>
        <v>1770</v>
      </c>
      <c r="R551" s="41" t="n">
        <v>30</v>
      </c>
      <c r="S551" s="46" t="n">
        <v>2.4</v>
      </c>
      <c r="T551" s="46" t="n">
        <v>3</v>
      </c>
      <c r="U551" s="46" t="n">
        <v>1</v>
      </c>
    </row>
  </sheetData>
  <mergeCells count="31">
    <mergeCell ref="A1:Q1"/>
    <mergeCell ref="A2:Q2"/>
    <mergeCell ref="A5:Q5"/>
    <mergeCell ref="A30:Q30"/>
    <mergeCell ref="A40:Q40"/>
    <mergeCell ref="A57:Q57"/>
    <mergeCell ref="A61:Q61"/>
    <mergeCell ref="A81:Q81"/>
    <mergeCell ref="A154:Q154"/>
    <mergeCell ref="A165:Q165"/>
    <mergeCell ref="A182:Q182"/>
    <mergeCell ref="A208:Q208"/>
    <mergeCell ref="A220:Q220"/>
    <mergeCell ref="A225:Q225"/>
    <mergeCell ref="A228:Q228"/>
    <mergeCell ref="A233:Q233"/>
    <mergeCell ref="A242:Q242"/>
    <mergeCell ref="A245:Q245"/>
    <mergeCell ref="A271:Q271"/>
    <mergeCell ref="A275:Q275"/>
    <mergeCell ref="A287:Q287"/>
    <mergeCell ref="A301:Q301"/>
    <mergeCell ref="A390:Q390"/>
    <mergeCell ref="A397:Q397"/>
    <mergeCell ref="A401:Q401"/>
    <mergeCell ref="A408:Q408"/>
    <mergeCell ref="A450:Q450"/>
    <mergeCell ref="A470:Q470"/>
    <mergeCell ref="A483:Q483"/>
    <mergeCell ref="A537:Q537"/>
    <mergeCell ref="A548:Q5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D26" activeCellId="0" sqref="D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28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10" min="8" style="0" width="14"/>
    <col collapsed="false" customWidth="true" hidden="false" outlineLevel="0" max="12" min="11" style="0" width="18"/>
    <col collapsed="false" customWidth="true" hidden="false" outlineLevel="0" max="13" min="13" style="0" width="22"/>
  </cols>
  <sheetData>
    <row r="1" customFormat="false" ht="24" hidden="false" customHeight="true" outlineLevel="0" collapsed="false">
      <c r="A1" s="1" t="s">
        <v>2504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7" t="s">
        <v>2505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customFormat="false" ht="42" hidden="false" customHeight="true" outlineLevel="0" collapsed="false">
      <c r="A4" s="8" t="s">
        <v>77</v>
      </c>
      <c r="B4" s="8" t="s">
        <v>78</v>
      </c>
      <c r="C4" s="8" t="s">
        <v>2262</v>
      </c>
      <c r="D4" s="8" t="s">
        <v>280</v>
      </c>
      <c r="E4" s="8" t="s">
        <v>283</v>
      </c>
      <c r="F4" s="8" t="s">
        <v>282</v>
      </c>
      <c r="G4" s="8" t="s">
        <v>2263</v>
      </c>
      <c r="H4" s="8" t="s">
        <v>2506</v>
      </c>
      <c r="I4" s="8" t="s">
        <v>2507</v>
      </c>
      <c r="J4" s="8" t="s">
        <v>2508</v>
      </c>
      <c r="K4" s="8" t="s">
        <v>2509</v>
      </c>
      <c r="L4" s="8" t="s">
        <v>2510</v>
      </c>
      <c r="M4" s="8" t="s">
        <v>2511</v>
      </c>
    </row>
    <row r="5" customFormat="false" ht="15" hidden="false" customHeight="true" outlineLevel="0" collapsed="false">
      <c r="A5" s="42" t="s">
        <v>293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15" hidden="false" customHeight="true" outlineLevel="0" collapsed="false">
      <c r="A6" s="9" t="n">
        <v>1</v>
      </c>
      <c r="B6" s="43" t="s">
        <v>92</v>
      </c>
      <c r="C6" s="43" t="s">
        <v>2278</v>
      </c>
      <c r="D6" s="43" t="s">
        <v>295</v>
      </c>
      <c r="E6" s="43" t="s">
        <v>298</v>
      </c>
      <c r="F6" s="45" t="s">
        <v>297</v>
      </c>
      <c r="G6" s="9" t="n">
        <v>5</v>
      </c>
      <c r="H6" s="12" t="n">
        <f aca="false">'Engineering Cost'!H6*'Engineering Assumptions'!$B$6</f>
        <v>252120</v>
      </c>
      <c r="I6" s="12" t="n">
        <f aca="false">IF('Engineering Cost'!I6=0,0,MAX('Engineering Cost'!I6*'Engineering Assumptions'!$B$6,'Engineering Assumptions'!$B$9))</f>
        <v>78000</v>
      </c>
      <c r="J6" s="12" t="n">
        <f aca="false">'Engineering Cost'!J6*'Engineering Assumptions'!$B$6</f>
        <v>21600</v>
      </c>
      <c r="K6" s="12" t="n">
        <f aca="false">'Engineering Cost'!K6*'Engineering Assumptions'!$B$6</f>
        <v>7920</v>
      </c>
      <c r="L6" s="13" t="n">
        <f aca="false">SUM(H6:K6)</f>
        <v>359640</v>
      </c>
      <c r="M6" s="13" t="n">
        <f aca="false">L6*(1+'Engineering Assumptions'!$B$10)</f>
        <v>413586</v>
      </c>
    </row>
    <row r="7" customFormat="false" ht="15" hidden="false" customHeight="true" outlineLevel="0" collapsed="false">
      <c r="A7" s="9" t="n">
        <v>2</v>
      </c>
      <c r="B7" s="43" t="s">
        <v>92</v>
      </c>
      <c r="C7" s="43" t="s">
        <v>2278</v>
      </c>
      <c r="D7" s="43" t="s">
        <v>299</v>
      </c>
      <c r="E7" s="43" t="s">
        <v>300</v>
      </c>
      <c r="F7" s="45" t="s">
        <v>297</v>
      </c>
      <c r="G7" s="9" t="n">
        <v>5</v>
      </c>
      <c r="H7" s="12" t="n">
        <f aca="false">'Engineering Cost'!H7*'Engineering Assumptions'!$B$6</f>
        <v>252120</v>
      </c>
      <c r="I7" s="12" t="n">
        <f aca="false">IF('Engineering Cost'!I7=0,0,MAX('Engineering Cost'!I7*'Engineering Assumptions'!$B$6,'Engineering Assumptions'!$B$9))</f>
        <v>78000</v>
      </c>
      <c r="J7" s="12" t="n">
        <f aca="false">'Engineering Cost'!J7*'Engineering Assumptions'!$B$6</f>
        <v>21600</v>
      </c>
      <c r="K7" s="12" t="n">
        <f aca="false">'Engineering Cost'!K7*'Engineering Assumptions'!$B$6</f>
        <v>7920</v>
      </c>
      <c r="L7" s="13" t="n">
        <f aca="false">SUM(H7:K7)</f>
        <v>359640</v>
      </c>
      <c r="M7" s="13" t="n">
        <f aca="false">L7*(1+'Engineering Assumptions'!$B$10)</f>
        <v>413586</v>
      </c>
    </row>
    <row r="8" customFormat="false" ht="15" hidden="false" customHeight="true" outlineLevel="0" collapsed="false">
      <c r="A8" s="9" t="n">
        <v>3</v>
      </c>
      <c r="B8" s="43" t="s">
        <v>92</v>
      </c>
      <c r="C8" s="43" t="s">
        <v>2278</v>
      </c>
      <c r="D8" s="43" t="s">
        <v>301</v>
      </c>
      <c r="E8" s="43" t="s">
        <v>302</v>
      </c>
      <c r="F8" s="45" t="s">
        <v>297</v>
      </c>
      <c r="G8" s="9" t="n">
        <v>5</v>
      </c>
      <c r="H8" s="12" t="n">
        <f aca="false">'Engineering Cost'!H8*'Engineering Assumptions'!$B$6</f>
        <v>252120</v>
      </c>
      <c r="I8" s="12" t="n">
        <f aca="false">IF('Engineering Cost'!I8=0,0,MAX('Engineering Cost'!I8*'Engineering Assumptions'!$B$6,'Engineering Assumptions'!$B$9))</f>
        <v>78000</v>
      </c>
      <c r="J8" s="12" t="n">
        <f aca="false">'Engineering Cost'!J8*'Engineering Assumptions'!$B$6</f>
        <v>21600</v>
      </c>
      <c r="K8" s="12" t="n">
        <f aca="false">'Engineering Cost'!K8*'Engineering Assumptions'!$B$6</f>
        <v>7920</v>
      </c>
      <c r="L8" s="13" t="n">
        <f aca="false">SUM(H8:K8)</f>
        <v>359640</v>
      </c>
      <c r="M8" s="13" t="n">
        <f aca="false">L8*(1+'Engineering Assumptions'!$B$10)</f>
        <v>413586</v>
      </c>
    </row>
    <row r="9" customFormat="false" ht="15" hidden="false" customHeight="true" outlineLevel="0" collapsed="false">
      <c r="A9" s="9" t="n">
        <v>4</v>
      </c>
      <c r="B9" s="43" t="s">
        <v>92</v>
      </c>
      <c r="C9" s="43" t="s">
        <v>2279</v>
      </c>
      <c r="D9" s="43" t="s">
        <v>304</v>
      </c>
      <c r="E9" s="43" t="s">
        <v>307</v>
      </c>
      <c r="F9" s="45" t="s">
        <v>306</v>
      </c>
      <c r="G9" s="9" t="n">
        <v>6</v>
      </c>
      <c r="H9" s="12" t="n">
        <f aca="false">'Engineering Cost'!H9*'Engineering Assumptions'!$B$6</f>
        <v>252120</v>
      </c>
      <c r="I9" s="12" t="n">
        <f aca="false">IF('Engineering Cost'!I9=0,0,MAX('Engineering Cost'!I9*'Engineering Assumptions'!$B$6,'Engineering Assumptions'!$B$9))</f>
        <v>78000</v>
      </c>
      <c r="J9" s="12" t="n">
        <f aca="false">'Engineering Cost'!J9*'Engineering Assumptions'!$B$6</f>
        <v>27000</v>
      </c>
      <c r="K9" s="12" t="n">
        <f aca="false">'Engineering Cost'!K9*'Engineering Assumptions'!$B$6</f>
        <v>19800</v>
      </c>
      <c r="L9" s="13" t="n">
        <f aca="false">SUM(H9:K9)</f>
        <v>376920</v>
      </c>
      <c r="M9" s="13" t="n">
        <f aca="false">L9*(1+'Engineering Assumptions'!$B$10)</f>
        <v>433458</v>
      </c>
    </row>
    <row r="10" customFormat="false" ht="15" hidden="false" customHeight="true" outlineLevel="0" collapsed="false">
      <c r="A10" s="9" t="n">
        <v>5</v>
      </c>
      <c r="B10" s="43" t="s">
        <v>92</v>
      </c>
      <c r="C10" s="43" t="s">
        <v>2279</v>
      </c>
      <c r="D10" s="43" t="s">
        <v>333</v>
      </c>
      <c r="E10" s="43" t="s">
        <v>334</v>
      </c>
      <c r="F10" s="45" t="s">
        <v>306</v>
      </c>
      <c r="G10" s="9" t="n">
        <v>6</v>
      </c>
      <c r="H10" s="12" t="n">
        <f aca="false">'Engineering Cost'!H10*'Engineering Assumptions'!$B$6</f>
        <v>252120</v>
      </c>
      <c r="I10" s="12" t="n">
        <f aca="false">IF('Engineering Cost'!I10=0,0,MAX('Engineering Cost'!I10*'Engineering Assumptions'!$B$6,'Engineering Assumptions'!$B$9))</f>
        <v>78000</v>
      </c>
      <c r="J10" s="12" t="n">
        <f aca="false">'Engineering Cost'!J10*'Engineering Assumptions'!$B$6</f>
        <v>27000</v>
      </c>
      <c r="K10" s="12" t="n">
        <f aca="false">'Engineering Cost'!K10*'Engineering Assumptions'!$B$6</f>
        <v>19800</v>
      </c>
      <c r="L10" s="13" t="n">
        <f aca="false">SUM(H10:K10)</f>
        <v>376920</v>
      </c>
      <c r="M10" s="13" t="n">
        <f aca="false">L10*(1+'Engineering Assumptions'!$B$10)</f>
        <v>433458</v>
      </c>
    </row>
    <row r="11" customFormat="false" ht="15" hidden="false" customHeight="true" outlineLevel="0" collapsed="false">
      <c r="A11" s="9" t="n">
        <v>6</v>
      </c>
      <c r="B11" s="43" t="s">
        <v>92</v>
      </c>
      <c r="C11" s="43" t="s">
        <v>2279</v>
      </c>
      <c r="D11" s="43" t="s">
        <v>335</v>
      </c>
      <c r="E11" s="43" t="s">
        <v>336</v>
      </c>
      <c r="F11" s="45" t="s">
        <v>306</v>
      </c>
      <c r="G11" s="9" t="n">
        <v>6</v>
      </c>
      <c r="H11" s="12" t="n">
        <f aca="false">'Engineering Cost'!H11*'Engineering Assumptions'!$B$6</f>
        <v>252120</v>
      </c>
      <c r="I11" s="12" t="n">
        <f aca="false">IF('Engineering Cost'!I11=0,0,MAX('Engineering Cost'!I11*'Engineering Assumptions'!$B$6,'Engineering Assumptions'!$B$9))</f>
        <v>78000</v>
      </c>
      <c r="J11" s="12" t="n">
        <f aca="false">'Engineering Cost'!J11*'Engineering Assumptions'!$B$6</f>
        <v>27000</v>
      </c>
      <c r="K11" s="12" t="n">
        <f aca="false">'Engineering Cost'!K11*'Engineering Assumptions'!$B$6</f>
        <v>19800</v>
      </c>
      <c r="L11" s="13" t="n">
        <f aca="false">SUM(H11:K11)</f>
        <v>376920</v>
      </c>
      <c r="M11" s="13" t="n">
        <f aca="false">L11*(1+'Engineering Assumptions'!$B$10)</f>
        <v>433458</v>
      </c>
    </row>
    <row r="12" customFormat="false" ht="15" hidden="false" customHeight="true" outlineLevel="0" collapsed="false">
      <c r="A12" s="9" t="n">
        <v>7</v>
      </c>
      <c r="B12" s="43" t="s">
        <v>92</v>
      </c>
      <c r="C12" s="43" t="s">
        <v>2279</v>
      </c>
      <c r="D12" s="43" t="s">
        <v>339</v>
      </c>
      <c r="E12" s="43" t="s">
        <v>340</v>
      </c>
      <c r="F12" s="45" t="s">
        <v>306</v>
      </c>
      <c r="G12" s="9" t="n">
        <v>6</v>
      </c>
      <c r="H12" s="12" t="n">
        <f aca="false">'Engineering Cost'!H12*'Engineering Assumptions'!$B$6</f>
        <v>252120</v>
      </c>
      <c r="I12" s="12" t="n">
        <f aca="false">IF('Engineering Cost'!I12=0,0,MAX('Engineering Cost'!I12*'Engineering Assumptions'!$B$6,'Engineering Assumptions'!$B$9))</f>
        <v>78000</v>
      </c>
      <c r="J12" s="12" t="n">
        <f aca="false">'Engineering Cost'!J12*'Engineering Assumptions'!$B$6</f>
        <v>27000</v>
      </c>
      <c r="K12" s="12" t="n">
        <f aca="false">'Engineering Cost'!K12*'Engineering Assumptions'!$B$6</f>
        <v>19800</v>
      </c>
      <c r="L12" s="13" t="n">
        <f aca="false">SUM(H12:K12)</f>
        <v>376920</v>
      </c>
      <c r="M12" s="13" t="n">
        <f aca="false">L12*(1+'Engineering Assumptions'!$B$10)</f>
        <v>433458</v>
      </c>
    </row>
    <row r="13" customFormat="false" ht="15" hidden="false" customHeight="true" outlineLevel="0" collapsed="false">
      <c r="A13" s="9" t="n">
        <v>8</v>
      </c>
      <c r="B13" s="43" t="s">
        <v>92</v>
      </c>
      <c r="C13" s="43" t="s">
        <v>2279</v>
      </c>
      <c r="D13" s="43" t="s">
        <v>343</v>
      </c>
      <c r="E13" s="43" t="s">
        <v>344</v>
      </c>
      <c r="F13" s="45" t="s">
        <v>306</v>
      </c>
      <c r="G13" s="9" t="n">
        <v>6</v>
      </c>
      <c r="H13" s="12" t="n">
        <f aca="false">'Engineering Cost'!H13*'Engineering Assumptions'!$B$6</f>
        <v>252120</v>
      </c>
      <c r="I13" s="12" t="n">
        <f aca="false">IF('Engineering Cost'!I13=0,0,MAX('Engineering Cost'!I13*'Engineering Assumptions'!$B$6,'Engineering Assumptions'!$B$9))</f>
        <v>78000</v>
      </c>
      <c r="J13" s="12" t="n">
        <f aca="false">'Engineering Cost'!J13*'Engineering Assumptions'!$B$6</f>
        <v>27000</v>
      </c>
      <c r="K13" s="12" t="n">
        <f aca="false">'Engineering Cost'!K13*'Engineering Assumptions'!$B$6</f>
        <v>19800</v>
      </c>
      <c r="L13" s="13" t="n">
        <f aca="false">SUM(H13:K13)</f>
        <v>376920</v>
      </c>
      <c r="M13" s="13" t="n">
        <f aca="false">L13*(1+'Engineering Assumptions'!$B$10)</f>
        <v>433458</v>
      </c>
    </row>
    <row r="14" customFormat="false" ht="15" hidden="false" customHeight="true" outlineLevel="0" collapsed="false">
      <c r="A14" s="9" t="n">
        <v>9</v>
      </c>
      <c r="B14" s="43" t="s">
        <v>92</v>
      </c>
      <c r="C14" s="43" t="s">
        <v>2279</v>
      </c>
      <c r="D14" s="43" t="s">
        <v>345</v>
      </c>
      <c r="E14" s="43" t="s">
        <v>346</v>
      </c>
      <c r="F14" s="45" t="s">
        <v>306</v>
      </c>
      <c r="G14" s="9" t="n">
        <v>6</v>
      </c>
      <c r="H14" s="12" t="n">
        <f aca="false">'Engineering Cost'!H14*'Engineering Assumptions'!$B$6</f>
        <v>252120</v>
      </c>
      <c r="I14" s="12" t="n">
        <f aca="false">IF('Engineering Cost'!I14=0,0,MAX('Engineering Cost'!I14*'Engineering Assumptions'!$B$6,'Engineering Assumptions'!$B$9))</f>
        <v>78000</v>
      </c>
      <c r="J14" s="12" t="n">
        <f aca="false">'Engineering Cost'!J14*'Engineering Assumptions'!$B$6</f>
        <v>27000</v>
      </c>
      <c r="K14" s="12" t="n">
        <f aca="false">'Engineering Cost'!K14*'Engineering Assumptions'!$B$6</f>
        <v>19800</v>
      </c>
      <c r="L14" s="13" t="n">
        <f aca="false">SUM(H14:K14)</f>
        <v>376920</v>
      </c>
      <c r="M14" s="13" t="n">
        <f aca="false">L14*(1+'Engineering Assumptions'!$B$10)</f>
        <v>433458</v>
      </c>
    </row>
    <row r="15" customFormat="false" ht="15" hidden="false" customHeight="true" outlineLevel="0" collapsed="false">
      <c r="A15" s="9" t="n">
        <v>10</v>
      </c>
      <c r="B15" s="43" t="s">
        <v>92</v>
      </c>
      <c r="C15" s="43" t="s">
        <v>2280</v>
      </c>
      <c r="D15" s="43" t="s">
        <v>322</v>
      </c>
      <c r="E15" s="43" t="s">
        <v>325</v>
      </c>
      <c r="F15" s="45" t="s">
        <v>324</v>
      </c>
      <c r="G15" s="9" t="n">
        <v>7</v>
      </c>
      <c r="H15" s="12" t="n">
        <f aca="false">'Engineering Cost'!H15*'Engineering Assumptions'!$B$6</f>
        <v>252120</v>
      </c>
      <c r="I15" s="12" t="n">
        <f aca="false">IF('Engineering Cost'!I15=0,0,MAX('Engineering Cost'!I15*'Engineering Assumptions'!$B$6,'Engineering Assumptions'!$B$9))</f>
        <v>78000</v>
      </c>
      <c r="J15" s="12" t="n">
        <f aca="false">'Engineering Cost'!J15*'Engineering Assumptions'!$B$6</f>
        <v>27000</v>
      </c>
      <c r="K15" s="12" t="n">
        <f aca="false">'Engineering Cost'!K15*'Engineering Assumptions'!$B$6</f>
        <v>19800</v>
      </c>
      <c r="L15" s="13" t="n">
        <f aca="false">SUM(H15:K15)</f>
        <v>376920</v>
      </c>
      <c r="M15" s="13" t="n">
        <f aca="false">L15*(1+'Engineering Assumptions'!$B$10)</f>
        <v>433458</v>
      </c>
    </row>
    <row r="16" customFormat="false" ht="15" hidden="false" customHeight="true" outlineLevel="0" collapsed="false">
      <c r="A16" s="9" t="n">
        <v>11</v>
      </c>
      <c r="B16" s="43" t="s">
        <v>92</v>
      </c>
      <c r="C16" s="43" t="s">
        <v>2281</v>
      </c>
      <c r="D16" s="43" t="s">
        <v>326</v>
      </c>
      <c r="E16" s="43" t="s">
        <v>328</v>
      </c>
      <c r="F16" s="45" t="s">
        <v>318</v>
      </c>
      <c r="G16" s="9" t="n">
        <v>10</v>
      </c>
      <c r="H16" s="12" t="n">
        <f aca="false">'Engineering Cost'!H16*'Engineering Assumptions'!$B$6</f>
        <v>252120</v>
      </c>
      <c r="I16" s="12" t="n">
        <f aca="false">IF('Engineering Cost'!I16=0,0,MAX('Engineering Cost'!I16*'Engineering Assumptions'!$B$6,'Engineering Assumptions'!$B$9))</f>
        <v>78000</v>
      </c>
      <c r="J16" s="12" t="n">
        <f aca="false">'Engineering Cost'!J16*'Engineering Assumptions'!$B$6</f>
        <v>27000</v>
      </c>
      <c r="K16" s="12" t="n">
        <f aca="false">'Engineering Cost'!K16*'Engineering Assumptions'!$B$6</f>
        <v>19800</v>
      </c>
      <c r="L16" s="13" t="n">
        <f aca="false">SUM(H16:K16)</f>
        <v>376920</v>
      </c>
      <c r="M16" s="13" t="n">
        <f aca="false">L16*(1+'Engineering Assumptions'!$B$10)</f>
        <v>433458</v>
      </c>
    </row>
    <row r="17" customFormat="false" ht="15" hidden="false" customHeight="true" outlineLevel="0" collapsed="false">
      <c r="A17" s="9" t="n">
        <v>12</v>
      </c>
      <c r="B17" s="43" t="s">
        <v>92</v>
      </c>
      <c r="C17" s="43" t="s">
        <v>2281</v>
      </c>
      <c r="D17" s="43" t="s">
        <v>317</v>
      </c>
      <c r="E17" s="43" t="s">
        <v>319</v>
      </c>
      <c r="F17" s="45" t="s">
        <v>318</v>
      </c>
      <c r="G17" s="9" t="n">
        <v>10</v>
      </c>
      <c r="H17" s="12" t="n">
        <f aca="false">'Engineering Cost'!H17*'Engineering Assumptions'!$B$6</f>
        <v>252120</v>
      </c>
      <c r="I17" s="12" t="n">
        <f aca="false">IF('Engineering Cost'!I17=0,0,MAX('Engineering Cost'!I17*'Engineering Assumptions'!$B$6,'Engineering Assumptions'!$B$9))</f>
        <v>78000</v>
      </c>
      <c r="J17" s="12" t="n">
        <f aca="false">'Engineering Cost'!J17*'Engineering Assumptions'!$B$6</f>
        <v>27000</v>
      </c>
      <c r="K17" s="12" t="n">
        <f aca="false">'Engineering Cost'!K17*'Engineering Assumptions'!$B$6</f>
        <v>19800</v>
      </c>
      <c r="L17" s="13" t="n">
        <f aca="false">SUM(H17:K17)</f>
        <v>376920</v>
      </c>
      <c r="M17" s="13" t="n">
        <f aca="false">L17*(1+'Engineering Assumptions'!$B$10)</f>
        <v>433458</v>
      </c>
    </row>
    <row r="18" customFormat="false" ht="15" hidden="false" customHeight="true" outlineLevel="0" collapsed="false">
      <c r="A18" s="9" t="n">
        <v>13</v>
      </c>
      <c r="B18" s="43" t="s">
        <v>92</v>
      </c>
      <c r="C18" s="43" t="s">
        <v>327</v>
      </c>
      <c r="D18" s="43" t="s">
        <v>331</v>
      </c>
      <c r="E18" s="43" t="s">
        <v>332</v>
      </c>
      <c r="F18" s="45" t="s">
        <v>318</v>
      </c>
      <c r="G18" s="9" t="n">
        <v>10</v>
      </c>
      <c r="H18" s="12" t="n">
        <f aca="false">'Engineering Cost'!H18*'Engineering Assumptions'!$B$6</f>
        <v>252120</v>
      </c>
      <c r="I18" s="12" t="n">
        <f aca="false">IF('Engineering Cost'!I18=0,0,MAX('Engineering Cost'!I18*'Engineering Assumptions'!$B$6,'Engineering Assumptions'!$B$9))</f>
        <v>78000</v>
      </c>
      <c r="J18" s="12" t="n">
        <f aca="false">'Engineering Cost'!J18*'Engineering Assumptions'!$B$6</f>
        <v>27000</v>
      </c>
      <c r="K18" s="12" t="n">
        <f aca="false">'Engineering Cost'!K18*'Engineering Assumptions'!$B$6</f>
        <v>19800</v>
      </c>
      <c r="L18" s="13" t="n">
        <f aca="false">SUM(H18:K18)</f>
        <v>376920</v>
      </c>
      <c r="M18" s="13" t="n">
        <f aca="false">L18*(1+'Engineering Assumptions'!$B$10)</f>
        <v>433458</v>
      </c>
    </row>
    <row r="19" customFormat="false" ht="15" hidden="false" customHeight="true" outlineLevel="0" collapsed="false">
      <c r="A19" s="9" t="n">
        <v>14</v>
      </c>
      <c r="B19" s="43" t="s">
        <v>92</v>
      </c>
      <c r="C19" s="43" t="s">
        <v>327</v>
      </c>
      <c r="D19" s="43" t="s">
        <v>320</v>
      </c>
      <c r="E19" s="43" t="s">
        <v>321</v>
      </c>
      <c r="F19" s="45" t="s">
        <v>318</v>
      </c>
      <c r="G19" s="9" t="n">
        <v>10</v>
      </c>
      <c r="H19" s="12" t="n">
        <f aca="false">'Engineering Cost'!H19*'Engineering Assumptions'!$B$6</f>
        <v>252120</v>
      </c>
      <c r="I19" s="12" t="n">
        <f aca="false">IF('Engineering Cost'!I19=0,0,MAX('Engineering Cost'!I19*'Engineering Assumptions'!$B$6,'Engineering Assumptions'!$B$9))</f>
        <v>78000</v>
      </c>
      <c r="J19" s="12" t="n">
        <f aca="false">'Engineering Cost'!J19*'Engineering Assumptions'!$B$6</f>
        <v>27000</v>
      </c>
      <c r="K19" s="12" t="n">
        <f aca="false">'Engineering Cost'!K19*'Engineering Assumptions'!$B$6</f>
        <v>19800</v>
      </c>
      <c r="L19" s="13" t="n">
        <f aca="false">SUM(H19:K19)</f>
        <v>376920</v>
      </c>
      <c r="M19" s="13" t="n">
        <f aca="false">L19*(1+'Engineering Assumptions'!$B$10)</f>
        <v>433458</v>
      </c>
    </row>
    <row r="20" customFormat="false" ht="15" hidden="false" customHeight="true" outlineLevel="0" collapsed="false">
      <c r="A20" s="9" t="n">
        <v>15</v>
      </c>
      <c r="B20" s="43" t="s">
        <v>92</v>
      </c>
      <c r="C20" s="43" t="s">
        <v>327</v>
      </c>
      <c r="D20" s="43" t="s">
        <v>329</v>
      </c>
      <c r="E20" s="43" t="s">
        <v>330</v>
      </c>
      <c r="F20" s="45" t="s">
        <v>318</v>
      </c>
      <c r="G20" s="9" t="n">
        <v>10</v>
      </c>
      <c r="H20" s="12" t="n">
        <f aca="false">'Engineering Cost'!H20*'Engineering Assumptions'!$B$6</f>
        <v>252120</v>
      </c>
      <c r="I20" s="12" t="n">
        <f aca="false">IF('Engineering Cost'!I20=0,0,MAX('Engineering Cost'!I20*'Engineering Assumptions'!$B$6,'Engineering Assumptions'!$B$9))</f>
        <v>78000</v>
      </c>
      <c r="J20" s="12" t="n">
        <f aca="false">'Engineering Cost'!J20*'Engineering Assumptions'!$B$6</f>
        <v>27000</v>
      </c>
      <c r="K20" s="12" t="n">
        <f aca="false">'Engineering Cost'!K20*'Engineering Assumptions'!$B$6</f>
        <v>19800</v>
      </c>
      <c r="L20" s="13" t="n">
        <f aca="false">SUM(H20:K20)</f>
        <v>376920</v>
      </c>
      <c r="M20" s="13" t="n">
        <f aca="false">L20*(1+'Engineering Assumptions'!$B$10)</f>
        <v>433458</v>
      </c>
    </row>
    <row r="21" customFormat="false" ht="15" hidden="false" customHeight="true" outlineLevel="0" collapsed="false">
      <c r="A21" s="9" t="n">
        <v>16</v>
      </c>
      <c r="B21" s="43" t="s">
        <v>92</v>
      </c>
      <c r="C21" s="43" t="s">
        <v>2281</v>
      </c>
      <c r="D21" s="43" t="s">
        <v>337</v>
      </c>
      <c r="E21" s="43" t="s">
        <v>338</v>
      </c>
      <c r="F21" s="45" t="s">
        <v>315</v>
      </c>
      <c r="G21" s="9" t="n">
        <v>11</v>
      </c>
      <c r="H21" s="12" t="n">
        <f aca="false">'Engineering Cost'!H21*'Engineering Assumptions'!$B$6</f>
        <v>252120</v>
      </c>
      <c r="I21" s="12" t="n">
        <f aca="false">IF('Engineering Cost'!I21=0,0,MAX('Engineering Cost'!I21*'Engineering Assumptions'!$B$6,'Engineering Assumptions'!$B$9))</f>
        <v>78000</v>
      </c>
      <c r="J21" s="12" t="n">
        <f aca="false">'Engineering Cost'!J21*'Engineering Assumptions'!$B$6</f>
        <v>33480</v>
      </c>
      <c r="K21" s="12" t="n">
        <f aca="false">'Engineering Cost'!K21*'Engineering Assumptions'!$B$6</f>
        <v>35640</v>
      </c>
      <c r="L21" s="13" t="n">
        <f aca="false">SUM(H21:K21)</f>
        <v>399240</v>
      </c>
      <c r="M21" s="13" t="n">
        <f aca="false">L21*(1+'Engineering Assumptions'!$B$10)</f>
        <v>459126</v>
      </c>
    </row>
    <row r="22" customFormat="false" ht="15" hidden="false" customHeight="true" outlineLevel="0" collapsed="false">
      <c r="A22" s="9" t="n">
        <v>17</v>
      </c>
      <c r="B22" s="43" t="s">
        <v>92</v>
      </c>
      <c r="C22" s="43" t="s">
        <v>2281</v>
      </c>
      <c r="D22" s="43" t="s">
        <v>314</v>
      </c>
      <c r="E22" s="43" t="s">
        <v>316</v>
      </c>
      <c r="F22" s="45" t="s">
        <v>315</v>
      </c>
      <c r="G22" s="9" t="n">
        <v>11</v>
      </c>
      <c r="H22" s="12" t="n">
        <f aca="false">'Engineering Cost'!H22*'Engineering Assumptions'!$B$6</f>
        <v>252120</v>
      </c>
      <c r="I22" s="12" t="n">
        <f aca="false">IF('Engineering Cost'!I22=0,0,MAX('Engineering Cost'!I22*'Engineering Assumptions'!$B$6,'Engineering Assumptions'!$B$9))</f>
        <v>78000</v>
      </c>
      <c r="J22" s="12" t="n">
        <f aca="false">'Engineering Cost'!J22*'Engineering Assumptions'!$B$6</f>
        <v>33480</v>
      </c>
      <c r="K22" s="12" t="n">
        <f aca="false">'Engineering Cost'!K22*'Engineering Assumptions'!$B$6</f>
        <v>35640</v>
      </c>
      <c r="L22" s="13" t="n">
        <f aca="false">SUM(H22:K22)</f>
        <v>399240</v>
      </c>
      <c r="M22" s="13" t="n">
        <f aca="false">L22*(1+'Engineering Assumptions'!$B$10)</f>
        <v>459126</v>
      </c>
    </row>
    <row r="23" customFormat="false" ht="15" hidden="false" customHeight="true" outlineLevel="0" collapsed="false">
      <c r="A23" s="9" t="n">
        <v>18</v>
      </c>
      <c r="B23" s="43" t="s">
        <v>92</v>
      </c>
      <c r="C23" s="43" t="s">
        <v>327</v>
      </c>
      <c r="D23" s="43" t="s">
        <v>341</v>
      </c>
      <c r="E23" s="43" t="s">
        <v>342</v>
      </c>
      <c r="F23" s="45" t="s">
        <v>310</v>
      </c>
      <c r="G23" s="9" t="n">
        <v>14</v>
      </c>
      <c r="H23" s="12" t="n">
        <f aca="false">'Engineering Cost'!H23*'Engineering Assumptions'!$B$6</f>
        <v>252120</v>
      </c>
      <c r="I23" s="12" t="n">
        <f aca="false">IF('Engineering Cost'!I23=0,0,MAX('Engineering Cost'!I23*'Engineering Assumptions'!$B$6,'Engineering Assumptions'!$B$9))</f>
        <v>78000</v>
      </c>
      <c r="J23" s="12" t="n">
        <f aca="false">'Engineering Cost'!J23*'Engineering Assumptions'!$B$6</f>
        <v>33480</v>
      </c>
      <c r="K23" s="12" t="n">
        <f aca="false">'Engineering Cost'!K23*'Engineering Assumptions'!$B$6</f>
        <v>35640</v>
      </c>
      <c r="L23" s="13" t="n">
        <f aca="false">SUM(H23:K23)</f>
        <v>399240</v>
      </c>
      <c r="M23" s="13" t="n">
        <f aca="false">L23*(1+'Engineering Assumptions'!$B$10)</f>
        <v>459126</v>
      </c>
    </row>
    <row r="24" customFormat="false" ht="15" hidden="false" customHeight="true" outlineLevel="0" collapsed="false">
      <c r="A24" s="9" t="n">
        <v>19</v>
      </c>
      <c r="B24" s="43" t="s">
        <v>92</v>
      </c>
      <c r="C24" s="43" t="s">
        <v>327</v>
      </c>
      <c r="D24" s="43" t="s">
        <v>309</v>
      </c>
      <c r="E24" s="43" t="s">
        <v>311</v>
      </c>
      <c r="F24" s="45" t="s">
        <v>310</v>
      </c>
      <c r="G24" s="9" t="n">
        <v>14</v>
      </c>
      <c r="H24" s="12" t="n">
        <f aca="false">'Engineering Cost'!H24*'Engineering Assumptions'!$B$6</f>
        <v>252120</v>
      </c>
      <c r="I24" s="12" t="n">
        <f aca="false">IF('Engineering Cost'!I24=0,0,MAX('Engineering Cost'!I24*'Engineering Assumptions'!$B$6,'Engineering Assumptions'!$B$9))</f>
        <v>78000</v>
      </c>
      <c r="J24" s="12" t="n">
        <f aca="false">'Engineering Cost'!J24*'Engineering Assumptions'!$B$6</f>
        <v>33480</v>
      </c>
      <c r="K24" s="12" t="n">
        <f aca="false">'Engineering Cost'!K24*'Engineering Assumptions'!$B$6</f>
        <v>35640</v>
      </c>
      <c r="L24" s="13" t="n">
        <f aca="false">SUM(H24:K24)</f>
        <v>399240</v>
      </c>
      <c r="M24" s="13" t="n">
        <f aca="false">L24*(1+'Engineering Assumptions'!$B$10)</f>
        <v>459126</v>
      </c>
    </row>
    <row r="25" customFormat="false" ht="15" hidden="false" customHeight="true" outlineLevel="0" collapsed="false">
      <c r="A25" s="9" t="n">
        <v>20</v>
      </c>
      <c r="B25" s="43" t="s">
        <v>92</v>
      </c>
      <c r="C25" s="43" t="s">
        <v>327</v>
      </c>
      <c r="D25" s="43" t="s">
        <v>312</v>
      </c>
      <c r="E25" s="43" t="s">
        <v>313</v>
      </c>
      <c r="F25" s="45" t="s">
        <v>310</v>
      </c>
      <c r="G25" s="9" t="n">
        <v>14</v>
      </c>
      <c r="H25" s="12" t="n">
        <f aca="false">'Engineering Cost'!H25*'Engineering Assumptions'!$B$6</f>
        <v>252120</v>
      </c>
      <c r="I25" s="12" t="n">
        <f aca="false">IF('Engineering Cost'!I25=0,0,MAX('Engineering Cost'!I25*'Engineering Assumptions'!$B$6,'Engineering Assumptions'!$B$9))</f>
        <v>78000</v>
      </c>
      <c r="J25" s="12" t="n">
        <f aca="false">'Engineering Cost'!J25*'Engineering Assumptions'!$B$6</f>
        <v>33480</v>
      </c>
      <c r="K25" s="12" t="n">
        <f aca="false">'Engineering Cost'!K25*'Engineering Assumptions'!$B$6</f>
        <v>35640</v>
      </c>
      <c r="L25" s="13" t="n">
        <f aca="false">SUM(H25:K25)</f>
        <v>399240</v>
      </c>
      <c r="M25" s="13" t="n">
        <f aca="false">L25*(1+'Engineering Assumptions'!$B$10)</f>
        <v>459126</v>
      </c>
    </row>
    <row r="26" customFormat="false" ht="15" hidden="false" customHeight="true" outlineLevel="0" collapsed="false">
      <c r="A26" s="9" t="n">
        <v>21</v>
      </c>
      <c r="B26" s="43" t="s">
        <v>92</v>
      </c>
      <c r="C26" s="43" t="s">
        <v>327</v>
      </c>
      <c r="D26" s="43" t="s">
        <v>2512</v>
      </c>
      <c r="E26" s="43"/>
      <c r="F26" s="45" t="s">
        <v>348</v>
      </c>
      <c r="G26" s="9" t="n">
        <v>20</v>
      </c>
      <c r="H26" s="12" t="n">
        <f aca="false">'Engineering Cost'!H26*'Engineering Assumptions'!$B$6</f>
        <v>252120</v>
      </c>
      <c r="I26" s="12" t="n">
        <f aca="false">IF('Engineering Cost'!I26=0,0,MAX('Engineering Cost'!I26*'Engineering Assumptions'!$B$6,'Engineering Assumptions'!$B$9))</f>
        <v>78000</v>
      </c>
      <c r="J26" s="12" t="n">
        <f aca="false">'Engineering Cost'!J26*'Engineering Assumptions'!$B$6</f>
        <v>42120</v>
      </c>
      <c r="K26" s="12" t="n">
        <f aca="false">'Engineering Cost'!K26*'Engineering Assumptions'!$B$6</f>
        <v>55440</v>
      </c>
      <c r="L26" s="13" t="n">
        <f aca="false">SUM(H26:K26)</f>
        <v>427680</v>
      </c>
      <c r="M26" s="13" t="n">
        <f aca="false">L26*(1+'Engineering Assumptions'!$B$10)</f>
        <v>491832</v>
      </c>
    </row>
    <row r="27" customFormat="false" ht="15" hidden="false" customHeight="true" outlineLevel="0" collapsed="false">
      <c r="A27" s="9" t="n">
        <v>22</v>
      </c>
      <c r="B27" s="43" t="s">
        <v>92</v>
      </c>
      <c r="C27" s="43" t="s">
        <v>2282</v>
      </c>
      <c r="D27" s="43" t="s">
        <v>351</v>
      </c>
      <c r="E27" s="43" t="s">
        <v>354</v>
      </c>
      <c r="F27" s="45" t="s">
        <v>353</v>
      </c>
      <c r="G27" s="9" t="n">
        <v>22</v>
      </c>
      <c r="H27" s="12" t="n">
        <f aca="false">'Engineering Cost'!H27*'Engineering Assumptions'!$B$6</f>
        <v>252120</v>
      </c>
      <c r="I27" s="12" t="n">
        <f aca="false">IF('Engineering Cost'!I27=0,0,MAX('Engineering Cost'!I27*'Engineering Assumptions'!$B$6,'Engineering Assumptions'!$B$9))</f>
        <v>78000</v>
      </c>
      <c r="J27" s="12" t="n">
        <f aca="false">'Engineering Cost'!J27*'Engineering Assumptions'!$B$6</f>
        <v>51840</v>
      </c>
      <c r="K27" s="12" t="n">
        <f aca="false">'Engineering Cost'!K27*'Engineering Assumptions'!$B$6</f>
        <v>79200</v>
      </c>
      <c r="L27" s="13" t="n">
        <f aca="false">SUM(H27:K27)</f>
        <v>461160</v>
      </c>
      <c r="M27" s="13" t="n">
        <f aca="false">L27*(1+'Engineering Assumptions'!$B$10)</f>
        <v>530334</v>
      </c>
    </row>
    <row r="28" customFormat="false" ht="15" hidden="false" customHeight="true" outlineLevel="0" collapsed="false">
      <c r="A28" s="9" t="n">
        <v>23</v>
      </c>
      <c r="B28" s="43" t="s">
        <v>92</v>
      </c>
      <c r="C28" s="43" t="s">
        <v>352</v>
      </c>
      <c r="D28" s="43" t="s">
        <v>356</v>
      </c>
      <c r="E28" s="43" t="s">
        <v>359</v>
      </c>
      <c r="F28" s="45" t="s">
        <v>358</v>
      </c>
      <c r="G28" s="9" t="n">
        <v>24</v>
      </c>
      <c r="H28" s="12" t="n">
        <f aca="false">'Engineering Cost'!H28*'Engineering Assumptions'!$B$6</f>
        <v>252120</v>
      </c>
      <c r="I28" s="12" t="n">
        <f aca="false">IF('Engineering Cost'!I28=0,0,MAX('Engineering Cost'!I28*'Engineering Assumptions'!$B$6,'Engineering Assumptions'!$B$9))</f>
        <v>78000</v>
      </c>
      <c r="J28" s="12" t="n">
        <f aca="false">'Engineering Cost'!J28*'Engineering Assumptions'!$B$6</f>
        <v>51840</v>
      </c>
      <c r="K28" s="12" t="n">
        <f aca="false">'Engineering Cost'!K28*'Engineering Assumptions'!$B$6</f>
        <v>79200</v>
      </c>
      <c r="L28" s="13" t="n">
        <f aca="false">SUM(H28:K28)</f>
        <v>461160</v>
      </c>
      <c r="M28" s="13" t="n">
        <f aca="false">L28*(1+'Engineering Assumptions'!$B$10)</f>
        <v>530334</v>
      </c>
    </row>
    <row r="29" customFormat="false" ht="15" hidden="false" customHeight="true" outlineLevel="0" collapsed="false">
      <c r="A29" s="9" t="n">
        <v>24</v>
      </c>
      <c r="B29" s="43" t="s">
        <v>92</v>
      </c>
      <c r="C29" s="43" t="s">
        <v>2283</v>
      </c>
      <c r="D29" s="43" t="s">
        <v>360</v>
      </c>
      <c r="E29" s="43" t="s">
        <v>363</v>
      </c>
      <c r="F29" s="45" t="s">
        <v>362</v>
      </c>
      <c r="G29" s="9" t="n">
        <v>27</v>
      </c>
      <c r="H29" s="12" t="n">
        <f aca="false">'Engineering Cost'!H29*'Engineering Assumptions'!$B$6</f>
        <v>252120</v>
      </c>
      <c r="I29" s="12" t="n">
        <f aca="false">IF('Engineering Cost'!I29=0,0,MAX('Engineering Cost'!I29*'Engineering Assumptions'!$B$6,'Engineering Assumptions'!$B$9))</f>
        <v>78000</v>
      </c>
      <c r="J29" s="12" t="n">
        <f aca="false">'Engineering Cost'!J29*'Engineering Assumptions'!$B$6</f>
        <v>51840</v>
      </c>
      <c r="K29" s="12" t="n">
        <f aca="false">'Engineering Cost'!K29*'Engineering Assumptions'!$B$6</f>
        <v>79200</v>
      </c>
      <c r="L29" s="13" t="n">
        <f aca="false">SUM(H29:K29)</f>
        <v>461160</v>
      </c>
      <c r="M29" s="13" t="n">
        <f aca="false">L29*(1+'Engineering Assumptions'!$B$10)</f>
        <v>530334</v>
      </c>
    </row>
    <row r="30" customFormat="false" ht="15" hidden="false" customHeight="true" outlineLevel="0" collapsed="false">
      <c r="A30" s="42" t="s">
        <v>365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customFormat="false" ht="15" hidden="false" customHeight="true" outlineLevel="0" collapsed="false">
      <c r="A31" s="9" t="n">
        <v>25</v>
      </c>
      <c r="B31" s="43" t="s">
        <v>95</v>
      </c>
      <c r="C31" s="43" t="s">
        <v>2284</v>
      </c>
      <c r="D31" s="43" t="s">
        <v>367</v>
      </c>
      <c r="E31" s="43"/>
      <c r="F31" s="45" t="s">
        <v>306</v>
      </c>
      <c r="G31" s="9" t="n">
        <v>6</v>
      </c>
      <c r="H31" s="12" t="n">
        <f aca="false">'Engineering Cost'!H31*'Engineering Assumptions'!$B$6</f>
        <v>595920</v>
      </c>
      <c r="I31" s="12" t="n">
        <f aca="false">IF('Engineering Cost'!I31=0,0,MAX('Engineering Cost'!I31*'Engineering Assumptions'!$B$6,'Engineering Assumptions'!$B$9))</f>
        <v>78000</v>
      </c>
      <c r="J31" s="12" t="n">
        <f aca="false">'Engineering Cost'!J31*'Engineering Assumptions'!$B$6</f>
        <v>52500</v>
      </c>
      <c r="K31" s="12" t="n">
        <f aca="false">'Engineering Cost'!K31*'Engineering Assumptions'!$B$6</f>
        <v>43200</v>
      </c>
      <c r="L31" s="13" t="n">
        <f aca="false">SUM(H31:K31)</f>
        <v>769620</v>
      </c>
      <c r="M31" s="13" t="n">
        <f aca="false">L31*(1+'Engineering Assumptions'!$B$10)</f>
        <v>885063</v>
      </c>
    </row>
    <row r="32" customFormat="false" ht="15" hidden="false" customHeight="true" outlineLevel="0" collapsed="false">
      <c r="A32" s="9" t="n">
        <v>26</v>
      </c>
      <c r="B32" s="43" t="s">
        <v>95</v>
      </c>
      <c r="C32" s="43" t="s">
        <v>2285</v>
      </c>
      <c r="D32" s="43" t="s">
        <v>370</v>
      </c>
      <c r="E32" s="43"/>
      <c r="F32" s="45" t="s">
        <v>315</v>
      </c>
      <c r="G32" s="9" t="n">
        <v>11</v>
      </c>
      <c r="H32" s="12" t="n">
        <f aca="false">'Engineering Cost'!H32*'Engineering Assumptions'!$B$6</f>
        <v>595920</v>
      </c>
      <c r="I32" s="12" t="n">
        <f aca="false">IF('Engineering Cost'!I32=0,0,MAX('Engineering Cost'!I32*'Engineering Assumptions'!$B$6,'Engineering Assumptions'!$B$9))</f>
        <v>78000</v>
      </c>
      <c r="J32" s="12" t="n">
        <f aca="false">'Engineering Cost'!J32*'Engineering Assumptions'!$B$6</f>
        <v>65100</v>
      </c>
      <c r="K32" s="12" t="n">
        <f aca="false">'Engineering Cost'!K32*'Engineering Assumptions'!$B$6</f>
        <v>77760</v>
      </c>
      <c r="L32" s="13" t="n">
        <f aca="false">SUM(H32:K32)</f>
        <v>816780</v>
      </c>
      <c r="M32" s="13" t="n">
        <f aca="false">L32*(1+'Engineering Assumptions'!$B$10)</f>
        <v>939297</v>
      </c>
    </row>
    <row r="33" customFormat="false" ht="15" hidden="false" customHeight="true" outlineLevel="0" collapsed="false">
      <c r="A33" s="9" t="n">
        <v>27</v>
      </c>
      <c r="B33" s="43" t="s">
        <v>95</v>
      </c>
      <c r="C33" s="43" t="s">
        <v>2286</v>
      </c>
      <c r="D33" s="43" t="s">
        <v>372</v>
      </c>
      <c r="E33" s="43"/>
      <c r="F33" s="45" t="s">
        <v>374</v>
      </c>
      <c r="G33" s="9" t="n">
        <v>12</v>
      </c>
      <c r="H33" s="12" t="n">
        <f aca="false">'Engineering Cost'!H33*'Engineering Assumptions'!$B$6</f>
        <v>595920</v>
      </c>
      <c r="I33" s="12" t="n">
        <f aca="false">IF('Engineering Cost'!I33=0,0,MAX('Engineering Cost'!I33*'Engineering Assumptions'!$B$6,'Engineering Assumptions'!$B$9))</f>
        <v>78000</v>
      </c>
      <c r="J33" s="12" t="n">
        <f aca="false">'Engineering Cost'!J33*'Engineering Assumptions'!$B$6</f>
        <v>65100</v>
      </c>
      <c r="K33" s="12" t="n">
        <f aca="false">'Engineering Cost'!K33*'Engineering Assumptions'!$B$6</f>
        <v>77760</v>
      </c>
      <c r="L33" s="13" t="n">
        <f aca="false">SUM(H33:K33)</f>
        <v>816780</v>
      </c>
      <c r="M33" s="13" t="n">
        <f aca="false">L33*(1+'Engineering Assumptions'!$B$10)</f>
        <v>939297</v>
      </c>
    </row>
    <row r="34" customFormat="false" ht="15" hidden="false" customHeight="true" outlineLevel="0" collapsed="false">
      <c r="A34" s="9" t="n">
        <v>28</v>
      </c>
      <c r="B34" s="43" t="s">
        <v>95</v>
      </c>
      <c r="C34" s="43" t="s">
        <v>2287</v>
      </c>
      <c r="D34" s="43" t="s">
        <v>376</v>
      </c>
      <c r="E34" s="43"/>
      <c r="F34" s="45" t="s">
        <v>374</v>
      </c>
      <c r="G34" s="9" t="n">
        <v>12</v>
      </c>
      <c r="H34" s="12" t="n">
        <f aca="false">'Engineering Cost'!H34*'Engineering Assumptions'!$B$6</f>
        <v>595920</v>
      </c>
      <c r="I34" s="12" t="n">
        <f aca="false">IF('Engineering Cost'!I34=0,0,MAX('Engineering Cost'!I34*'Engineering Assumptions'!$B$6,'Engineering Assumptions'!$B$9))</f>
        <v>78000</v>
      </c>
      <c r="J34" s="12" t="n">
        <f aca="false">'Engineering Cost'!J34*'Engineering Assumptions'!$B$6</f>
        <v>65100</v>
      </c>
      <c r="K34" s="12" t="n">
        <f aca="false">'Engineering Cost'!K34*'Engineering Assumptions'!$B$6</f>
        <v>77760</v>
      </c>
      <c r="L34" s="13" t="n">
        <f aca="false">SUM(H34:K34)</f>
        <v>816780</v>
      </c>
      <c r="M34" s="13" t="n">
        <f aca="false">L34*(1+'Engineering Assumptions'!$B$10)</f>
        <v>939297</v>
      </c>
    </row>
    <row r="35" customFormat="false" ht="15" hidden="false" customHeight="true" outlineLevel="0" collapsed="false">
      <c r="A35" s="9" t="n">
        <v>29</v>
      </c>
      <c r="B35" s="43" t="s">
        <v>95</v>
      </c>
      <c r="C35" s="43" t="s">
        <v>2288</v>
      </c>
      <c r="D35" s="43" t="s">
        <v>378</v>
      </c>
      <c r="E35" s="43"/>
      <c r="F35" s="45" t="s">
        <v>380</v>
      </c>
      <c r="G35" s="9" t="n">
        <v>13</v>
      </c>
      <c r="H35" s="12" t="n">
        <f aca="false">'Engineering Cost'!H35*'Engineering Assumptions'!$B$6</f>
        <v>595920</v>
      </c>
      <c r="I35" s="12" t="n">
        <f aca="false">IF('Engineering Cost'!I35=0,0,MAX('Engineering Cost'!I35*'Engineering Assumptions'!$B$6,'Engineering Assumptions'!$B$9))</f>
        <v>78000</v>
      </c>
      <c r="J35" s="12" t="n">
        <f aca="false">'Engineering Cost'!J35*'Engineering Assumptions'!$B$6</f>
        <v>65100</v>
      </c>
      <c r="K35" s="12" t="n">
        <f aca="false">'Engineering Cost'!K35*'Engineering Assumptions'!$B$6</f>
        <v>77760</v>
      </c>
      <c r="L35" s="13" t="n">
        <f aca="false">SUM(H35:K35)</f>
        <v>816780</v>
      </c>
      <c r="M35" s="13" t="n">
        <f aca="false">L35*(1+'Engineering Assumptions'!$B$10)</f>
        <v>939297</v>
      </c>
    </row>
    <row r="36" customFormat="false" ht="15" hidden="false" customHeight="true" outlineLevel="0" collapsed="false">
      <c r="A36" s="9" t="n">
        <v>30</v>
      </c>
      <c r="B36" s="43" t="s">
        <v>95</v>
      </c>
      <c r="C36" s="43" t="s">
        <v>2289</v>
      </c>
      <c r="D36" s="43" t="s">
        <v>381</v>
      </c>
      <c r="E36" s="43" t="s">
        <v>383</v>
      </c>
      <c r="F36" s="45" t="s">
        <v>380</v>
      </c>
      <c r="G36" s="9" t="n">
        <v>13</v>
      </c>
      <c r="H36" s="12" t="n">
        <f aca="false">'Engineering Cost'!H36*'Engineering Assumptions'!$B$6</f>
        <v>595920</v>
      </c>
      <c r="I36" s="12" t="n">
        <f aca="false">IF('Engineering Cost'!I36=0,0,MAX('Engineering Cost'!I36*'Engineering Assumptions'!$B$6,'Engineering Assumptions'!$B$9))</f>
        <v>78000</v>
      </c>
      <c r="J36" s="12" t="n">
        <f aca="false">'Engineering Cost'!J36*'Engineering Assumptions'!$B$6</f>
        <v>65100</v>
      </c>
      <c r="K36" s="12" t="n">
        <f aca="false">'Engineering Cost'!K36*'Engineering Assumptions'!$B$6</f>
        <v>77760</v>
      </c>
      <c r="L36" s="13" t="n">
        <f aca="false">SUM(H36:K36)</f>
        <v>816780</v>
      </c>
      <c r="M36" s="13" t="n">
        <f aca="false">L36*(1+'Engineering Assumptions'!$B$10)</f>
        <v>939297</v>
      </c>
    </row>
    <row r="37" customFormat="false" ht="15" hidden="false" customHeight="true" outlineLevel="0" collapsed="false">
      <c r="A37" s="9" t="n">
        <v>31</v>
      </c>
      <c r="B37" s="43" t="s">
        <v>95</v>
      </c>
      <c r="C37" s="43" t="s">
        <v>2290</v>
      </c>
      <c r="D37" s="43" t="s">
        <v>384</v>
      </c>
      <c r="E37" s="43"/>
      <c r="F37" s="45" t="s">
        <v>310</v>
      </c>
      <c r="G37" s="9" t="n">
        <v>14</v>
      </c>
      <c r="H37" s="12" t="n">
        <f aca="false">'Engineering Cost'!H37*'Engineering Assumptions'!$B$6</f>
        <v>595920</v>
      </c>
      <c r="I37" s="12" t="n">
        <f aca="false">IF('Engineering Cost'!I37=0,0,MAX('Engineering Cost'!I37*'Engineering Assumptions'!$B$6,'Engineering Assumptions'!$B$9))</f>
        <v>78000</v>
      </c>
      <c r="J37" s="12" t="n">
        <f aca="false">'Engineering Cost'!J37*'Engineering Assumptions'!$B$6</f>
        <v>65100</v>
      </c>
      <c r="K37" s="12" t="n">
        <f aca="false">'Engineering Cost'!K37*'Engineering Assumptions'!$B$6</f>
        <v>77760</v>
      </c>
      <c r="L37" s="13" t="n">
        <f aca="false">SUM(H37:K37)</f>
        <v>816780</v>
      </c>
      <c r="M37" s="13" t="n">
        <f aca="false">L37*(1+'Engineering Assumptions'!$B$10)</f>
        <v>939297</v>
      </c>
    </row>
    <row r="38" customFormat="false" ht="15" hidden="false" customHeight="true" outlineLevel="0" collapsed="false">
      <c r="A38" s="9" t="n">
        <v>32</v>
      </c>
      <c r="B38" s="43" t="s">
        <v>95</v>
      </c>
      <c r="C38" s="43" t="s">
        <v>2291</v>
      </c>
      <c r="D38" s="43" t="s">
        <v>387</v>
      </c>
      <c r="E38" s="43"/>
      <c r="F38" s="45" t="s">
        <v>389</v>
      </c>
      <c r="G38" s="9" t="n">
        <v>16</v>
      </c>
      <c r="H38" s="12" t="n">
        <f aca="false">'Engineering Cost'!H38*'Engineering Assumptions'!$B$6</f>
        <v>595920</v>
      </c>
      <c r="I38" s="12" t="n">
        <f aca="false">IF('Engineering Cost'!I38=0,0,MAX('Engineering Cost'!I38*'Engineering Assumptions'!$B$6,'Engineering Assumptions'!$B$9))</f>
        <v>78000</v>
      </c>
      <c r="J38" s="12" t="n">
        <f aca="false">'Engineering Cost'!J38*'Engineering Assumptions'!$B$6</f>
        <v>81900</v>
      </c>
      <c r="K38" s="12" t="n">
        <f aca="false">'Engineering Cost'!K38*'Engineering Assumptions'!$B$6</f>
        <v>120960</v>
      </c>
      <c r="L38" s="13" t="n">
        <f aca="false">SUM(H38:K38)</f>
        <v>876780</v>
      </c>
      <c r="M38" s="13" t="n">
        <f aca="false">L38*(1+'Engineering Assumptions'!$B$10)</f>
        <v>1008297</v>
      </c>
    </row>
    <row r="39" customFormat="false" ht="15" hidden="false" customHeight="true" outlineLevel="0" collapsed="false">
      <c r="A39" s="9" t="n">
        <v>33</v>
      </c>
      <c r="B39" s="43" t="s">
        <v>95</v>
      </c>
      <c r="C39" s="43" t="s">
        <v>2292</v>
      </c>
      <c r="D39" s="43" t="s">
        <v>390</v>
      </c>
      <c r="E39" s="43"/>
      <c r="F39" s="45" t="s">
        <v>392</v>
      </c>
      <c r="G39" s="9" t="n">
        <v>17</v>
      </c>
      <c r="H39" s="12" t="n">
        <f aca="false">'Engineering Cost'!H39*'Engineering Assumptions'!$B$6</f>
        <v>595920</v>
      </c>
      <c r="I39" s="12" t="n">
        <f aca="false">IF('Engineering Cost'!I39=0,0,MAX('Engineering Cost'!I39*'Engineering Assumptions'!$B$6,'Engineering Assumptions'!$B$9))</f>
        <v>78000</v>
      </c>
      <c r="J39" s="12" t="n">
        <f aca="false">'Engineering Cost'!J39*'Engineering Assumptions'!$B$6</f>
        <v>81900</v>
      </c>
      <c r="K39" s="12" t="n">
        <f aca="false">'Engineering Cost'!K39*'Engineering Assumptions'!$B$6</f>
        <v>120960</v>
      </c>
      <c r="L39" s="13" t="n">
        <f aca="false">SUM(H39:K39)</f>
        <v>876780</v>
      </c>
      <c r="M39" s="13" t="n">
        <f aca="false">L39*(1+'Engineering Assumptions'!$B$10)</f>
        <v>1008297</v>
      </c>
    </row>
    <row r="40" customFormat="false" ht="15" hidden="false" customHeight="true" outlineLevel="0" collapsed="false">
      <c r="A40" s="42" t="s">
        <v>393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customFormat="false" ht="15" hidden="false" customHeight="true" outlineLevel="0" collapsed="false">
      <c r="A41" s="9" t="n">
        <v>34</v>
      </c>
      <c r="B41" s="43" t="s">
        <v>97</v>
      </c>
      <c r="C41" s="43" t="s">
        <v>2293</v>
      </c>
      <c r="D41" s="43" t="s">
        <v>395</v>
      </c>
      <c r="E41" s="43" t="s">
        <v>398</v>
      </c>
      <c r="F41" s="45" t="s">
        <v>397</v>
      </c>
      <c r="G41" s="9" t="n">
        <v>9</v>
      </c>
      <c r="H41" s="12" t="n">
        <f aca="false">'Engineering Cost'!H41*'Engineering Assumptions'!$B$6</f>
        <v>320880</v>
      </c>
      <c r="I41" s="12" t="n">
        <f aca="false">IF('Engineering Cost'!I41=0,0,MAX('Engineering Cost'!I41*'Engineering Assumptions'!$B$6,'Engineering Assumptions'!$B$9))</f>
        <v>78000</v>
      </c>
      <c r="J41" s="12" t="n">
        <f aca="false">'Engineering Cost'!J41*'Engineering Assumptions'!$B$6</f>
        <v>33000</v>
      </c>
      <c r="K41" s="12" t="n">
        <f aca="false">'Engineering Cost'!K41*'Engineering Assumptions'!$B$6</f>
        <v>25200</v>
      </c>
      <c r="L41" s="13" t="n">
        <f aca="false">SUM(H41:K41)</f>
        <v>457080</v>
      </c>
      <c r="M41" s="13" t="n">
        <f aca="false">L41*(1+'Engineering Assumptions'!$B$10)</f>
        <v>525642</v>
      </c>
    </row>
    <row r="42" customFormat="false" ht="15" hidden="false" customHeight="true" outlineLevel="0" collapsed="false">
      <c r="A42" s="9" t="n">
        <v>35</v>
      </c>
      <c r="B42" s="43" t="s">
        <v>97</v>
      </c>
      <c r="C42" s="43" t="s">
        <v>2294</v>
      </c>
      <c r="D42" s="43" t="s">
        <v>399</v>
      </c>
      <c r="E42" s="43" t="s">
        <v>401</v>
      </c>
      <c r="F42" s="45" t="s">
        <v>397</v>
      </c>
      <c r="G42" s="9" t="n">
        <v>9</v>
      </c>
      <c r="H42" s="12" t="n">
        <f aca="false">'Engineering Cost'!H42*'Engineering Assumptions'!$B$6</f>
        <v>320880</v>
      </c>
      <c r="I42" s="12" t="n">
        <f aca="false">IF('Engineering Cost'!I42=0,0,MAX('Engineering Cost'!I42*'Engineering Assumptions'!$B$6,'Engineering Assumptions'!$B$9))</f>
        <v>78000</v>
      </c>
      <c r="J42" s="12" t="n">
        <f aca="false">'Engineering Cost'!J42*'Engineering Assumptions'!$B$6</f>
        <v>33000</v>
      </c>
      <c r="K42" s="12" t="n">
        <f aca="false">'Engineering Cost'!K42*'Engineering Assumptions'!$B$6</f>
        <v>25200</v>
      </c>
      <c r="L42" s="13" t="n">
        <f aca="false">SUM(H42:K42)</f>
        <v>457080</v>
      </c>
      <c r="M42" s="13" t="n">
        <f aca="false">L42*(1+'Engineering Assumptions'!$B$10)</f>
        <v>525642</v>
      </c>
    </row>
    <row r="43" customFormat="false" ht="15" hidden="false" customHeight="true" outlineLevel="0" collapsed="false">
      <c r="A43" s="9" t="n">
        <v>36</v>
      </c>
      <c r="B43" s="43" t="s">
        <v>97</v>
      </c>
      <c r="C43" s="43" t="s">
        <v>2293</v>
      </c>
      <c r="D43" s="43" t="s">
        <v>414</v>
      </c>
      <c r="E43" s="43" t="s">
        <v>415</v>
      </c>
      <c r="F43" s="45" t="s">
        <v>397</v>
      </c>
      <c r="G43" s="9" t="n">
        <v>9</v>
      </c>
      <c r="H43" s="12" t="n">
        <f aca="false">'Engineering Cost'!H43*'Engineering Assumptions'!$B$6</f>
        <v>320880</v>
      </c>
      <c r="I43" s="12" t="n">
        <f aca="false">IF('Engineering Cost'!I43=0,0,MAX('Engineering Cost'!I43*'Engineering Assumptions'!$B$6,'Engineering Assumptions'!$B$9))</f>
        <v>78000</v>
      </c>
      <c r="J43" s="12" t="n">
        <f aca="false">'Engineering Cost'!J43*'Engineering Assumptions'!$B$6</f>
        <v>33000</v>
      </c>
      <c r="K43" s="12" t="n">
        <f aca="false">'Engineering Cost'!K43*'Engineering Assumptions'!$B$6</f>
        <v>25200</v>
      </c>
      <c r="L43" s="13" t="n">
        <f aca="false">SUM(H43:K43)</f>
        <v>457080</v>
      </c>
      <c r="M43" s="13" t="n">
        <f aca="false">L43*(1+'Engineering Assumptions'!$B$10)</f>
        <v>525642</v>
      </c>
    </row>
    <row r="44" customFormat="false" ht="15" hidden="false" customHeight="true" outlineLevel="0" collapsed="false">
      <c r="A44" s="9" t="n">
        <v>37</v>
      </c>
      <c r="B44" s="43" t="s">
        <v>97</v>
      </c>
      <c r="C44" s="43" t="s">
        <v>2295</v>
      </c>
      <c r="D44" s="43" t="s">
        <v>405</v>
      </c>
      <c r="E44" s="43" t="s">
        <v>407</v>
      </c>
      <c r="F44" s="45" t="s">
        <v>318</v>
      </c>
      <c r="G44" s="9" t="n">
        <v>10</v>
      </c>
      <c r="H44" s="12" t="n">
        <f aca="false">'Engineering Cost'!H44*'Engineering Assumptions'!$B$6</f>
        <v>320880</v>
      </c>
      <c r="I44" s="12" t="n">
        <f aca="false">IF('Engineering Cost'!I44=0,0,MAX('Engineering Cost'!I44*'Engineering Assumptions'!$B$6,'Engineering Assumptions'!$B$9))</f>
        <v>78000</v>
      </c>
      <c r="J44" s="12" t="n">
        <f aca="false">'Engineering Cost'!J44*'Engineering Assumptions'!$B$6</f>
        <v>33000</v>
      </c>
      <c r="K44" s="12" t="n">
        <f aca="false">'Engineering Cost'!K44*'Engineering Assumptions'!$B$6</f>
        <v>25200</v>
      </c>
      <c r="L44" s="13" t="n">
        <f aca="false">SUM(H44:K44)</f>
        <v>457080</v>
      </c>
      <c r="M44" s="13" t="n">
        <f aca="false">L44*(1+'Engineering Assumptions'!$B$10)</f>
        <v>525642</v>
      </c>
    </row>
    <row r="45" customFormat="false" ht="15" hidden="false" customHeight="true" outlineLevel="0" collapsed="false">
      <c r="A45" s="9" t="n">
        <v>38</v>
      </c>
      <c r="B45" s="43" t="s">
        <v>97</v>
      </c>
      <c r="C45" s="43" t="s">
        <v>2295</v>
      </c>
      <c r="D45" s="43" t="s">
        <v>408</v>
      </c>
      <c r="E45" s="43" t="s">
        <v>409</v>
      </c>
      <c r="F45" s="45" t="s">
        <v>318</v>
      </c>
      <c r="G45" s="9" t="n">
        <v>10</v>
      </c>
      <c r="H45" s="12" t="n">
        <f aca="false">'Engineering Cost'!H45*'Engineering Assumptions'!$B$6</f>
        <v>320880</v>
      </c>
      <c r="I45" s="12" t="n">
        <f aca="false">IF('Engineering Cost'!I45=0,0,MAX('Engineering Cost'!I45*'Engineering Assumptions'!$B$6,'Engineering Assumptions'!$B$9))</f>
        <v>78000</v>
      </c>
      <c r="J45" s="12" t="n">
        <f aca="false">'Engineering Cost'!J45*'Engineering Assumptions'!$B$6</f>
        <v>33000</v>
      </c>
      <c r="K45" s="12" t="n">
        <f aca="false">'Engineering Cost'!K45*'Engineering Assumptions'!$B$6</f>
        <v>25200</v>
      </c>
      <c r="L45" s="13" t="n">
        <f aca="false">SUM(H45:K45)</f>
        <v>457080</v>
      </c>
      <c r="M45" s="13" t="n">
        <f aca="false">L45*(1+'Engineering Assumptions'!$B$10)</f>
        <v>525642</v>
      </c>
    </row>
    <row r="46" customFormat="false" ht="15" hidden="false" customHeight="true" outlineLevel="0" collapsed="false">
      <c r="A46" s="9" t="n">
        <v>39</v>
      </c>
      <c r="B46" s="43" t="s">
        <v>97</v>
      </c>
      <c r="C46" s="43" t="s">
        <v>2294</v>
      </c>
      <c r="D46" s="43" t="s">
        <v>410</v>
      </c>
      <c r="E46" s="43" t="s">
        <v>411</v>
      </c>
      <c r="F46" s="45" t="s">
        <v>318</v>
      </c>
      <c r="G46" s="9" t="n">
        <v>10</v>
      </c>
      <c r="H46" s="12" t="n">
        <f aca="false">'Engineering Cost'!H46*'Engineering Assumptions'!$B$6</f>
        <v>320880</v>
      </c>
      <c r="I46" s="12" t="n">
        <f aca="false">IF('Engineering Cost'!I46=0,0,MAX('Engineering Cost'!I46*'Engineering Assumptions'!$B$6,'Engineering Assumptions'!$B$9))</f>
        <v>78000</v>
      </c>
      <c r="J46" s="12" t="n">
        <f aca="false">'Engineering Cost'!J46*'Engineering Assumptions'!$B$6</f>
        <v>33000</v>
      </c>
      <c r="K46" s="12" t="n">
        <f aca="false">'Engineering Cost'!K46*'Engineering Assumptions'!$B$6</f>
        <v>25200</v>
      </c>
      <c r="L46" s="13" t="n">
        <f aca="false">SUM(H46:K46)</f>
        <v>457080</v>
      </c>
      <c r="M46" s="13" t="n">
        <f aca="false">L46*(1+'Engineering Assumptions'!$B$10)</f>
        <v>525642</v>
      </c>
    </row>
    <row r="47" customFormat="false" ht="15" hidden="false" customHeight="true" outlineLevel="0" collapsed="false">
      <c r="A47" s="9" t="n">
        <v>40</v>
      </c>
      <c r="B47" s="43" t="s">
        <v>97</v>
      </c>
      <c r="C47" s="43" t="s">
        <v>2294</v>
      </c>
      <c r="D47" s="43" t="s">
        <v>402</v>
      </c>
      <c r="E47" s="43" t="s">
        <v>403</v>
      </c>
      <c r="F47" s="45" t="s">
        <v>318</v>
      </c>
      <c r="G47" s="9" t="n">
        <v>10</v>
      </c>
      <c r="H47" s="12" t="n">
        <f aca="false">'Engineering Cost'!H47*'Engineering Assumptions'!$B$6</f>
        <v>320880</v>
      </c>
      <c r="I47" s="12" t="n">
        <f aca="false">IF('Engineering Cost'!I47=0,0,MAX('Engineering Cost'!I47*'Engineering Assumptions'!$B$6,'Engineering Assumptions'!$B$9))</f>
        <v>78000</v>
      </c>
      <c r="J47" s="12" t="n">
        <f aca="false">'Engineering Cost'!J47*'Engineering Assumptions'!$B$6</f>
        <v>33000</v>
      </c>
      <c r="K47" s="12" t="n">
        <f aca="false">'Engineering Cost'!K47*'Engineering Assumptions'!$B$6</f>
        <v>25200</v>
      </c>
      <c r="L47" s="13" t="n">
        <f aca="false">SUM(H47:K47)</f>
        <v>457080</v>
      </c>
      <c r="M47" s="13" t="n">
        <f aca="false">L47*(1+'Engineering Assumptions'!$B$10)</f>
        <v>525642</v>
      </c>
    </row>
    <row r="48" customFormat="false" ht="15" hidden="false" customHeight="true" outlineLevel="0" collapsed="false">
      <c r="A48" s="9" t="n">
        <v>41</v>
      </c>
      <c r="B48" s="43" t="s">
        <v>97</v>
      </c>
      <c r="C48" s="43" t="s">
        <v>2294</v>
      </c>
      <c r="D48" s="43" t="s">
        <v>412</v>
      </c>
      <c r="E48" s="43" t="s">
        <v>413</v>
      </c>
      <c r="F48" s="45" t="s">
        <v>318</v>
      </c>
      <c r="G48" s="9" t="n">
        <v>10</v>
      </c>
      <c r="H48" s="12" t="n">
        <f aca="false">'Engineering Cost'!H48*'Engineering Assumptions'!$B$6</f>
        <v>320880</v>
      </c>
      <c r="I48" s="12" t="n">
        <f aca="false">IF('Engineering Cost'!I48=0,0,MAX('Engineering Cost'!I48*'Engineering Assumptions'!$B$6,'Engineering Assumptions'!$B$9))</f>
        <v>78000</v>
      </c>
      <c r="J48" s="12" t="n">
        <f aca="false">'Engineering Cost'!J48*'Engineering Assumptions'!$B$6</f>
        <v>33000</v>
      </c>
      <c r="K48" s="12" t="n">
        <f aca="false">'Engineering Cost'!K48*'Engineering Assumptions'!$B$6</f>
        <v>25200</v>
      </c>
      <c r="L48" s="13" t="n">
        <f aca="false">SUM(H48:K48)</f>
        <v>457080</v>
      </c>
      <c r="M48" s="13" t="n">
        <f aca="false">L48*(1+'Engineering Assumptions'!$B$10)</f>
        <v>525642</v>
      </c>
    </row>
    <row r="49" customFormat="false" ht="27.75" hidden="false" customHeight="true" outlineLevel="0" collapsed="false">
      <c r="A49" s="9" t="n">
        <v>42</v>
      </c>
      <c r="B49" s="43" t="s">
        <v>97</v>
      </c>
      <c r="C49" s="43" t="s">
        <v>2296</v>
      </c>
      <c r="D49" s="43" t="s">
        <v>417</v>
      </c>
      <c r="E49" s="43" t="s">
        <v>419</v>
      </c>
      <c r="F49" s="45" t="s">
        <v>315</v>
      </c>
      <c r="G49" s="9" t="n">
        <v>11</v>
      </c>
      <c r="H49" s="12" t="n">
        <f aca="false">'Engineering Cost'!H49*'Engineering Assumptions'!$B$6</f>
        <v>320880</v>
      </c>
      <c r="I49" s="12" t="n">
        <f aca="false">IF('Engineering Cost'!I49=0,0,MAX('Engineering Cost'!I49*'Engineering Assumptions'!$B$6,'Engineering Assumptions'!$B$9))</f>
        <v>78000</v>
      </c>
      <c r="J49" s="12" t="n">
        <f aca="false">'Engineering Cost'!J49*'Engineering Assumptions'!$B$6</f>
        <v>40920</v>
      </c>
      <c r="K49" s="12" t="n">
        <f aca="false">'Engineering Cost'!K49*'Engineering Assumptions'!$B$6</f>
        <v>45360</v>
      </c>
      <c r="L49" s="13" t="n">
        <f aca="false">SUM(H49:K49)</f>
        <v>485160</v>
      </c>
      <c r="M49" s="13" t="n">
        <f aca="false">L49*(1+'Engineering Assumptions'!$B$10)</f>
        <v>557934</v>
      </c>
    </row>
    <row r="50" customFormat="false" ht="15" hidden="false" customHeight="true" outlineLevel="0" collapsed="false">
      <c r="A50" s="9" t="n">
        <v>43</v>
      </c>
      <c r="B50" s="43" t="s">
        <v>97</v>
      </c>
      <c r="C50" s="43" t="s">
        <v>2297</v>
      </c>
      <c r="D50" s="43" t="s">
        <v>421</v>
      </c>
      <c r="E50" s="43" t="s">
        <v>424</v>
      </c>
      <c r="F50" s="45" t="s">
        <v>423</v>
      </c>
      <c r="G50" s="9" t="n">
        <v>23</v>
      </c>
      <c r="H50" s="12" t="n">
        <f aca="false">'Engineering Cost'!H50*'Engineering Assumptions'!$B$6</f>
        <v>320880</v>
      </c>
      <c r="I50" s="12" t="n">
        <f aca="false">IF('Engineering Cost'!I50=0,0,MAX('Engineering Cost'!I50*'Engineering Assumptions'!$B$6,'Engineering Assumptions'!$B$9))</f>
        <v>78000</v>
      </c>
      <c r="J50" s="12" t="n">
        <f aca="false">'Engineering Cost'!J50*'Engineering Assumptions'!$B$6</f>
        <v>63360</v>
      </c>
      <c r="K50" s="12" t="n">
        <f aca="false">'Engineering Cost'!K50*'Engineering Assumptions'!$B$6</f>
        <v>100800</v>
      </c>
      <c r="L50" s="13" t="n">
        <f aca="false">SUM(H50:K50)</f>
        <v>563040</v>
      </c>
      <c r="M50" s="13" t="n">
        <f aca="false">L50*(1+'Engineering Assumptions'!$B$10)</f>
        <v>647496</v>
      </c>
    </row>
    <row r="51" customFormat="false" ht="15" hidden="false" customHeight="true" outlineLevel="0" collapsed="false">
      <c r="A51" s="9" t="n">
        <v>44</v>
      </c>
      <c r="B51" s="43" t="s">
        <v>97</v>
      </c>
      <c r="C51" s="43" t="s">
        <v>2298</v>
      </c>
      <c r="D51" s="43" t="s">
        <v>426</v>
      </c>
      <c r="E51" s="43" t="s">
        <v>429</v>
      </c>
      <c r="F51" s="45" t="s">
        <v>428</v>
      </c>
      <c r="G51" s="9" t="n">
        <v>26</v>
      </c>
      <c r="H51" s="12" t="n">
        <f aca="false">'Engineering Cost'!H51*'Engineering Assumptions'!$B$6</f>
        <v>320880</v>
      </c>
      <c r="I51" s="12" t="n">
        <f aca="false">IF('Engineering Cost'!I51=0,0,MAX('Engineering Cost'!I51*'Engineering Assumptions'!$B$6,'Engineering Assumptions'!$B$9))</f>
        <v>78000</v>
      </c>
      <c r="J51" s="12" t="n">
        <f aca="false">'Engineering Cost'!J51*'Engineering Assumptions'!$B$6</f>
        <v>63360</v>
      </c>
      <c r="K51" s="12" t="n">
        <f aca="false">'Engineering Cost'!K51*'Engineering Assumptions'!$B$6</f>
        <v>100800</v>
      </c>
      <c r="L51" s="13" t="n">
        <f aca="false">SUM(H51:K51)</f>
        <v>563040</v>
      </c>
      <c r="M51" s="13" t="n">
        <f aca="false">L51*(1+'Engineering Assumptions'!$B$10)</f>
        <v>647496</v>
      </c>
    </row>
    <row r="52" customFormat="false" ht="15" hidden="false" customHeight="true" outlineLevel="0" collapsed="false">
      <c r="A52" s="9" t="n">
        <v>45</v>
      </c>
      <c r="B52" s="43" t="s">
        <v>97</v>
      </c>
      <c r="C52" s="43" t="s">
        <v>2299</v>
      </c>
      <c r="D52" s="43" t="s">
        <v>430</v>
      </c>
      <c r="E52" s="43" t="s">
        <v>433</v>
      </c>
      <c r="F52" s="45" t="s">
        <v>432</v>
      </c>
      <c r="G52" s="9" t="n">
        <v>30</v>
      </c>
      <c r="H52" s="12" t="n">
        <f aca="false">'Engineering Cost'!H52*'Engineering Assumptions'!$B$6</f>
        <v>320880</v>
      </c>
      <c r="I52" s="12" t="n">
        <f aca="false">IF('Engineering Cost'!I52=0,0,MAX('Engineering Cost'!I52*'Engineering Assumptions'!$B$6,'Engineering Assumptions'!$B$9))</f>
        <v>78000</v>
      </c>
      <c r="J52" s="12" t="n">
        <f aca="false">'Engineering Cost'!J52*'Engineering Assumptions'!$B$6</f>
        <v>63360</v>
      </c>
      <c r="K52" s="12" t="n">
        <f aca="false">'Engineering Cost'!K52*'Engineering Assumptions'!$B$6</f>
        <v>100800</v>
      </c>
      <c r="L52" s="13" t="n">
        <f aca="false">SUM(H52:K52)</f>
        <v>563040</v>
      </c>
      <c r="M52" s="13" t="n">
        <f aca="false">L52*(1+'Engineering Assumptions'!$B$10)</f>
        <v>647496</v>
      </c>
    </row>
    <row r="53" customFormat="false" ht="15" hidden="false" customHeight="true" outlineLevel="0" collapsed="false">
      <c r="A53" s="9" t="n">
        <v>46</v>
      </c>
      <c r="B53" s="43" t="s">
        <v>97</v>
      </c>
      <c r="C53" s="43" t="s">
        <v>2299</v>
      </c>
      <c r="D53" s="43" t="s">
        <v>434</v>
      </c>
      <c r="E53" s="43" t="s">
        <v>435</v>
      </c>
      <c r="F53" s="45" t="s">
        <v>432</v>
      </c>
      <c r="G53" s="9" t="n">
        <v>30</v>
      </c>
      <c r="H53" s="12" t="n">
        <f aca="false">'Engineering Cost'!H53*'Engineering Assumptions'!$B$6</f>
        <v>320880</v>
      </c>
      <c r="I53" s="12" t="n">
        <f aca="false">IF('Engineering Cost'!I53=0,0,MAX('Engineering Cost'!I53*'Engineering Assumptions'!$B$6,'Engineering Assumptions'!$B$9))</f>
        <v>78000</v>
      </c>
      <c r="J53" s="12" t="n">
        <f aca="false">'Engineering Cost'!J53*'Engineering Assumptions'!$B$6</f>
        <v>63360</v>
      </c>
      <c r="K53" s="12" t="n">
        <f aca="false">'Engineering Cost'!K53*'Engineering Assumptions'!$B$6</f>
        <v>100800</v>
      </c>
      <c r="L53" s="13" t="n">
        <f aca="false">SUM(H53:K53)</f>
        <v>563040</v>
      </c>
      <c r="M53" s="13" t="n">
        <f aca="false">L53*(1+'Engineering Assumptions'!$B$10)</f>
        <v>647496</v>
      </c>
    </row>
    <row r="54" customFormat="false" ht="15" hidden="false" customHeight="true" outlineLevel="0" collapsed="false">
      <c r="A54" s="9" t="n">
        <v>47</v>
      </c>
      <c r="B54" s="43" t="s">
        <v>97</v>
      </c>
      <c r="C54" s="43" t="s">
        <v>2300</v>
      </c>
      <c r="D54" s="43" t="s">
        <v>436</v>
      </c>
      <c r="E54" s="43" t="s">
        <v>438</v>
      </c>
      <c r="F54" s="45" t="s">
        <v>432</v>
      </c>
      <c r="G54" s="9" t="n">
        <v>30</v>
      </c>
      <c r="H54" s="12" t="n">
        <f aca="false">'Engineering Cost'!H54*'Engineering Assumptions'!$B$6</f>
        <v>320880</v>
      </c>
      <c r="I54" s="12" t="n">
        <f aca="false">IF('Engineering Cost'!I54=0,0,MAX('Engineering Cost'!I54*'Engineering Assumptions'!$B$6,'Engineering Assumptions'!$B$9))</f>
        <v>78000</v>
      </c>
      <c r="J54" s="12" t="n">
        <f aca="false">'Engineering Cost'!J54*'Engineering Assumptions'!$B$6</f>
        <v>63360</v>
      </c>
      <c r="K54" s="12" t="n">
        <f aca="false">'Engineering Cost'!K54*'Engineering Assumptions'!$B$6</f>
        <v>100800</v>
      </c>
      <c r="L54" s="13" t="n">
        <f aca="false">SUM(H54:K54)</f>
        <v>563040</v>
      </c>
      <c r="M54" s="13" t="n">
        <f aca="false">L54*(1+'Engineering Assumptions'!$B$10)</f>
        <v>647496</v>
      </c>
    </row>
    <row r="55" customFormat="false" ht="15" hidden="false" customHeight="true" outlineLevel="0" collapsed="false">
      <c r="A55" s="9" t="n">
        <v>48</v>
      </c>
      <c r="B55" s="43" t="s">
        <v>97</v>
      </c>
      <c r="C55" s="43" t="s">
        <v>2301</v>
      </c>
      <c r="D55" s="43" t="s">
        <v>439</v>
      </c>
      <c r="E55" s="43" t="s">
        <v>441</v>
      </c>
      <c r="F55" s="45" t="s">
        <v>432</v>
      </c>
      <c r="G55" s="9" t="n">
        <v>30</v>
      </c>
      <c r="H55" s="12" t="n">
        <f aca="false">'Engineering Cost'!H55*'Engineering Assumptions'!$B$6</f>
        <v>320880</v>
      </c>
      <c r="I55" s="12" t="n">
        <f aca="false">IF('Engineering Cost'!I55=0,0,MAX('Engineering Cost'!I55*'Engineering Assumptions'!$B$6,'Engineering Assumptions'!$B$9))</f>
        <v>78000</v>
      </c>
      <c r="J55" s="12" t="n">
        <f aca="false">'Engineering Cost'!J55*'Engineering Assumptions'!$B$6</f>
        <v>63360</v>
      </c>
      <c r="K55" s="12" t="n">
        <f aca="false">'Engineering Cost'!K55*'Engineering Assumptions'!$B$6</f>
        <v>100800</v>
      </c>
      <c r="L55" s="13" t="n">
        <f aca="false">SUM(H55:K55)</f>
        <v>563040</v>
      </c>
      <c r="M55" s="13" t="n">
        <f aca="false">L55*(1+'Engineering Assumptions'!$B$10)</f>
        <v>647496</v>
      </c>
    </row>
    <row r="56" customFormat="false" ht="15" hidden="false" customHeight="true" outlineLevel="0" collapsed="false">
      <c r="A56" s="9" t="n">
        <v>49</v>
      </c>
      <c r="B56" s="43" t="s">
        <v>97</v>
      </c>
      <c r="C56" s="43" t="s">
        <v>2302</v>
      </c>
      <c r="D56" s="43" t="s">
        <v>442</v>
      </c>
      <c r="E56" s="43" t="s">
        <v>445</v>
      </c>
      <c r="F56" s="45" t="s">
        <v>444</v>
      </c>
      <c r="G56" s="9" t="n">
        <v>35</v>
      </c>
      <c r="H56" s="12" t="n">
        <f aca="false">'Engineering Cost'!H56*'Engineering Assumptions'!$B$6</f>
        <v>320880</v>
      </c>
      <c r="I56" s="12" t="n">
        <f aca="false">IF('Engineering Cost'!I56=0,0,MAX('Engineering Cost'!I56*'Engineering Assumptions'!$B$6,'Engineering Assumptions'!$B$9))</f>
        <v>78000</v>
      </c>
      <c r="J56" s="12" t="n">
        <f aca="false">'Engineering Cost'!J56*'Engineering Assumptions'!$B$6</f>
        <v>63360</v>
      </c>
      <c r="K56" s="12" t="n">
        <f aca="false">'Engineering Cost'!K56*'Engineering Assumptions'!$B$6</f>
        <v>100800</v>
      </c>
      <c r="L56" s="13" t="n">
        <f aca="false">SUM(H56:K56)</f>
        <v>563040</v>
      </c>
      <c r="M56" s="13" t="n">
        <f aca="false">L56*(1+'Engineering Assumptions'!$B$10)</f>
        <v>647496</v>
      </c>
    </row>
    <row r="57" customFormat="false" ht="15" hidden="false" customHeight="true" outlineLevel="0" collapsed="false">
      <c r="A57" s="42" t="s">
        <v>446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customFormat="false" ht="15" hidden="false" customHeight="true" outlineLevel="0" collapsed="false">
      <c r="A58" s="9" t="n">
        <v>50</v>
      </c>
      <c r="B58" s="43" t="s">
        <v>99</v>
      </c>
      <c r="C58" s="43" t="s">
        <v>2303</v>
      </c>
      <c r="D58" s="43" t="s">
        <v>448</v>
      </c>
      <c r="E58" s="43" t="s">
        <v>451</v>
      </c>
      <c r="F58" s="45" t="s">
        <v>450</v>
      </c>
      <c r="G58" s="9" t="n">
        <v>8</v>
      </c>
      <c r="H58" s="12" t="n">
        <f aca="false">'Engineering Cost'!H58*'Engineering Assumptions'!$B$6</f>
        <v>366720</v>
      </c>
      <c r="I58" s="12" t="n">
        <f aca="false">IF('Engineering Cost'!I58=0,0,MAX('Engineering Cost'!I58*'Engineering Assumptions'!$B$6,'Engineering Assumptions'!$B$9))</f>
        <v>78000</v>
      </c>
      <c r="J58" s="12" t="n">
        <f aca="false">'Engineering Cost'!J58*'Engineering Assumptions'!$B$6</f>
        <v>39000</v>
      </c>
      <c r="K58" s="12" t="n">
        <f aca="false">'Engineering Cost'!K58*'Engineering Assumptions'!$B$6</f>
        <v>28800</v>
      </c>
      <c r="L58" s="13" t="n">
        <f aca="false">SUM(H58:K58)</f>
        <v>512520</v>
      </c>
      <c r="M58" s="13" t="n">
        <f aca="false">L58*(1+'Engineering Assumptions'!$B$10)</f>
        <v>589398</v>
      </c>
    </row>
    <row r="59" customFormat="false" ht="15" hidden="false" customHeight="true" outlineLevel="0" collapsed="false">
      <c r="A59" s="9" t="n">
        <v>51</v>
      </c>
      <c r="B59" s="43" t="s">
        <v>99</v>
      </c>
      <c r="C59" s="43" t="s">
        <v>2304</v>
      </c>
      <c r="D59" s="43" t="s">
        <v>452</v>
      </c>
      <c r="E59" s="43" t="s">
        <v>451</v>
      </c>
      <c r="F59" s="45" t="s">
        <v>397</v>
      </c>
      <c r="G59" s="9" t="n">
        <v>9</v>
      </c>
      <c r="H59" s="12" t="n">
        <f aca="false">'Engineering Cost'!H59*'Engineering Assumptions'!$B$6</f>
        <v>366720</v>
      </c>
      <c r="I59" s="12" t="n">
        <f aca="false">IF('Engineering Cost'!I59=0,0,MAX('Engineering Cost'!I59*'Engineering Assumptions'!$B$6,'Engineering Assumptions'!$B$9))</f>
        <v>78000</v>
      </c>
      <c r="J59" s="12" t="n">
        <f aca="false">'Engineering Cost'!J59*'Engineering Assumptions'!$B$6</f>
        <v>39000</v>
      </c>
      <c r="K59" s="12" t="n">
        <f aca="false">'Engineering Cost'!K59*'Engineering Assumptions'!$B$6</f>
        <v>28800</v>
      </c>
      <c r="L59" s="13" t="n">
        <f aca="false">SUM(H59:K59)</f>
        <v>512520</v>
      </c>
      <c r="M59" s="13" t="n">
        <f aca="false">L59*(1+'Engineering Assumptions'!$B$10)</f>
        <v>589398</v>
      </c>
    </row>
    <row r="60" customFormat="false" ht="15" hidden="false" customHeight="true" outlineLevel="0" collapsed="false">
      <c r="A60" s="9" t="n">
        <v>52</v>
      </c>
      <c r="B60" s="43" t="s">
        <v>99</v>
      </c>
      <c r="C60" s="43" t="s">
        <v>2305</v>
      </c>
      <c r="D60" s="43" t="s">
        <v>454</v>
      </c>
      <c r="E60" s="43" t="s">
        <v>451</v>
      </c>
      <c r="F60" s="45" t="s">
        <v>397</v>
      </c>
      <c r="G60" s="9" t="n">
        <v>9</v>
      </c>
      <c r="H60" s="12" t="n">
        <f aca="false">'Engineering Cost'!H60*'Engineering Assumptions'!$B$6</f>
        <v>366720</v>
      </c>
      <c r="I60" s="12" t="n">
        <f aca="false">IF('Engineering Cost'!I60=0,0,MAX('Engineering Cost'!I60*'Engineering Assumptions'!$B$6,'Engineering Assumptions'!$B$9))</f>
        <v>78000</v>
      </c>
      <c r="J60" s="12" t="n">
        <f aca="false">'Engineering Cost'!J60*'Engineering Assumptions'!$B$6</f>
        <v>39000</v>
      </c>
      <c r="K60" s="12" t="n">
        <f aca="false">'Engineering Cost'!K60*'Engineering Assumptions'!$B$6</f>
        <v>28800</v>
      </c>
      <c r="L60" s="13" t="n">
        <f aca="false">SUM(H60:K60)</f>
        <v>512520</v>
      </c>
      <c r="M60" s="13" t="n">
        <f aca="false">L60*(1+'Engineering Assumptions'!$B$10)</f>
        <v>589398</v>
      </c>
    </row>
    <row r="61" customFormat="false" ht="15" hidden="false" customHeight="true" outlineLevel="0" collapsed="false">
      <c r="A61" s="42" t="s">
        <v>456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customFormat="false" ht="15" hidden="false" customHeight="true" outlineLevel="0" collapsed="false">
      <c r="A62" s="9" t="n">
        <v>53</v>
      </c>
      <c r="B62" s="43" t="s">
        <v>101</v>
      </c>
      <c r="C62" s="43" t="s">
        <v>2306</v>
      </c>
      <c r="D62" s="43" t="s">
        <v>458</v>
      </c>
      <c r="E62" s="43"/>
      <c r="F62" s="45" t="s">
        <v>297</v>
      </c>
      <c r="G62" s="9" t="n">
        <v>5</v>
      </c>
      <c r="H62" s="12" t="n">
        <f aca="false">'Engineering Cost'!H62*'Engineering Assumptions'!$B$6</f>
        <v>366720</v>
      </c>
      <c r="I62" s="12" t="n">
        <f aca="false">IF('Engineering Cost'!I62=0,0,MAX('Engineering Cost'!I62*'Engineering Assumptions'!$B$6,'Engineering Assumptions'!$B$9))</f>
        <v>78000</v>
      </c>
      <c r="J62" s="12" t="n">
        <f aca="false">'Engineering Cost'!J62*'Engineering Assumptions'!$B$6</f>
        <v>27600</v>
      </c>
      <c r="K62" s="12" t="n">
        <f aca="false">'Engineering Cost'!K62*'Engineering Assumptions'!$B$6</f>
        <v>11160</v>
      </c>
      <c r="L62" s="13" t="n">
        <f aca="false">SUM(H62:K62)</f>
        <v>483480</v>
      </c>
      <c r="M62" s="13" t="n">
        <f aca="false">L62*(1+'Engineering Assumptions'!$B$10)</f>
        <v>556002</v>
      </c>
    </row>
    <row r="63" customFormat="false" ht="15" hidden="false" customHeight="true" outlineLevel="0" collapsed="false">
      <c r="A63" s="9" t="n">
        <v>54</v>
      </c>
      <c r="B63" s="43" t="s">
        <v>101</v>
      </c>
      <c r="C63" s="43" t="s">
        <v>2307</v>
      </c>
      <c r="D63" s="43" t="s">
        <v>460</v>
      </c>
      <c r="E63" s="43"/>
      <c r="F63" s="45" t="s">
        <v>297</v>
      </c>
      <c r="G63" s="9" t="n">
        <v>5</v>
      </c>
      <c r="H63" s="12" t="n">
        <f aca="false">'Engineering Cost'!H63*'Engineering Assumptions'!$B$6</f>
        <v>366720</v>
      </c>
      <c r="I63" s="12" t="n">
        <f aca="false">IF('Engineering Cost'!I63=0,0,MAX('Engineering Cost'!I63*'Engineering Assumptions'!$B$6,'Engineering Assumptions'!$B$9))</f>
        <v>78000</v>
      </c>
      <c r="J63" s="12" t="n">
        <f aca="false">'Engineering Cost'!J63*'Engineering Assumptions'!$B$6</f>
        <v>27600</v>
      </c>
      <c r="K63" s="12" t="n">
        <f aca="false">'Engineering Cost'!K63*'Engineering Assumptions'!$B$6</f>
        <v>11160</v>
      </c>
      <c r="L63" s="13" t="n">
        <f aca="false">SUM(H63:K63)</f>
        <v>483480</v>
      </c>
      <c r="M63" s="13" t="n">
        <f aca="false">L63*(1+'Engineering Assumptions'!$B$10)</f>
        <v>556002</v>
      </c>
    </row>
    <row r="64" customFormat="false" ht="15" hidden="false" customHeight="true" outlineLevel="0" collapsed="false">
      <c r="A64" s="9" t="n">
        <v>55</v>
      </c>
      <c r="B64" s="43" t="s">
        <v>101</v>
      </c>
      <c r="C64" s="43" t="s">
        <v>2307</v>
      </c>
      <c r="D64" s="43" t="s">
        <v>462</v>
      </c>
      <c r="E64" s="43"/>
      <c r="F64" s="45" t="s">
        <v>297</v>
      </c>
      <c r="G64" s="9" t="n">
        <v>5</v>
      </c>
      <c r="H64" s="12" t="n">
        <f aca="false">'Engineering Cost'!H64*'Engineering Assumptions'!$B$6</f>
        <v>366720</v>
      </c>
      <c r="I64" s="12" t="n">
        <f aca="false">IF('Engineering Cost'!I64=0,0,MAX('Engineering Cost'!I64*'Engineering Assumptions'!$B$6,'Engineering Assumptions'!$B$9))</f>
        <v>78000</v>
      </c>
      <c r="J64" s="12" t="n">
        <f aca="false">'Engineering Cost'!J64*'Engineering Assumptions'!$B$6</f>
        <v>27600</v>
      </c>
      <c r="K64" s="12" t="n">
        <f aca="false">'Engineering Cost'!K64*'Engineering Assumptions'!$B$6</f>
        <v>11160</v>
      </c>
      <c r="L64" s="13" t="n">
        <f aca="false">SUM(H64:K64)</f>
        <v>483480</v>
      </c>
      <c r="M64" s="13" t="n">
        <f aca="false">L64*(1+'Engineering Assumptions'!$B$10)</f>
        <v>556002</v>
      </c>
    </row>
    <row r="65" customFormat="false" ht="15" hidden="false" customHeight="true" outlineLevel="0" collapsed="false">
      <c r="A65" s="9" t="n">
        <v>56</v>
      </c>
      <c r="B65" s="43" t="s">
        <v>101</v>
      </c>
      <c r="C65" s="43" t="s">
        <v>2308</v>
      </c>
      <c r="D65" s="43" t="s">
        <v>464</v>
      </c>
      <c r="E65" s="43"/>
      <c r="F65" s="45" t="s">
        <v>397</v>
      </c>
      <c r="G65" s="9" t="n">
        <v>9</v>
      </c>
      <c r="H65" s="12" t="n">
        <f aca="false">'Engineering Cost'!H65*'Engineering Assumptions'!$B$6</f>
        <v>366720</v>
      </c>
      <c r="I65" s="12" t="n">
        <f aca="false">IF('Engineering Cost'!I65=0,0,MAX('Engineering Cost'!I65*'Engineering Assumptions'!$B$6,'Engineering Assumptions'!$B$9))</f>
        <v>78000</v>
      </c>
      <c r="J65" s="12" t="n">
        <f aca="false">'Engineering Cost'!J65*'Engineering Assumptions'!$B$6</f>
        <v>34500</v>
      </c>
      <c r="K65" s="12" t="n">
        <f aca="false">'Engineering Cost'!K65*'Engineering Assumptions'!$B$6</f>
        <v>27900</v>
      </c>
      <c r="L65" s="13" t="n">
        <f aca="false">SUM(H65:K65)</f>
        <v>507120</v>
      </c>
      <c r="M65" s="13" t="n">
        <f aca="false">L65*(1+'Engineering Assumptions'!$B$10)</f>
        <v>583188</v>
      </c>
    </row>
    <row r="66" customFormat="false" ht="15" hidden="false" customHeight="true" outlineLevel="0" collapsed="false">
      <c r="A66" s="9" t="n">
        <v>57</v>
      </c>
      <c r="B66" s="43" t="s">
        <v>101</v>
      </c>
      <c r="C66" s="43" t="s">
        <v>2308</v>
      </c>
      <c r="D66" s="43" t="s">
        <v>485</v>
      </c>
      <c r="E66" s="43"/>
      <c r="F66" s="45" t="s">
        <v>397</v>
      </c>
      <c r="G66" s="9" t="n">
        <v>9</v>
      </c>
      <c r="H66" s="12" t="n">
        <f aca="false">'Engineering Cost'!H66*'Engineering Assumptions'!$B$6</f>
        <v>366720</v>
      </c>
      <c r="I66" s="12" t="n">
        <f aca="false">IF('Engineering Cost'!I66=0,0,MAX('Engineering Cost'!I66*'Engineering Assumptions'!$B$6,'Engineering Assumptions'!$B$9))</f>
        <v>78000</v>
      </c>
      <c r="J66" s="12" t="n">
        <f aca="false">'Engineering Cost'!J66*'Engineering Assumptions'!$B$6</f>
        <v>34500</v>
      </c>
      <c r="K66" s="12" t="n">
        <f aca="false">'Engineering Cost'!K66*'Engineering Assumptions'!$B$6</f>
        <v>27900</v>
      </c>
      <c r="L66" s="13" t="n">
        <f aca="false">SUM(H66:K66)</f>
        <v>507120</v>
      </c>
      <c r="M66" s="13" t="n">
        <f aca="false">L66*(1+'Engineering Assumptions'!$B$10)</f>
        <v>583188</v>
      </c>
    </row>
    <row r="67" customFormat="false" ht="15" hidden="false" customHeight="true" outlineLevel="0" collapsed="false">
      <c r="A67" s="9" t="n">
        <v>58</v>
      </c>
      <c r="B67" s="43" t="s">
        <v>101</v>
      </c>
      <c r="C67" s="43" t="s">
        <v>2309</v>
      </c>
      <c r="D67" s="43" t="s">
        <v>469</v>
      </c>
      <c r="E67" s="43"/>
      <c r="F67" s="45" t="s">
        <v>318</v>
      </c>
      <c r="G67" s="9" t="n">
        <v>10</v>
      </c>
      <c r="H67" s="12" t="n">
        <f aca="false">'Engineering Cost'!H67*'Engineering Assumptions'!$B$6</f>
        <v>366720</v>
      </c>
      <c r="I67" s="12" t="n">
        <f aca="false">IF('Engineering Cost'!I67=0,0,MAX('Engineering Cost'!I67*'Engineering Assumptions'!$B$6,'Engineering Assumptions'!$B$9))</f>
        <v>78000</v>
      </c>
      <c r="J67" s="12" t="n">
        <f aca="false">'Engineering Cost'!J67*'Engineering Assumptions'!$B$6</f>
        <v>34500</v>
      </c>
      <c r="K67" s="12" t="n">
        <f aca="false">'Engineering Cost'!K67*'Engineering Assumptions'!$B$6</f>
        <v>27900</v>
      </c>
      <c r="L67" s="13" t="n">
        <f aca="false">SUM(H67:K67)</f>
        <v>507120</v>
      </c>
      <c r="M67" s="13" t="n">
        <f aca="false">L67*(1+'Engineering Assumptions'!$B$10)</f>
        <v>583188</v>
      </c>
    </row>
    <row r="68" customFormat="false" ht="15" hidden="false" customHeight="true" outlineLevel="0" collapsed="false">
      <c r="A68" s="9" t="n">
        <v>59</v>
      </c>
      <c r="B68" s="43" t="s">
        <v>101</v>
      </c>
      <c r="C68" s="43" t="s">
        <v>2310</v>
      </c>
      <c r="D68" s="43" t="s">
        <v>484</v>
      </c>
      <c r="E68" s="43"/>
      <c r="F68" s="45" t="s">
        <v>374</v>
      </c>
      <c r="G68" s="9" t="n">
        <v>12</v>
      </c>
      <c r="H68" s="12" t="n">
        <f aca="false">'Engineering Cost'!H68*'Engineering Assumptions'!$B$6</f>
        <v>366720</v>
      </c>
      <c r="I68" s="12" t="n">
        <f aca="false">IF('Engineering Cost'!I68=0,0,MAX('Engineering Cost'!I68*'Engineering Assumptions'!$B$6,'Engineering Assumptions'!$B$9))</f>
        <v>78000</v>
      </c>
      <c r="J68" s="12" t="n">
        <f aca="false">'Engineering Cost'!J68*'Engineering Assumptions'!$B$6</f>
        <v>42780</v>
      </c>
      <c r="K68" s="12" t="n">
        <f aca="false">'Engineering Cost'!K68*'Engineering Assumptions'!$B$6</f>
        <v>50220</v>
      </c>
      <c r="L68" s="13" t="n">
        <f aca="false">SUM(H68:K68)</f>
        <v>537720</v>
      </c>
      <c r="M68" s="13" t="n">
        <f aca="false">L68*(1+'Engineering Assumptions'!$B$10)</f>
        <v>618378</v>
      </c>
    </row>
    <row r="69" customFormat="false" ht="15" hidden="false" customHeight="true" outlineLevel="0" collapsed="false">
      <c r="A69" s="9" t="n">
        <v>60</v>
      </c>
      <c r="B69" s="43" t="s">
        <v>101</v>
      </c>
      <c r="C69" s="43" t="s">
        <v>2311</v>
      </c>
      <c r="D69" s="43" t="s">
        <v>474</v>
      </c>
      <c r="E69" s="43"/>
      <c r="F69" s="45" t="s">
        <v>374</v>
      </c>
      <c r="G69" s="9" t="n">
        <v>12</v>
      </c>
      <c r="H69" s="12" t="n">
        <f aca="false">'Engineering Cost'!H69*'Engineering Assumptions'!$B$6</f>
        <v>366720</v>
      </c>
      <c r="I69" s="12" t="n">
        <f aca="false">IF('Engineering Cost'!I69=0,0,MAX('Engineering Cost'!I69*'Engineering Assumptions'!$B$6,'Engineering Assumptions'!$B$9))</f>
        <v>78000</v>
      </c>
      <c r="J69" s="12" t="n">
        <f aca="false">'Engineering Cost'!J69*'Engineering Assumptions'!$B$6</f>
        <v>42780</v>
      </c>
      <c r="K69" s="12" t="n">
        <f aca="false">'Engineering Cost'!K69*'Engineering Assumptions'!$B$6</f>
        <v>50220</v>
      </c>
      <c r="L69" s="13" t="n">
        <f aca="false">SUM(H69:K69)</f>
        <v>537720</v>
      </c>
      <c r="M69" s="13" t="n">
        <f aca="false">L69*(1+'Engineering Assumptions'!$B$10)</f>
        <v>618378</v>
      </c>
    </row>
    <row r="70" customFormat="false" ht="15" hidden="false" customHeight="true" outlineLevel="0" collapsed="false">
      <c r="A70" s="9" t="n">
        <v>61</v>
      </c>
      <c r="B70" s="43" t="s">
        <v>101</v>
      </c>
      <c r="C70" s="43" t="s">
        <v>2312</v>
      </c>
      <c r="D70" s="43" t="s">
        <v>480</v>
      </c>
      <c r="E70" s="43"/>
      <c r="F70" s="45" t="s">
        <v>380</v>
      </c>
      <c r="G70" s="9" t="n">
        <v>13</v>
      </c>
      <c r="H70" s="12" t="n">
        <f aca="false">'Engineering Cost'!H70*'Engineering Assumptions'!$B$6</f>
        <v>366720</v>
      </c>
      <c r="I70" s="12" t="n">
        <f aca="false">IF('Engineering Cost'!I70=0,0,MAX('Engineering Cost'!I70*'Engineering Assumptions'!$B$6,'Engineering Assumptions'!$B$9))</f>
        <v>78000</v>
      </c>
      <c r="J70" s="12" t="n">
        <f aca="false">'Engineering Cost'!J70*'Engineering Assumptions'!$B$6</f>
        <v>42780</v>
      </c>
      <c r="K70" s="12" t="n">
        <f aca="false">'Engineering Cost'!K70*'Engineering Assumptions'!$B$6</f>
        <v>50220</v>
      </c>
      <c r="L70" s="13" t="n">
        <f aca="false">SUM(H70:K70)</f>
        <v>537720</v>
      </c>
      <c r="M70" s="13" t="n">
        <f aca="false">L70*(1+'Engineering Assumptions'!$B$10)</f>
        <v>618378</v>
      </c>
    </row>
    <row r="71" customFormat="false" ht="15" hidden="false" customHeight="true" outlineLevel="0" collapsed="false">
      <c r="A71" s="9" t="n">
        <v>62</v>
      </c>
      <c r="B71" s="43" t="s">
        <v>101</v>
      </c>
      <c r="C71" s="43" t="s">
        <v>2313</v>
      </c>
      <c r="D71" s="43" t="s">
        <v>471</v>
      </c>
      <c r="E71" s="43"/>
      <c r="F71" s="45" t="s">
        <v>310</v>
      </c>
      <c r="G71" s="9" t="n">
        <v>14</v>
      </c>
      <c r="H71" s="12" t="n">
        <f aca="false">'Engineering Cost'!H71*'Engineering Assumptions'!$B$6</f>
        <v>366720</v>
      </c>
      <c r="I71" s="12" t="n">
        <f aca="false">IF('Engineering Cost'!I71=0,0,MAX('Engineering Cost'!I71*'Engineering Assumptions'!$B$6,'Engineering Assumptions'!$B$9))</f>
        <v>78000</v>
      </c>
      <c r="J71" s="12" t="n">
        <f aca="false">'Engineering Cost'!J71*'Engineering Assumptions'!$B$6</f>
        <v>42780</v>
      </c>
      <c r="K71" s="12" t="n">
        <f aca="false">'Engineering Cost'!K71*'Engineering Assumptions'!$B$6</f>
        <v>50220</v>
      </c>
      <c r="L71" s="13" t="n">
        <f aca="false">SUM(H71:K71)</f>
        <v>537720</v>
      </c>
      <c r="M71" s="13" t="n">
        <f aca="false">L71*(1+'Engineering Assumptions'!$B$10)</f>
        <v>618378</v>
      </c>
    </row>
    <row r="72" customFormat="false" ht="15" hidden="false" customHeight="true" outlineLevel="0" collapsed="false">
      <c r="A72" s="9" t="n">
        <v>63</v>
      </c>
      <c r="B72" s="43" t="s">
        <v>101</v>
      </c>
      <c r="C72" s="43" t="s">
        <v>2313</v>
      </c>
      <c r="D72" s="43" t="s">
        <v>479</v>
      </c>
      <c r="E72" s="43"/>
      <c r="F72" s="45" t="s">
        <v>310</v>
      </c>
      <c r="G72" s="9" t="n">
        <v>14</v>
      </c>
      <c r="H72" s="12" t="n">
        <f aca="false">'Engineering Cost'!H72*'Engineering Assumptions'!$B$6</f>
        <v>366720</v>
      </c>
      <c r="I72" s="12" t="n">
        <f aca="false">IF('Engineering Cost'!I72=0,0,MAX('Engineering Cost'!I72*'Engineering Assumptions'!$B$6,'Engineering Assumptions'!$B$9))</f>
        <v>78000</v>
      </c>
      <c r="J72" s="12" t="n">
        <f aca="false">'Engineering Cost'!J72*'Engineering Assumptions'!$B$6</f>
        <v>42780</v>
      </c>
      <c r="K72" s="12" t="n">
        <f aca="false">'Engineering Cost'!K72*'Engineering Assumptions'!$B$6</f>
        <v>50220</v>
      </c>
      <c r="L72" s="13" t="n">
        <f aca="false">SUM(H72:K72)</f>
        <v>537720</v>
      </c>
      <c r="M72" s="13" t="n">
        <f aca="false">L72*(1+'Engineering Assumptions'!$B$10)</f>
        <v>618378</v>
      </c>
    </row>
    <row r="73" customFormat="false" ht="15" hidden="false" customHeight="true" outlineLevel="0" collapsed="false">
      <c r="A73" s="9" t="n">
        <v>64</v>
      </c>
      <c r="B73" s="43" t="s">
        <v>101</v>
      </c>
      <c r="C73" s="43" t="s">
        <v>2314</v>
      </c>
      <c r="D73" s="43" t="s">
        <v>482</v>
      </c>
      <c r="E73" s="43"/>
      <c r="F73" s="45" t="s">
        <v>389</v>
      </c>
      <c r="G73" s="9" t="n">
        <v>16</v>
      </c>
      <c r="H73" s="12" t="n">
        <f aca="false">'Engineering Cost'!H73*'Engineering Assumptions'!$B$6</f>
        <v>366720</v>
      </c>
      <c r="I73" s="12" t="n">
        <f aca="false">IF('Engineering Cost'!I73=0,0,MAX('Engineering Cost'!I73*'Engineering Assumptions'!$B$6,'Engineering Assumptions'!$B$9))</f>
        <v>78000</v>
      </c>
      <c r="J73" s="12" t="n">
        <f aca="false">'Engineering Cost'!J73*'Engineering Assumptions'!$B$6</f>
        <v>53820</v>
      </c>
      <c r="K73" s="12" t="n">
        <f aca="false">'Engineering Cost'!K73*'Engineering Assumptions'!$B$6</f>
        <v>78120</v>
      </c>
      <c r="L73" s="13" t="n">
        <f aca="false">SUM(H73:K73)</f>
        <v>576660</v>
      </c>
      <c r="M73" s="13" t="n">
        <f aca="false">L73*(1+'Engineering Assumptions'!$B$10)</f>
        <v>663159</v>
      </c>
    </row>
    <row r="74" customFormat="false" ht="15" hidden="false" customHeight="true" outlineLevel="0" collapsed="false">
      <c r="A74" s="9" t="n">
        <v>65</v>
      </c>
      <c r="B74" s="43" t="s">
        <v>101</v>
      </c>
      <c r="C74" s="43" t="s">
        <v>2313</v>
      </c>
      <c r="D74" s="43" t="s">
        <v>477</v>
      </c>
      <c r="E74" s="43"/>
      <c r="F74" s="45" t="s">
        <v>392</v>
      </c>
      <c r="G74" s="9" t="n">
        <v>17</v>
      </c>
      <c r="H74" s="12" t="n">
        <f aca="false">'Engineering Cost'!H74*'Engineering Assumptions'!$B$6</f>
        <v>366720</v>
      </c>
      <c r="I74" s="12" t="n">
        <f aca="false">IF('Engineering Cost'!I74=0,0,MAX('Engineering Cost'!I74*'Engineering Assumptions'!$B$6,'Engineering Assumptions'!$B$9))</f>
        <v>78000</v>
      </c>
      <c r="J74" s="12" t="n">
        <f aca="false">'Engineering Cost'!J74*'Engineering Assumptions'!$B$6</f>
        <v>53820</v>
      </c>
      <c r="K74" s="12" t="n">
        <f aca="false">'Engineering Cost'!K74*'Engineering Assumptions'!$B$6</f>
        <v>78120</v>
      </c>
      <c r="L74" s="13" t="n">
        <f aca="false">SUM(H74:K74)</f>
        <v>576660</v>
      </c>
      <c r="M74" s="13" t="n">
        <f aca="false">L74*(1+'Engineering Assumptions'!$B$10)</f>
        <v>663159</v>
      </c>
    </row>
    <row r="75" customFormat="false" ht="15" hidden="false" customHeight="true" outlineLevel="0" collapsed="false">
      <c r="A75" s="9" t="n">
        <v>66</v>
      </c>
      <c r="B75" s="43" t="s">
        <v>101</v>
      </c>
      <c r="C75" s="43" t="s">
        <v>2313</v>
      </c>
      <c r="D75" s="43" t="s">
        <v>491</v>
      </c>
      <c r="E75" s="43"/>
      <c r="F75" s="45" t="s">
        <v>472</v>
      </c>
      <c r="G75" s="9" t="n">
        <v>30</v>
      </c>
      <c r="H75" s="12" t="n">
        <f aca="false">'Engineering Cost'!H75*'Engineering Assumptions'!$B$6</f>
        <v>366720</v>
      </c>
      <c r="I75" s="12" t="n">
        <f aca="false">IF('Engineering Cost'!I75=0,0,MAX('Engineering Cost'!I75*'Engineering Assumptions'!$B$6,'Engineering Assumptions'!$B$9))</f>
        <v>78000</v>
      </c>
      <c r="J75" s="12" t="n">
        <f aca="false">'Engineering Cost'!J75*'Engineering Assumptions'!$B$6</f>
        <v>66240</v>
      </c>
      <c r="K75" s="12" t="n">
        <f aca="false">'Engineering Cost'!K75*'Engineering Assumptions'!$B$6</f>
        <v>111600</v>
      </c>
      <c r="L75" s="13" t="n">
        <f aca="false">SUM(H75:K75)</f>
        <v>622560</v>
      </c>
      <c r="M75" s="13" t="n">
        <f aca="false">L75*(1+'Engineering Assumptions'!$B$10)</f>
        <v>715944</v>
      </c>
    </row>
    <row r="76" customFormat="false" ht="15" hidden="false" customHeight="true" outlineLevel="0" collapsed="false">
      <c r="A76" s="9" t="n">
        <v>67</v>
      </c>
      <c r="B76" s="43" t="s">
        <v>101</v>
      </c>
      <c r="C76" s="43" t="s">
        <v>2315</v>
      </c>
      <c r="D76" s="43" t="s">
        <v>487</v>
      </c>
      <c r="E76" s="43"/>
      <c r="F76" s="45" t="s">
        <v>472</v>
      </c>
      <c r="G76" s="9" t="n">
        <v>30</v>
      </c>
      <c r="H76" s="12" t="n">
        <f aca="false">'Engineering Cost'!H76*'Engineering Assumptions'!$B$6</f>
        <v>366720</v>
      </c>
      <c r="I76" s="12" t="n">
        <f aca="false">IF('Engineering Cost'!I76=0,0,MAX('Engineering Cost'!I76*'Engineering Assumptions'!$B$6,'Engineering Assumptions'!$B$9))</f>
        <v>78000</v>
      </c>
      <c r="J76" s="12" t="n">
        <f aca="false">'Engineering Cost'!J76*'Engineering Assumptions'!$B$6</f>
        <v>66240</v>
      </c>
      <c r="K76" s="12" t="n">
        <f aca="false">'Engineering Cost'!K76*'Engineering Assumptions'!$B$6</f>
        <v>111600</v>
      </c>
      <c r="L76" s="13" t="n">
        <f aca="false">SUM(H76:K76)</f>
        <v>622560</v>
      </c>
      <c r="M76" s="13" t="n">
        <f aca="false">L76*(1+'Engineering Assumptions'!$B$10)</f>
        <v>715944</v>
      </c>
    </row>
    <row r="77" customFormat="false" ht="15" hidden="false" customHeight="true" outlineLevel="0" collapsed="false">
      <c r="A77" s="9" t="n">
        <v>68</v>
      </c>
      <c r="B77" s="43" t="s">
        <v>101</v>
      </c>
      <c r="C77" s="43" t="s">
        <v>2307</v>
      </c>
      <c r="D77" s="43" t="s">
        <v>489</v>
      </c>
      <c r="E77" s="43"/>
      <c r="F77" s="45" t="s">
        <v>472</v>
      </c>
      <c r="G77" s="9" t="n">
        <v>30</v>
      </c>
      <c r="H77" s="12" t="n">
        <f aca="false">'Engineering Cost'!H77*'Engineering Assumptions'!$B$6</f>
        <v>366720</v>
      </c>
      <c r="I77" s="12" t="n">
        <f aca="false">IF('Engineering Cost'!I77=0,0,MAX('Engineering Cost'!I77*'Engineering Assumptions'!$B$6,'Engineering Assumptions'!$B$9))</f>
        <v>78000</v>
      </c>
      <c r="J77" s="12" t="n">
        <f aca="false">'Engineering Cost'!J77*'Engineering Assumptions'!$B$6</f>
        <v>66240</v>
      </c>
      <c r="K77" s="12" t="n">
        <f aca="false">'Engineering Cost'!K77*'Engineering Assumptions'!$B$6</f>
        <v>111600</v>
      </c>
      <c r="L77" s="13" t="n">
        <f aca="false">SUM(H77:K77)</f>
        <v>622560</v>
      </c>
      <c r="M77" s="13" t="n">
        <f aca="false">L77*(1+'Engineering Assumptions'!$B$10)</f>
        <v>715944</v>
      </c>
    </row>
    <row r="78" customFormat="false" ht="15" hidden="false" customHeight="true" outlineLevel="0" collapsed="false">
      <c r="A78" s="9" t="n">
        <v>69</v>
      </c>
      <c r="B78" s="43" t="s">
        <v>101</v>
      </c>
      <c r="C78" s="43" t="s">
        <v>2309</v>
      </c>
      <c r="D78" s="43" t="s">
        <v>490</v>
      </c>
      <c r="E78" s="43"/>
      <c r="F78" s="45" t="s">
        <v>472</v>
      </c>
      <c r="G78" s="9" t="n">
        <v>30</v>
      </c>
      <c r="H78" s="12" t="n">
        <f aca="false">'Engineering Cost'!H78*'Engineering Assumptions'!$B$6</f>
        <v>366720</v>
      </c>
      <c r="I78" s="12" t="n">
        <f aca="false">IF('Engineering Cost'!I78=0,0,MAX('Engineering Cost'!I78*'Engineering Assumptions'!$B$6,'Engineering Assumptions'!$B$9))</f>
        <v>78000</v>
      </c>
      <c r="J78" s="12" t="n">
        <f aca="false">'Engineering Cost'!J78*'Engineering Assumptions'!$B$6</f>
        <v>66240</v>
      </c>
      <c r="K78" s="12" t="n">
        <f aca="false">'Engineering Cost'!K78*'Engineering Assumptions'!$B$6</f>
        <v>111600</v>
      </c>
      <c r="L78" s="13" t="n">
        <f aca="false">SUM(H78:K78)</f>
        <v>622560</v>
      </c>
      <c r="M78" s="13" t="n">
        <f aca="false">L78*(1+'Engineering Assumptions'!$B$10)</f>
        <v>715944</v>
      </c>
    </row>
    <row r="79" customFormat="false" ht="15" hidden="false" customHeight="true" outlineLevel="0" collapsed="false">
      <c r="A79" s="9" t="n">
        <v>70</v>
      </c>
      <c r="B79" s="43" t="s">
        <v>101</v>
      </c>
      <c r="C79" s="43" t="s">
        <v>2316</v>
      </c>
      <c r="D79" s="43" t="s">
        <v>467</v>
      </c>
      <c r="E79" s="43"/>
      <c r="F79" s="45" t="s">
        <v>472</v>
      </c>
      <c r="G79" s="9" t="n">
        <v>30</v>
      </c>
      <c r="H79" s="12" t="n">
        <f aca="false">'Engineering Cost'!H79*'Engineering Assumptions'!$B$6</f>
        <v>366720</v>
      </c>
      <c r="I79" s="12" t="n">
        <f aca="false">IF('Engineering Cost'!I79=0,0,MAX('Engineering Cost'!I79*'Engineering Assumptions'!$B$6,'Engineering Assumptions'!$B$9))</f>
        <v>78000</v>
      </c>
      <c r="J79" s="12" t="n">
        <f aca="false">'Engineering Cost'!J79*'Engineering Assumptions'!$B$6</f>
        <v>66240</v>
      </c>
      <c r="K79" s="12" t="n">
        <f aca="false">'Engineering Cost'!K79*'Engineering Assumptions'!$B$6</f>
        <v>111600</v>
      </c>
      <c r="L79" s="13" t="n">
        <f aca="false">SUM(H79:K79)</f>
        <v>622560</v>
      </c>
      <c r="M79" s="13" t="n">
        <f aca="false">L79*(1+'Engineering Assumptions'!$B$10)</f>
        <v>715944</v>
      </c>
    </row>
    <row r="80" customFormat="false" ht="15" hidden="false" customHeight="true" outlineLevel="0" collapsed="false">
      <c r="A80" s="9" t="n">
        <v>71</v>
      </c>
      <c r="B80" s="43" t="s">
        <v>101</v>
      </c>
      <c r="C80" s="43" t="s">
        <v>2317</v>
      </c>
      <c r="D80" s="43" t="s">
        <v>492</v>
      </c>
      <c r="E80" s="43"/>
      <c r="F80" s="45" t="s">
        <v>472</v>
      </c>
      <c r="G80" s="9" t="n">
        <v>30</v>
      </c>
      <c r="H80" s="12" t="n">
        <f aca="false">'Engineering Cost'!H80*'Engineering Assumptions'!$B$6</f>
        <v>366720</v>
      </c>
      <c r="I80" s="12" t="n">
        <f aca="false">IF('Engineering Cost'!I80=0,0,MAX('Engineering Cost'!I80*'Engineering Assumptions'!$B$6,'Engineering Assumptions'!$B$9))</f>
        <v>78000</v>
      </c>
      <c r="J80" s="12" t="n">
        <f aca="false">'Engineering Cost'!J80*'Engineering Assumptions'!$B$6</f>
        <v>66240</v>
      </c>
      <c r="K80" s="12" t="n">
        <f aca="false">'Engineering Cost'!K80*'Engineering Assumptions'!$B$6</f>
        <v>111600</v>
      </c>
      <c r="L80" s="13" t="n">
        <f aca="false">SUM(H80:K80)</f>
        <v>622560</v>
      </c>
      <c r="M80" s="13" t="n">
        <f aca="false">L80*(1+'Engineering Assumptions'!$B$10)</f>
        <v>715944</v>
      </c>
    </row>
    <row r="81" customFormat="false" ht="15" hidden="false" customHeight="true" outlineLevel="0" collapsed="false">
      <c r="A81" s="42" t="s">
        <v>494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customFormat="false" ht="15" hidden="false" customHeight="true" outlineLevel="0" collapsed="false">
      <c r="A82" s="9" t="n">
        <v>72</v>
      </c>
      <c r="B82" s="43" t="s">
        <v>103</v>
      </c>
      <c r="C82" s="43" t="s">
        <v>2313</v>
      </c>
      <c r="D82" s="43" t="s">
        <v>539</v>
      </c>
      <c r="E82" s="43"/>
      <c r="F82" s="45" t="s">
        <v>397</v>
      </c>
      <c r="G82" s="9" t="n">
        <v>9</v>
      </c>
      <c r="H82" s="12" t="n">
        <f aca="false">'Engineering Cost'!H82*'Engineering Assumptions'!$B$6</f>
        <v>229200</v>
      </c>
      <c r="I82" s="12" t="n">
        <f aca="false">IF('Engineering Cost'!I82=0,0,MAX('Engineering Cost'!I82*'Engineering Assumptions'!$B$6,'Engineering Assumptions'!$B$9))</f>
        <v>78000</v>
      </c>
      <c r="J82" s="12" t="n">
        <f aca="false">'Engineering Cost'!J82*'Engineering Assumptions'!$B$6</f>
        <v>27000</v>
      </c>
      <c r="K82" s="12" t="n">
        <f aca="false">'Engineering Cost'!K82*'Engineering Assumptions'!$B$6</f>
        <v>21600</v>
      </c>
      <c r="L82" s="13" t="n">
        <f aca="false">SUM(H82:K82)</f>
        <v>355800</v>
      </c>
      <c r="M82" s="13" t="n">
        <f aca="false">L82*(1+'Engineering Assumptions'!$B$10)</f>
        <v>409170</v>
      </c>
    </row>
    <row r="83" customFormat="false" ht="15" hidden="false" customHeight="true" outlineLevel="0" collapsed="false">
      <c r="A83" s="9" t="n">
        <v>73</v>
      </c>
      <c r="B83" s="43" t="s">
        <v>103</v>
      </c>
      <c r="C83" s="43" t="s">
        <v>2318</v>
      </c>
      <c r="D83" s="43" t="s">
        <v>540</v>
      </c>
      <c r="E83" s="43"/>
      <c r="F83" s="45" t="s">
        <v>397</v>
      </c>
      <c r="G83" s="9" t="n">
        <v>9</v>
      </c>
      <c r="H83" s="12" t="n">
        <f aca="false">'Engineering Cost'!H83*'Engineering Assumptions'!$B$6</f>
        <v>229200</v>
      </c>
      <c r="I83" s="12" t="n">
        <f aca="false">IF('Engineering Cost'!I83=0,0,MAX('Engineering Cost'!I83*'Engineering Assumptions'!$B$6,'Engineering Assumptions'!$B$9))</f>
        <v>78000</v>
      </c>
      <c r="J83" s="12" t="n">
        <f aca="false">'Engineering Cost'!J83*'Engineering Assumptions'!$B$6</f>
        <v>27000</v>
      </c>
      <c r="K83" s="12" t="n">
        <f aca="false">'Engineering Cost'!K83*'Engineering Assumptions'!$B$6</f>
        <v>21600</v>
      </c>
      <c r="L83" s="13" t="n">
        <f aca="false">SUM(H83:K83)</f>
        <v>355800</v>
      </c>
      <c r="M83" s="13" t="n">
        <f aca="false">L83*(1+'Engineering Assumptions'!$B$10)</f>
        <v>409170</v>
      </c>
    </row>
    <row r="84" customFormat="false" ht="15" hidden="false" customHeight="true" outlineLevel="0" collapsed="false">
      <c r="A84" s="9" t="n">
        <v>74</v>
      </c>
      <c r="B84" s="43" t="s">
        <v>103</v>
      </c>
      <c r="C84" s="43" t="s">
        <v>2313</v>
      </c>
      <c r="D84" s="43" t="s">
        <v>538</v>
      </c>
      <c r="E84" s="43"/>
      <c r="F84" s="45" t="s">
        <v>318</v>
      </c>
      <c r="G84" s="9" t="n">
        <v>10</v>
      </c>
      <c r="H84" s="12" t="n">
        <f aca="false">'Engineering Cost'!H84*'Engineering Assumptions'!$B$6</f>
        <v>229200</v>
      </c>
      <c r="I84" s="12" t="n">
        <f aca="false">IF('Engineering Cost'!I84=0,0,MAX('Engineering Cost'!I84*'Engineering Assumptions'!$B$6,'Engineering Assumptions'!$B$9))</f>
        <v>78000</v>
      </c>
      <c r="J84" s="12" t="n">
        <f aca="false">'Engineering Cost'!J84*'Engineering Assumptions'!$B$6</f>
        <v>27000</v>
      </c>
      <c r="K84" s="12" t="n">
        <f aca="false">'Engineering Cost'!K84*'Engineering Assumptions'!$B$6</f>
        <v>21600</v>
      </c>
      <c r="L84" s="13" t="n">
        <f aca="false">SUM(H84:K84)</f>
        <v>355800</v>
      </c>
      <c r="M84" s="13" t="n">
        <f aca="false">L84*(1+'Engineering Assumptions'!$B$10)</f>
        <v>409170</v>
      </c>
    </row>
    <row r="85" customFormat="false" ht="15" hidden="false" customHeight="true" outlineLevel="0" collapsed="false">
      <c r="A85" s="9" t="n">
        <v>75</v>
      </c>
      <c r="B85" s="43" t="s">
        <v>103</v>
      </c>
      <c r="C85" s="43" t="s">
        <v>2319</v>
      </c>
      <c r="D85" s="43" t="s">
        <v>500</v>
      </c>
      <c r="E85" s="43"/>
      <c r="F85" s="45" t="s">
        <v>318</v>
      </c>
      <c r="G85" s="9" t="n">
        <v>10</v>
      </c>
      <c r="H85" s="12" t="n">
        <f aca="false">'Engineering Cost'!H85*'Engineering Assumptions'!$B$6</f>
        <v>229200</v>
      </c>
      <c r="I85" s="12" t="n">
        <f aca="false">IF('Engineering Cost'!I85=0,0,MAX('Engineering Cost'!I85*'Engineering Assumptions'!$B$6,'Engineering Assumptions'!$B$9))</f>
        <v>78000</v>
      </c>
      <c r="J85" s="12" t="n">
        <f aca="false">'Engineering Cost'!J85*'Engineering Assumptions'!$B$6</f>
        <v>27000</v>
      </c>
      <c r="K85" s="12" t="n">
        <f aca="false">'Engineering Cost'!K85*'Engineering Assumptions'!$B$6</f>
        <v>21600</v>
      </c>
      <c r="L85" s="13" t="n">
        <f aca="false">SUM(H85:K85)</f>
        <v>355800</v>
      </c>
      <c r="M85" s="13" t="n">
        <f aca="false">L85*(1+'Engineering Assumptions'!$B$10)</f>
        <v>409170</v>
      </c>
    </row>
    <row r="86" customFormat="false" ht="15" hidden="false" customHeight="true" outlineLevel="0" collapsed="false">
      <c r="A86" s="9" t="n">
        <v>76</v>
      </c>
      <c r="B86" s="43" t="s">
        <v>103</v>
      </c>
      <c r="C86" s="43" t="s">
        <v>2320</v>
      </c>
      <c r="D86" s="43" t="s">
        <v>502</v>
      </c>
      <c r="E86" s="43"/>
      <c r="F86" s="45" t="s">
        <v>318</v>
      </c>
      <c r="G86" s="9" t="n">
        <v>10</v>
      </c>
      <c r="H86" s="12" t="n">
        <f aca="false">'Engineering Cost'!H86*'Engineering Assumptions'!$B$6</f>
        <v>229200</v>
      </c>
      <c r="I86" s="12" t="n">
        <f aca="false">IF('Engineering Cost'!I86=0,0,MAX('Engineering Cost'!I86*'Engineering Assumptions'!$B$6,'Engineering Assumptions'!$B$9))</f>
        <v>78000</v>
      </c>
      <c r="J86" s="12" t="n">
        <f aca="false">'Engineering Cost'!J86*'Engineering Assumptions'!$B$6</f>
        <v>27000</v>
      </c>
      <c r="K86" s="12" t="n">
        <f aca="false">'Engineering Cost'!K86*'Engineering Assumptions'!$B$6</f>
        <v>21600</v>
      </c>
      <c r="L86" s="13" t="n">
        <f aca="false">SUM(H86:K86)</f>
        <v>355800</v>
      </c>
      <c r="M86" s="13" t="n">
        <f aca="false">L86*(1+'Engineering Assumptions'!$B$10)</f>
        <v>409170</v>
      </c>
    </row>
    <row r="87" customFormat="false" ht="15" hidden="false" customHeight="true" outlineLevel="0" collapsed="false">
      <c r="A87" s="9" t="n">
        <v>77</v>
      </c>
      <c r="B87" s="43" t="s">
        <v>103</v>
      </c>
      <c r="C87" s="43" t="s">
        <v>2321</v>
      </c>
      <c r="D87" s="43" t="s">
        <v>504</v>
      </c>
      <c r="E87" s="43"/>
      <c r="F87" s="45" t="s">
        <v>318</v>
      </c>
      <c r="G87" s="9" t="n">
        <v>10</v>
      </c>
      <c r="H87" s="12" t="n">
        <f aca="false">'Engineering Cost'!H87*'Engineering Assumptions'!$B$6</f>
        <v>229200</v>
      </c>
      <c r="I87" s="12" t="n">
        <f aca="false">IF('Engineering Cost'!I87=0,0,MAX('Engineering Cost'!I87*'Engineering Assumptions'!$B$6,'Engineering Assumptions'!$B$9))</f>
        <v>78000</v>
      </c>
      <c r="J87" s="12" t="n">
        <f aca="false">'Engineering Cost'!J87*'Engineering Assumptions'!$B$6</f>
        <v>27000</v>
      </c>
      <c r="K87" s="12" t="n">
        <f aca="false">'Engineering Cost'!K87*'Engineering Assumptions'!$B$6</f>
        <v>21600</v>
      </c>
      <c r="L87" s="13" t="n">
        <f aca="false">SUM(H87:K87)</f>
        <v>355800</v>
      </c>
      <c r="M87" s="13" t="n">
        <f aca="false">L87*(1+'Engineering Assumptions'!$B$10)</f>
        <v>409170</v>
      </c>
    </row>
    <row r="88" customFormat="false" ht="15" hidden="false" customHeight="true" outlineLevel="0" collapsed="false">
      <c r="A88" s="9" t="n">
        <v>78</v>
      </c>
      <c r="B88" s="43" t="s">
        <v>103</v>
      </c>
      <c r="C88" s="43" t="s">
        <v>2322</v>
      </c>
      <c r="D88" s="43" t="s">
        <v>507</v>
      </c>
      <c r="E88" s="43"/>
      <c r="F88" s="45" t="s">
        <v>318</v>
      </c>
      <c r="G88" s="9" t="n">
        <v>10</v>
      </c>
      <c r="H88" s="12" t="n">
        <f aca="false">'Engineering Cost'!H88*'Engineering Assumptions'!$B$6</f>
        <v>229200</v>
      </c>
      <c r="I88" s="12" t="n">
        <f aca="false">IF('Engineering Cost'!I88=0,0,MAX('Engineering Cost'!I88*'Engineering Assumptions'!$B$6,'Engineering Assumptions'!$B$9))</f>
        <v>78000</v>
      </c>
      <c r="J88" s="12" t="n">
        <f aca="false">'Engineering Cost'!J88*'Engineering Assumptions'!$B$6</f>
        <v>27000</v>
      </c>
      <c r="K88" s="12" t="n">
        <f aca="false">'Engineering Cost'!K88*'Engineering Assumptions'!$B$6</f>
        <v>21600</v>
      </c>
      <c r="L88" s="13" t="n">
        <f aca="false">SUM(H88:K88)</f>
        <v>355800</v>
      </c>
      <c r="M88" s="13" t="n">
        <f aca="false">L88*(1+'Engineering Assumptions'!$B$10)</f>
        <v>409170</v>
      </c>
    </row>
    <row r="89" customFormat="false" ht="15" hidden="false" customHeight="true" outlineLevel="0" collapsed="false">
      <c r="A89" s="9" t="n">
        <v>79</v>
      </c>
      <c r="B89" s="43" t="s">
        <v>103</v>
      </c>
      <c r="C89" s="43" t="s">
        <v>2323</v>
      </c>
      <c r="D89" s="43" t="s">
        <v>509</v>
      </c>
      <c r="E89" s="43"/>
      <c r="F89" s="45" t="s">
        <v>318</v>
      </c>
      <c r="G89" s="9" t="n">
        <v>10</v>
      </c>
      <c r="H89" s="12" t="n">
        <f aca="false">'Engineering Cost'!H89*'Engineering Assumptions'!$B$6</f>
        <v>229200</v>
      </c>
      <c r="I89" s="12" t="n">
        <f aca="false">IF('Engineering Cost'!I89=0,0,MAX('Engineering Cost'!I89*'Engineering Assumptions'!$B$6,'Engineering Assumptions'!$B$9))</f>
        <v>78000</v>
      </c>
      <c r="J89" s="12" t="n">
        <f aca="false">'Engineering Cost'!J89*'Engineering Assumptions'!$B$6</f>
        <v>27000</v>
      </c>
      <c r="K89" s="12" t="n">
        <f aca="false">'Engineering Cost'!K89*'Engineering Assumptions'!$B$6</f>
        <v>21600</v>
      </c>
      <c r="L89" s="13" t="n">
        <f aca="false">SUM(H89:K89)</f>
        <v>355800</v>
      </c>
      <c r="M89" s="13" t="n">
        <f aca="false">L89*(1+'Engineering Assumptions'!$B$10)</f>
        <v>409170</v>
      </c>
    </row>
    <row r="90" customFormat="false" ht="15" hidden="false" customHeight="true" outlineLevel="0" collapsed="false">
      <c r="A90" s="9" t="n">
        <v>80</v>
      </c>
      <c r="B90" s="43" t="s">
        <v>103</v>
      </c>
      <c r="C90" s="43" t="s">
        <v>2323</v>
      </c>
      <c r="D90" s="43" t="s">
        <v>543</v>
      </c>
      <c r="E90" s="43"/>
      <c r="F90" s="45" t="s">
        <v>318</v>
      </c>
      <c r="G90" s="9" t="n">
        <v>10</v>
      </c>
      <c r="H90" s="12" t="n">
        <f aca="false">'Engineering Cost'!H90*'Engineering Assumptions'!$B$6</f>
        <v>229200</v>
      </c>
      <c r="I90" s="12" t="n">
        <f aca="false">IF('Engineering Cost'!I90=0,0,MAX('Engineering Cost'!I90*'Engineering Assumptions'!$B$6,'Engineering Assumptions'!$B$9))</f>
        <v>78000</v>
      </c>
      <c r="J90" s="12" t="n">
        <f aca="false">'Engineering Cost'!J90*'Engineering Assumptions'!$B$6</f>
        <v>27000</v>
      </c>
      <c r="K90" s="12" t="n">
        <f aca="false">'Engineering Cost'!K90*'Engineering Assumptions'!$B$6</f>
        <v>21600</v>
      </c>
      <c r="L90" s="13" t="n">
        <f aca="false">SUM(H90:K90)</f>
        <v>355800</v>
      </c>
      <c r="M90" s="13" t="n">
        <f aca="false">L90*(1+'Engineering Assumptions'!$B$10)</f>
        <v>409170</v>
      </c>
    </row>
    <row r="91" customFormat="false" ht="15" hidden="false" customHeight="true" outlineLevel="0" collapsed="false">
      <c r="A91" s="9" t="n">
        <v>81</v>
      </c>
      <c r="B91" s="43" t="s">
        <v>103</v>
      </c>
      <c r="C91" s="43" t="s">
        <v>2313</v>
      </c>
      <c r="D91" s="43" t="s">
        <v>517</v>
      </c>
      <c r="E91" s="43"/>
      <c r="F91" s="45" t="s">
        <v>315</v>
      </c>
      <c r="G91" s="9" t="n">
        <v>11</v>
      </c>
      <c r="H91" s="12" t="n">
        <f aca="false">'Engineering Cost'!H91*'Engineering Assumptions'!$B$6</f>
        <v>229200</v>
      </c>
      <c r="I91" s="12" t="n">
        <f aca="false">IF('Engineering Cost'!I91=0,0,MAX('Engineering Cost'!I91*'Engineering Assumptions'!$B$6,'Engineering Assumptions'!$B$9))</f>
        <v>78000</v>
      </c>
      <c r="J91" s="12" t="n">
        <f aca="false">'Engineering Cost'!J91*'Engineering Assumptions'!$B$6</f>
        <v>33480</v>
      </c>
      <c r="K91" s="12" t="n">
        <f aca="false">'Engineering Cost'!K91*'Engineering Assumptions'!$B$6</f>
        <v>38880</v>
      </c>
      <c r="L91" s="13" t="n">
        <f aca="false">SUM(H91:K91)</f>
        <v>379560</v>
      </c>
      <c r="M91" s="13" t="n">
        <f aca="false">L91*(1+'Engineering Assumptions'!$B$10)</f>
        <v>436494</v>
      </c>
    </row>
    <row r="92" customFormat="false" ht="15" hidden="false" customHeight="true" outlineLevel="0" collapsed="false">
      <c r="A92" s="9" t="n">
        <v>82</v>
      </c>
      <c r="B92" s="43" t="s">
        <v>103</v>
      </c>
      <c r="C92" s="43" t="s">
        <v>2321</v>
      </c>
      <c r="D92" s="43" t="s">
        <v>512</v>
      </c>
      <c r="E92" s="43"/>
      <c r="F92" s="45" t="s">
        <v>315</v>
      </c>
      <c r="G92" s="9" t="n">
        <v>11</v>
      </c>
      <c r="H92" s="12" t="n">
        <f aca="false">'Engineering Cost'!H92*'Engineering Assumptions'!$B$6</f>
        <v>229200</v>
      </c>
      <c r="I92" s="12" t="n">
        <f aca="false">IF('Engineering Cost'!I92=0,0,MAX('Engineering Cost'!I92*'Engineering Assumptions'!$B$6,'Engineering Assumptions'!$B$9))</f>
        <v>78000</v>
      </c>
      <c r="J92" s="12" t="n">
        <f aca="false">'Engineering Cost'!J92*'Engineering Assumptions'!$B$6</f>
        <v>33480</v>
      </c>
      <c r="K92" s="12" t="n">
        <f aca="false">'Engineering Cost'!K92*'Engineering Assumptions'!$B$6</f>
        <v>38880</v>
      </c>
      <c r="L92" s="13" t="n">
        <f aca="false">SUM(H92:K92)</f>
        <v>379560</v>
      </c>
      <c r="M92" s="13" t="n">
        <f aca="false">L92*(1+'Engineering Assumptions'!$B$10)</f>
        <v>436494</v>
      </c>
    </row>
    <row r="93" customFormat="false" ht="15" hidden="false" customHeight="true" outlineLevel="0" collapsed="false">
      <c r="A93" s="9" t="n">
        <v>83</v>
      </c>
      <c r="B93" s="43" t="s">
        <v>103</v>
      </c>
      <c r="C93" s="43" t="s">
        <v>2322</v>
      </c>
      <c r="D93" s="43" t="s">
        <v>513</v>
      </c>
      <c r="E93" s="43"/>
      <c r="F93" s="45" t="s">
        <v>315</v>
      </c>
      <c r="G93" s="9" t="n">
        <v>11</v>
      </c>
      <c r="H93" s="12" t="n">
        <f aca="false">'Engineering Cost'!H93*'Engineering Assumptions'!$B$6</f>
        <v>229200</v>
      </c>
      <c r="I93" s="12" t="n">
        <f aca="false">IF('Engineering Cost'!I93=0,0,MAX('Engineering Cost'!I93*'Engineering Assumptions'!$B$6,'Engineering Assumptions'!$B$9))</f>
        <v>78000</v>
      </c>
      <c r="J93" s="12" t="n">
        <f aca="false">'Engineering Cost'!J93*'Engineering Assumptions'!$B$6</f>
        <v>33480</v>
      </c>
      <c r="K93" s="12" t="n">
        <f aca="false">'Engineering Cost'!K93*'Engineering Assumptions'!$B$6</f>
        <v>38880</v>
      </c>
      <c r="L93" s="13" t="n">
        <f aca="false">SUM(H93:K93)</f>
        <v>379560</v>
      </c>
      <c r="M93" s="13" t="n">
        <f aca="false">L93*(1+'Engineering Assumptions'!$B$10)</f>
        <v>436494</v>
      </c>
    </row>
    <row r="94" customFormat="false" ht="15" hidden="false" customHeight="true" outlineLevel="0" collapsed="false">
      <c r="A94" s="9" t="n">
        <v>84</v>
      </c>
      <c r="B94" s="43" t="s">
        <v>103</v>
      </c>
      <c r="C94" s="43" t="s">
        <v>2321</v>
      </c>
      <c r="D94" s="43" t="s">
        <v>514</v>
      </c>
      <c r="E94" s="43"/>
      <c r="F94" s="45" t="s">
        <v>374</v>
      </c>
      <c r="G94" s="9" t="n">
        <v>12</v>
      </c>
      <c r="H94" s="12" t="n">
        <f aca="false">'Engineering Cost'!H94*'Engineering Assumptions'!$B$6</f>
        <v>229200</v>
      </c>
      <c r="I94" s="12" t="n">
        <f aca="false">IF('Engineering Cost'!I94=0,0,MAX('Engineering Cost'!I94*'Engineering Assumptions'!$B$6,'Engineering Assumptions'!$B$9))</f>
        <v>78000</v>
      </c>
      <c r="J94" s="12" t="n">
        <f aca="false">'Engineering Cost'!J94*'Engineering Assumptions'!$B$6</f>
        <v>33480</v>
      </c>
      <c r="K94" s="12" t="n">
        <f aca="false">'Engineering Cost'!K94*'Engineering Assumptions'!$B$6</f>
        <v>38880</v>
      </c>
      <c r="L94" s="13" t="n">
        <f aca="false">SUM(H94:K94)</f>
        <v>379560</v>
      </c>
      <c r="M94" s="13" t="n">
        <f aca="false">L94*(1+'Engineering Assumptions'!$B$10)</f>
        <v>436494</v>
      </c>
    </row>
    <row r="95" customFormat="false" ht="15" hidden="false" customHeight="true" outlineLevel="0" collapsed="false">
      <c r="A95" s="9" t="n">
        <v>85</v>
      </c>
      <c r="B95" s="43" t="s">
        <v>103</v>
      </c>
      <c r="C95" s="43" t="s">
        <v>2322</v>
      </c>
      <c r="D95" s="43" t="s">
        <v>515</v>
      </c>
      <c r="E95" s="43"/>
      <c r="F95" s="45" t="s">
        <v>374</v>
      </c>
      <c r="G95" s="9" t="n">
        <v>12</v>
      </c>
      <c r="H95" s="12" t="n">
        <f aca="false">'Engineering Cost'!H95*'Engineering Assumptions'!$B$6</f>
        <v>229200</v>
      </c>
      <c r="I95" s="12" t="n">
        <f aca="false">IF('Engineering Cost'!I95=0,0,MAX('Engineering Cost'!I95*'Engineering Assumptions'!$B$6,'Engineering Assumptions'!$B$9))</f>
        <v>78000</v>
      </c>
      <c r="J95" s="12" t="n">
        <f aca="false">'Engineering Cost'!J95*'Engineering Assumptions'!$B$6</f>
        <v>33480</v>
      </c>
      <c r="K95" s="12" t="n">
        <f aca="false">'Engineering Cost'!K95*'Engineering Assumptions'!$B$6</f>
        <v>38880</v>
      </c>
      <c r="L95" s="13" t="n">
        <f aca="false">SUM(H95:K95)</f>
        <v>379560</v>
      </c>
      <c r="M95" s="13" t="n">
        <f aca="false">L95*(1+'Engineering Assumptions'!$B$10)</f>
        <v>436494</v>
      </c>
    </row>
    <row r="96" customFormat="false" ht="15" hidden="false" customHeight="true" outlineLevel="0" collapsed="false">
      <c r="A96" s="9" t="n">
        <v>86</v>
      </c>
      <c r="B96" s="43" t="s">
        <v>103</v>
      </c>
      <c r="C96" s="43" t="s">
        <v>2313</v>
      </c>
      <c r="D96" s="43" t="s">
        <v>498</v>
      </c>
      <c r="E96" s="43"/>
      <c r="F96" s="45" t="s">
        <v>380</v>
      </c>
      <c r="G96" s="9" t="n">
        <v>13</v>
      </c>
      <c r="H96" s="12" t="n">
        <f aca="false">'Engineering Cost'!H96*'Engineering Assumptions'!$B$6</f>
        <v>229200</v>
      </c>
      <c r="I96" s="12" t="n">
        <f aca="false">IF('Engineering Cost'!I96=0,0,MAX('Engineering Cost'!I96*'Engineering Assumptions'!$B$6,'Engineering Assumptions'!$B$9))</f>
        <v>78000</v>
      </c>
      <c r="J96" s="12" t="n">
        <f aca="false">'Engineering Cost'!J96*'Engineering Assumptions'!$B$6</f>
        <v>33480</v>
      </c>
      <c r="K96" s="12" t="n">
        <f aca="false">'Engineering Cost'!K96*'Engineering Assumptions'!$B$6</f>
        <v>38880</v>
      </c>
      <c r="L96" s="13" t="n">
        <f aca="false">SUM(H96:K96)</f>
        <v>379560</v>
      </c>
      <c r="M96" s="13" t="n">
        <f aca="false">L96*(1+'Engineering Assumptions'!$B$10)</f>
        <v>436494</v>
      </c>
    </row>
    <row r="97" customFormat="false" ht="15" hidden="false" customHeight="true" outlineLevel="0" collapsed="false">
      <c r="A97" s="9" t="n">
        <v>87</v>
      </c>
      <c r="B97" s="43" t="s">
        <v>103</v>
      </c>
      <c r="C97" s="43" t="s">
        <v>2324</v>
      </c>
      <c r="D97" s="43" t="s">
        <v>532</v>
      </c>
      <c r="E97" s="43"/>
      <c r="F97" s="45" t="s">
        <v>380</v>
      </c>
      <c r="G97" s="9" t="n">
        <v>13</v>
      </c>
      <c r="H97" s="12" t="n">
        <f aca="false">'Engineering Cost'!H97*'Engineering Assumptions'!$B$6</f>
        <v>229200</v>
      </c>
      <c r="I97" s="12" t="n">
        <f aca="false">IF('Engineering Cost'!I97=0,0,MAX('Engineering Cost'!I97*'Engineering Assumptions'!$B$6,'Engineering Assumptions'!$B$9))</f>
        <v>78000</v>
      </c>
      <c r="J97" s="12" t="n">
        <f aca="false">'Engineering Cost'!J97*'Engineering Assumptions'!$B$6</f>
        <v>33480</v>
      </c>
      <c r="K97" s="12" t="n">
        <f aca="false">'Engineering Cost'!K97*'Engineering Assumptions'!$B$6</f>
        <v>38880</v>
      </c>
      <c r="L97" s="13" t="n">
        <f aca="false">SUM(H97:K97)</f>
        <v>379560</v>
      </c>
      <c r="M97" s="13" t="n">
        <f aca="false">L97*(1+'Engineering Assumptions'!$B$10)</f>
        <v>436494</v>
      </c>
    </row>
    <row r="98" customFormat="false" ht="15" hidden="false" customHeight="true" outlineLevel="0" collapsed="false">
      <c r="A98" s="9" t="n">
        <v>88</v>
      </c>
      <c r="B98" s="43" t="s">
        <v>103</v>
      </c>
      <c r="C98" s="43" t="s">
        <v>2325</v>
      </c>
      <c r="D98" s="43" t="s">
        <v>518</v>
      </c>
      <c r="E98" s="43"/>
      <c r="F98" s="45" t="s">
        <v>380</v>
      </c>
      <c r="G98" s="9" t="n">
        <v>13</v>
      </c>
      <c r="H98" s="12" t="n">
        <f aca="false">'Engineering Cost'!H98*'Engineering Assumptions'!$B$6</f>
        <v>229200</v>
      </c>
      <c r="I98" s="12" t="n">
        <f aca="false">IF('Engineering Cost'!I98=0,0,MAX('Engineering Cost'!I98*'Engineering Assumptions'!$B$6,'Engineering Assumptions'!$B$9))</f>
        <v>78000</v>
      </c>
      <c r="J98" s="12" t="n">
        <f aca="false">'Engineering Cost'!J98*'Engineering Assumptions'!$B$6</f>
        <v>33480</v>
      </c>
      <c r="K98" s="12" t="n">
        <f aca="false">'Engineering Cost'!K98*'Engineering Assumptions'!$B$6</f>
        <v>38880</v>
      </c>
      <c r="L98" s="13" t="n">
        <f aca="false">SUM(H98:K98)</f>
        <v>379560</v>
      </c>
      <c r="M98" s="13" t="n">
        <f aca="false">L98*(1+'Engineering Assumptions'!$B$10)</f>
        <v>436494</v>
      </c>
    </row>
    <row r="99" customFormat="false" ht="15" hidden="false" customHeight="true" outlineLevel="0" collapsed="false">
      <c r="A99" s="9" t="n">
        <v>89</v>
      </c>
      <c r="B99" s="43" t="s">
        <v>103</v>
      </c>
      <c r="C99" s="43" t="s">
        <v>2325</v>
      </c>
      <c r="D99" s="43" t="s">
        <v>533</v>
      </c>
      <c r="E99" s="43"/>
      <c r="F99" s="45" t="s">
        <v>380</v>
      </c>
      <c r="G99" s="9" t="n">
        <v>13</v>
      </c>
      <c r="H99" s="12" t="n">
        <f aca="false">'Engineering Cost'!H99*'Engineering Assumptions'!$B$6</f>
        <v>229200</v>
      </c>
      <c r="I99" s="12" t="n">
        <f aca="false">IF('Engineering Cost'!I99=0,0,MAX('Engineering Cost'!I99*'Engineering Assumptions'!$B$6,'Engineering Assumptions'!$B$9))</f>
        <v>78000</v>
      </c>
      <c r="J99" s="12" t="n">
        <f aca="false">'Engineering Cost'!J99*'Engineering Assumptions'!$B$6</f>
        <v>33480</v>
      </c>
      <c r="K99" s="12" t="n">
        <f aca="false">'Engineering Cost'!K99*'Engineering Assumptions'!$B$6</f>
        <v>38880</v>
      </c>
      <c r="L99" s="13" t="n">
        <f aca="false">SUM(H99:K99)</f>
        <v>379560</v>
      </c>
      <c r="M99" s="13" t="n">
        <f aca="false">L99*(1+'Engineering Assumptions'!$B$10)</f>
        <v>436494</v>
      </c>
    </row>
    <row r="100" customFormat="false" ht="15" hidden="false" customHeight="true" outlineLevel="0" collapsed="false">
      <c r="A100" s="9" t="n">
        <v>90</v>
      </c>
      <c r="B100" s="43" t="s">
        <v>103</v>
      </c>
      <c r="C100" s="43" t="s">
        <v>2321</v>
      </c>
      <c r="D100" s="43" t="s">
        <v>521</v>
      </c>
      <c r="E100" s="43"/>
      <c r="F100" s="45" t="s">
        <v>380</v>
      </c>
      <c r="G100" s="9" t="n">
        <v>13</v>
      </c>
      <c r="H100" s="12" t="n">
        <f aca="false">'Engineering Cost'!H100*'Engineering Assumptions'!$B$6</f>
        <v>229200</v>
      </c>
      <c r="I100" s="12" t="n">
        <f aca="false">IF('Engineering Cost'!I100=0,0,MAX('Engineering Cost'!I100*'Engineering Assumptions'!$B$6,'Engineering Assumptions'!$B$9))</f>
        <v>78000</v>
      </c>
      <c r="J100" s="12" t="n">
        <f aca="false">'Engineering Cost'!J100*'Engineering Assumptions'!$B$6</f>
        <v>33480</v>
      </c>
      <c r="K100" s="12" t="n">
        <f aca="false">'Engineering Cost'!K100*'Engineering Assumptions'!$B$6</f>
        <v>38880</v>
      </c>
      <c r="L100" s="13" t="n">
        <f aca="false">SUM(H100:K100)</f>
        <v>379560</v>
      </c>
      <c r="M100" s="13" t="n">
        <f aca="false">L100*(1+'Engineering Assumptions'!$B$10)</f>
        <v>436494</v>
      </c>
    </row>
    <row r="101" customFormat="false" ht="15" hidden="false" customHeight="true" outlineLevel="0" collapsed="false">
      <c r="A101" s="9" t="n">
        <v>91</v>
      </c>
      <c r="B101" s="43" t="s">
        <v>103</v>
      </c>
      <c r="C101" s="43" t="s">
        <v>2321</v>
      </c>
      <c r="D101" s="43" t="s">
        <v>541</v>
      </c>
      <c r="E101" s="43"/>
      <c r="F101" s="45" t="s">
        <v>380</v>
      </c>
      <c r="G101" s="9" t="n">
        <v>13</v>
      </c>
      <c r="H101" s="12" t="n">
        <f aca="false">'Engineering Cost'!H101*'Engineering Assumptions'!$B$6</f>
        <v>229200</v>
      </c>
      <c r="I101" s="12" t="n">
        <f aca="false">IF('Engineering Cost'!I101=0,0,MAX('Engineering Cost'!I101*'Engineering Assumptions'!$B$6,'Engineering Assumptions'!$B$9))</f>
        <v>78000</v>
      </c>
      <c r="J101" s="12" t="n">
        <f aca="false">'Engineering Cost'!J101*'Engineering Assumptions'!$B$6</f>
        <v>33480</v>
      </c>
      <c r="K101" s="12" t="n">
        <f aca="false">'Engineering Cost'!K101*'Engineering Assumptions'!$B$6</f>
        <v>38880</v>
      </c>
      <c r="L101" s="13" t="n">
        <f aca="false">SUM(H101:K101)</f>
        <v>379560</v>
      </c>
      <c r="M101" s="13" t="n">
        <f aca="false">L101*(1+'Engineering Assumptions'!$B$10)</f>
        <v>436494</v>
      </c>
    </row>
    <row r="102" customFormat="false" ht="15" hidden="false" customHeight="true" outlineLevel="0" collapsed="false">
      <c r="A102" s="9" t="n">
        <v>92</v>
      </c>
      <c r="B102" s="43" t="s">
        <v>103</v>
      </c>
      <c r="C102" s="43" t="s">
        <v>2326</v>
      </c>
      <c r="D102" s="43" t="s">
        <v>523</v>
      </c>
      <c r="E102" s="43"/>
      <c r="F102" s="45" t="s">
        <v>380</v>
      </c>
      <c r="G102" s="9" t="n">
        <v>13</v>
      </c>
      <c r="H102" s="12" t="n">
        <f aca="false">'Engineering Cost'!H102*'Engineering Assumptions'!$B$6</f>
        <v>229200</v>
      </c>
      <c r="I102" s="12" t="n">
        <f aca="false">IF('Engineering Cost'!I102=0,0,MAX('Engineering Cost'!I102*'Engineering Assumptions'!$B$6,'Engineering Assumptions'!$B$9))</f>
        <v>78000</v>
      </c>
      <c r="J102" s="12" t="n">
        <f aca="false">'Engineering Cost'!J102*'Engineering Assumptions'!$B$6</f>
        <v>33480</v>
      </c>
      <c r="K102" s="12" t="n">
        <f aca="false">'Engineering Cost'!K102*'Engineering Assumptions'!$B$6</f>
        <v>38880</v>
      </c>
      <c r="L102" s="13" t="n">
        <f aca="false">SUM(H102:K102)</f>
        <v>379560</v>
      </c>
      <c r="M102" s="13" t="n">
        <f aca="false">L102*(1+'Engineering Assumptions'!$B$10)</f>
        <v>436494</v>
      </c>
    </row>
    <row r="103" customFormat="false" ht="15" hidden="false" customHeight="true" outlineLevel="0" collapsed="false">
      <c r="A103" s="9" t="n">
        <v>93</v>
      </c>
      <c r="B103" s="43" t="s">
        <v>103</v>
      </c>
      <c r="C103" s="43" t="s">
        <v>2327</v>
      </c>
      <c r="D103" s="43" t="s">
        <v>525</v>
      </c>
      <c r="E103" s="43"/>
      <c r="F103" s="45" t="s">
        <v>380</v>
      </c>
      <c r="G103" s="9" t="n">
        <v>13</v>
      </c>
      <c r="H103" s="12" t="n">
        <f aca="false">'Engineering Cost'!H103*'Engineering Assumptions'!$B$6</f>
        <v>229200</v>
      </c>
      <c r="I103" s="12" t="n">
        <f aca="false">IF('Engineering Cost'!I103=0,0,MAX('Engineering Cost'!I103*'Engineering Assumptions'!$B$6,'Engineering Assumptions'!$B$9))</f>
        <v>78000</v>
      </c>
      <c r="J103" s="12" t="n">
        <f aca="false">'Engineering Cost'!J103*'Engineering Assumptions'!$B$6</f>
        <v>33480</v>
      </c>
      <c r="K103" s="12" t="n">
        <f aca="false">'Engineering Cost'!K103*'Engineering Assumptions'!$B$6</f>
        <v>38880</v>
      </c>
      <c r="L103" s="13" t="n">
        <f aca="false">SUM(H103:K103)</f>
        <v>379560</v>
      </c>
      <c r="M103" s="13" t="n">
        <f aca="false">L103*(1+'Engineering Assumptions'!$B$10)</f>
        <v>436494</v>
      </c>
    </row>
    <row r="104" customFormat="false" ht="15" hidden="false" customHeight="true" outlineLevel="0" collapsed="false">
      <c r="A104" s="9" t="n">
        <v>94</v>
      </c>
      <c r="B104" s="43" t="s">
        <v>103</v>
      </c>
      <c r="C104" s="43" t="s">
        <v>2328</v>
      </c>
      <c r="D104" s="43" t="s">
        <v>527</v>
      </c>
      <c r="E104" s="43"/>
      <c r="F104" s="45" t="s">
        <v>380</v>
      </c>
      <c r="G104" s="9" t="n">
        <v>13</v>
      </c>
      <c r="H104" s="12" t="n">
        <f aca="false">'Engineering Cost'!H104*'Engineering Assumptions'!$B$6</f>
        <v>229200</v>
      </c>
      <c r="I104" s="12" t="n">
        <f aca="false">IF('Engineering Cost'!I104=0,0,MAX('Engineering Cost'!I104*'Engineering Assumptions'!$B$6,'Engineering Assumptions'!$B$9))</f>
        <v>78000</v>
      </c>
      <c r="J104" s="12" t="n">
        <f aca="false">'Engineering Cost'!J104*'Engineering Assumptions'!$B$6</f>
        <v>33480</v>
      </c>
      <c r="K104" s="12" t="n">
        <f aca="false">'Engineering Cost'!K104*'Engineering Assumptions'!$B$6</f>
        <v>38880</v>
      </c>
      <c r="L104" s="13" t="n">
        <f aca="false">SUM(H104:K104)</f>
        <v>379560</v>
      </c>
      <c r="M104" s="13" t="n">
        <f aca="false">L104*(1+'Engineering Assumptions'!$B$10)</f>
        <v>436494</v>
      </c>
    </row>
    <row r="105" customFormat="false" ht="15" hidden="false" customHeight="true" outlineLevel="0" collapsed="false">
      <c r="A105" s="9" t="n">
        <v>95</v>
      </c>
      <c r="B105" s="43" t="s">
        <v>103</v>
      </c>
      <c r="C105" s="43" t="s">
        <v>2329</v>
      </c>
      <c r="D105" s="43" t="s">
        <v>529</v>
      </c>
      <c r="E105" s="43"/>
      <c r="F105" s="45" t="s">
        <v>380</v>
      </c>
      <c r="G105" s="9" t="n">
        <v>13</v>
      </c>
      <c r="H105" s="12" t="n">
        <f aca="false">'Engineering Cost'!H105*'Engineering Assumptions'!$B$6</f>
        <v>229200</v>
      </c>
      <c r="I105" s="12" t="n">
        <f aca="false">IF('Engineering Cost'!I105=0,0,MAX('Engineering Cost'!I105*'Engineering Assumptions'!$B$6,'Engineering Assumptions'!$B$9))</f>
        <v>78000</v>
      </c>
      <c r="J105" s="12" t="n">
        <f aca="false">'Engineering Cost'!J105*'Engineering Assumptions'!$B$6</f>
        <v>33480</v>
      </c>
      <c r="K105" s="12" t="n">
        <f aca="false">'Engineering Cost'!K105*'Engineering Assumptions'!$B$6</f>
        <v>38880</v>
      </c>
      <c r="L105" s="13" t="n">
        <f aca="false">SUM(H105:K105)</f>
        <v>379560</v>
      </c>
      <c r="M105" s="13" t="n">
        <f aca="false">L105*(1+'Engineering Assumptions'!$B$10)</f>
        <v>436494</v>
      </c>
    </row>
    <row r="106" customFormat="false" ht="15" hidden="false" customHeight="true" outlineLevel="0" collapsed="false">
      <c r="A106" s="9" t="n">
        <v>96</v>
      </c>
      <c r="B106" s="43" t="s">
        <v>103</v>
      </c>
      <c r="C106" s="43" t="s">
        <v>2313</v>
      </c>
      <c r="D106" s="43" t="s">
        <v>516</v>
      </c>
      <c r="E106" s="43"/>
      <c r="F106" s="45" t="s">
        <v>310</v>
      </c>
      <c r="G106" s="9" t="n">
        <v>14</v>
      </c>
      <c r="H106" s="12" t="n">
        <f aca="false">'Engineering Cost'!H106*'Engineering Assumptions'!$B$6</f>
        <v>229200</v>
      </c>
      <c r="I106" s="12" t="n">
        <f aca="false">IF('Engineering Cost'!I106=0,0,MAX('Engineering Cost'!I106*'Engineering Assumptions'!$B$6,'Engineering Assumptions'!$B$9))</f>
        <v>78000</v>
      </c>
      <c r="J106" s="12" t="n">
        <f aca="false">'Engineering Cost'!J106*'Engineering Assumptions'!$B$6</f>
        <v>33480</v>
      </c>
      <c r="K106" s="12" t="n">
        <f aca="false">'Engineering Cost'!K106*'Engineering Assumptions'!$B$6</f>
        <v>38880</v>
      </c>
      <c r="L106" s="13" t="n">
        <f aca="false">SUM(H106:K106)</f>
        <v>379560</v>
      </c>
      <c r="M106" s="13" t="n">
        <f aca="false">L106*(1+'Engineering Assumptions'!$B$10)</f>
        <v>436494</v>
      </c>
    </row>
    <row r="107" customFormat="false" ht="15" hidden="false" customHeight="true" outlineLevel="0" collapsed="false">
      <c r="A107" s="9" t="n">
        <v>97</v>
      </c>
      <c r="B107" s="43" t="s">
        <v>103</v>
      </c>
      <c r="C107" s="43" t="s">
        <v>2313</v>
      </c>
      <c r="D107" s="43" t="s">
        <v>542</v>
      </c>
      <c r="E107" s="43"/>
      <c r="F107" s="45" t="s">
        <v>310</v>
      </c>
      <c r="G107" s="9" t="n">
        <v>14</v>
      </c>
      <c r="H107" s="12" t="n">
        <f aca="false">'Engineering Cost'!H107*'Engineering Assumptions'!$B$6</f>
        <v>229200</v>
      </c>
      <c r="I107" s="12" t="n">
        <f aca="false">IF('Engineering Cost'!I107=0,0,MAX('Engineering Cost'!I107*'Engineering Assumptions'!$B$6,'Engineering Assumptions'!$B$9))</f>
        <v>78000</v>
      </c>
      <c r="J107" s="12" t="n">
        <f aca="false">'Engineering Cost'!J107*'Engineering Assumptions'!$B$6</f>
        <v>33480</v>
      </c>
      <c r="K107" s="12" t="n">
        <f aca="false">'Engineering Cost'!K107*'Engineering Assumptions'!$B$6</f>
        <v>38880</v>
      </c>
      <c r="L107" s="13" t="n">
        <f aca="false">SUM(H107:K107)</f>
        <v>379560</v>
      </c>
      <c r="M107" s="13" t="n">
        <f aca="false">L107*(1+'Engineering Assumptions'!$B$10)</f>
        <v>436494</v>
      </c>
    </row>
    <row r="108" customFormat="false" ht="15" hidden="false" customHeight="true" outlineLevel="0" collapsed="false">
      <c r="A108" s="9" t="n">
        <v>98</v>
      </c>
      <c r="B108" s="43" t="s">
        <v>103</v>
      </c>
      <c r="C108" s="43" t="s">
        <v>2330</v>
      </c>
      <c r="D108" s="43" t="s">
        <v>534</v>
      </c>
      <c r="E108" s="43"/>
      <c r="F108" s="45" t="s">
        <v>310</v>
      </c>
      <c r="G108" s="9" t="n">
        <v>14</v>
      </c>
      <c r="H108" s="12" t="n">
        <f aca="false">'Engineering Cost'!H108*'Engineering Assumptions'!$B$6</f>
        <v>229200</v>
      </c>
      <c r="I108" s="12" t="n">
        <f aca="false">IF('Engineering Cost'!I108=0,0,MAX('Engineering Cost'!I108*'Engineering Assumptions'!$B$6,'Engineering Assumptions'!$B$9))</f>
        <v>78000</v>
      </c>
      <c r="J108" s="12" t="n">
        <f aca="false">'Engineering Cost'!J108*'Engineering Assumptions'!$B$6</f>
        <v>33480</v>
      </c>
      <c r="K108" s="12" t="n">
        <f aca="false">'Engineering Cost'!K108*'Engineering Assumptions'!$B$6</f>
        <v>38880</v>
      </c>
      <c r="L108" s="13" t="n">
        <f aca="false">SUM(H108:K108)</f>
        <v>379560</v>
      </c>
      <c r="M108" s="13" t="n">
        <f aca="false">L108*(1+'Engineering Assumptions'!$B$10)</f>
        <v>436494</v>
      </c>
    </row>
    <row r="109" customFormat="false" ht="15" hidden="false" customHeight="true" outlineLevel="0" collapsed="false">
      <c r="A109" s="9" t="n">
        <v>99</v>
      </c>
      <c r="B109" s="43" t="s">
        <v>103</v>
      </c>
      <c r="C109" s="43" t="s">
        <v>2331</v>
      </c>
      <c r="D109" s="43" t="s">
        <v>496</v>
      </c>
      <c r="E109" s="43"/>
      <c r="F109" s="45" t="s">
        <v>310</v>
      </c>
      <c r="G109" s="9" t="n">
        <v>14</v>
      </c>
      <c r="H109" s="12" t="n">
        <f aca="false">'Engineering Cost'!H109*'Engineering Assumptions'!$B$6</f>
        <v>229200</v>
      </c>
      <c r="I109" s="12" t="n">
        <f aca="false">IF('Engineering Cost'!I109=0,0,MAX('Engineering Cost'!I109*'Engineering Assumptions'!$B$6,'Engineering Assumptions'!$B$9))</f>
        <v>78000</v>
      </c>
      <c r="J109" s="12" t="n">
        <f aca="false">'Engineering Cost'!J109*'Engineering Assumptions'!$B$6</f>
        <v>33480</v>
      </c>
      <c r="K109" s="12" t="n">
        <f aca="false">'Engineering Cost'!K109*'Engineering Assumptions'!$B$6</f>
        <v>38880</v>
      </c>
      <c r="L109" s="13" t="n">
        <f aca="false">SUM(H109:K109)</f>
        <v>379560</v>
      </c>
      <c r="M109" s="13" t="n">
        <f aca="false">L109*(1+'Engineering Assumptions'!$B$10)</f>
        <v>436494</v>
      </c>
    </row>
    <row r="110" customFormat="false" ht="15" hidden="false" customHeight="true" outlineLevel="0" collapsed="false">
      <c r="A110" s="9" t="n">
        <v>100</v>
      </c>
      <c r="B110" s="43" t="s">
        <v>103</v>
      </c>
      <c r="C110" s="43" t="s">
        <v>2313</v>
      </c>
      <c r="D110" s="43" t="s">
        <v>495</v>
      </c>
      <c r="E110" s="43"/>
      <c r="F110" s="45" t="s">
        <v>389</v>
      </c>
      <c r="G110" s="9" t="n">
        <v>16</v>
      </c>
      <c r="H110" s="12" t="n">
        <f aca="false">'Engineering Cost'!H110*'Engineering Assumptions'!$B$6</f>
        <v>229200</v>
      </c>
      <c r="I110" s="12" t="n">
        <f aca="false">IF('Engineering Cost'!I110=0,0,MAX('Engineering Cost'!I110*'Engineering Assumptions'!$B$6,'Engineering Assumptions'!$B$9))</f>
        <v>78000</v>
      </c>
      <c r="J110" s="12" t="n">
        <f aca="false">'Engineering Cost'!J110*'Engineering Assumptions'!$B$6</f>
        <v>42120</v>
      </c>
      <c r="K110" s="12" t="n">
        <f aca="false">'Engineering Cost'!K110*'Engineering Assumptions'!$B$6</f>
        <v>60480</v>
      </c>
      <c r="L110" s="13" t="n">
        <f aca="false">SUM(H110:K110)</f>
        <v>409800</v>
      </c>
      <c r="M110" s="13" t="n">
        <f aca="false">L110*(1+'Engineering Assumptions'!$B$10)</f>
        <v>471270</v>
      </c>
    </row>
    <row r="111" customFormat="false" ht="15" hidden="false" customHeight="true" outlineLevel="0" collapsed="false">
      <c r="A111" s="9" t="n">
        <v>101</v>
      </c>
      <c r="B111" s="43" t="s">
        <v>103</v>
      </c>
      <c r="C111" s="43" t="s">
        <v>2313</v>
      </c>
      <c r="D111" s="43" t="s">
        <v>511</v>
      </c>
      <c r="E111" s="43"/>
      <c r="F111" s="45" t="s">
        <v>389</v>
      </c>
      <c r="G111" s="9" t="n">
        <v>16</v>
      </c>
      <c r="H111" s="12" t="n">
        <f aca="false">'Engineering Cost'!H111*'Engineering Assumptions'!$B$6</f>
        <v>229200</v>
      </c>
      <c r="I111" s="12" t="n">
        <f aca="false">IF('Engineering Cost'!I111=0,0,MAX('Engineering Cost'!I111*'Engineering Assumptions'!$B$6,'Engineering Assumptions'!$B$9))</f>
        <v>78000</v>
      </c>
      <c r="J111" s="12" t="n">
        <f aca="false">'Engineering Cost'!J111*'Engineering Assumptions'!$B$6</f>
        <v>42120</v>
      </c>
      <c r="K111" s="12" t="n">
        <f aca="false">'Engineering Cost'!K111*'Engineering Assumptions'!$B$6</f>
        <v>60480</v>
      </c>
      <c r="L111" s="13" t="n">
        <f aca="false">SUM(H111:K111)</f>
        <v>409800</v>
      </c>
      <c r="M111" s="13" t="n">
        <f aca="false">L111*(1+'Engineering Assumptions'!$B$10)</f>
        <v>471270</v>
      </c>
    </row>
    <row r="112" customFormat="false" ht="15" hidden="false" customHeight="true" outlineLevel="0" collapsed="false">
      <c r="A112" s="9" t="n">
        <v>102</v>
      </c>
      <c r="B112" s="43" t="s">
        <v>103</v>
      </c>
      <c r="C112" s="43" t="s">
        <v>2313</v>
      </c>
      <c r="D112" s="43" t="s">
        <v>535</v>
      </c>
      <c r="E112" s="43"/>
      <c r="F112" s="45" t="s">
        <v>472</v>
      </c>
      <c r="G112" s="9" t="n">
        <v>30</v>
      </c>
      <c r="H112" s="12" t="n">
        <f aca="false">'Engineering Cost'!H112*'Engineering Assumptions'!$B$6</f>
        <v>229200</v>
      </c>
      <c r="I112" s="12" t="n">
        <f aca="false">IF('Engineering Cost'!I112=0,0,MAX('Engineering Cost'!I112*'Engineering Assumptions'!$B$6,'Engineering Assumptions'!$B$9))</f>
        <v>78000</v>
      </c>
      <c r="J112" s="12" t="n">
        <f aca="false">'Engineering Cost'!J112*'Engineering Assumptions'!$B$6</f>
        <v>51840</v>
      </c>
      <c r="K112" s="12" t="n">
        <f aca="false">'Engineering Cost'!K112*'Engineering Assumptions'!$B$6</f>
        <v>86400</v>
      </c>
      <c r="L112" s="13" t="n">
        <f aca="false">SUM(H112:K112)</f>
        <v>445440</v>
      </c>
      <c r="M112" s="13" t="n">
        <f aca="false">L112*(1+'Engineering Assumptions'!$B$10)</f>
        <v>512256</v>
      </c>
    </row>
    <row r="113" customFormat="false" ht="15" hidden="false" customHeight="true" outlineLevel="0" collapsed="false">
      <c r="A113" s="9" t="n">
        <v>103</v>
      </c>
      <c r="B113" s="43" t="s">
        <v>103</v>
      </c>
      <c r="C113" s="43" t="s">
        <v>2313</v>
      </c>
      <c r="D113" s="43" t="s">
        <v>536</v>
      </c>
      <c r="E113" s="43"/>
      <c r="F113" s="45" t="s">
        <v>472</v>
      </c>
      <c r="G113" s="9" t="n">
        <v>30</v>
      </c>
      <c r="H113" s="12" t="n">
        <f aca="false">'Engineering Cost'!H113*'Engineering Assumptions'!$B$6</f>
        <v>229200</v>
      </c>
      <c r="I113" s="12" t="n">
        <f aca="false">IF('Engineering Cost'!I113=0,0,MAX('Engineering Cost'!I113*'Engineering Assumptions'!$B$6,'Engineering Assumptions'!$B$9))</f>
        <v>78000</v>
      </c>
      <c r="J113" s="12" t="n">
        <f aca="false">'Engineering Cost'!J113*'Engineering Assumptions'!$B$6</f>
        <v>51840</v>
      </c>
      <c r="K113" s="12" t="n">
        <f aca="false">'Engineering Cost'!K113*'Engineering Assumptions'!$B$6</f>
        <v>86400</v>
      </c>
      <c r="L113" s="13" t="n">
        <f aca="false">SUM(H113:K113)</f>
        <v>445440</v>
      </c>
      <c r="M113" s="13" t="n">
        <f aca="false">L113*(1+'Engineering Assumptions'!$B$10)</f>
        <v>512256</v>
      </c>
    </row>
    <row r="114" customFormat="false" ht="15" hidden="false" customHeight="true" outlineLevel="0" collapsed="false">
      <c r="A114" s="9" t="n">
        <v>104</v>
      </c>
      <c r="B114" s="43" t="s">
        <v>103</v>
      </c>
      <c r="C114" s="43" t="s">
        <v>2313</v>
      </c>
      <c r="D114" s="43" t="s">
        <v>537</v>
      </c>
      <c r="E114" s="43"/>
      <c r="F114" s="45" t="s">
        <v>472</v>
      </c>
      <c r="G114" s="9" t="n">
        <v>30</v>
      </c>
      <c r="H114" s="12" t="n">
        <f aca="false">'Engineering Cost'!H114*'Engineering Assumptions'!$B$6</f>
        <v>229200</v>
      </c>
      <c r="I114" s="12" t="n">
        <f aca="false">IF('Engineering Cost'!I114=0,0,MAX('Engineering Cost'!I114*'Engineering Assumptions'!$B$6,'Engineering Assumptions'!$B$9))</f>
        <v>78000</v>
      </c>
      <c r="J114" s="12" t="n">
        <f aca="false">'Engineering Cost'!J114*'Engineering Assumptions'!$B$6</f>
        <v>51840</v>
      </c>
      <c r="K114" s="12" t="n">
        <f aca="false">'Engineering Cost'!K114*'Engineering Assumptions'!$B$6</f>
        <v>86400</v>
      </c>
      <c r="L114" s="13" t="n">
        <f aca="false">SUM(H114:K114)</f>
        <v>445440</v>
      </c>
      <c r="M114" s="13" t="n">
        <f aca="false">L114*(1+'Engineering Assumptions'!$B$10)</f>
        <v>512256</v>
      </c>
    </row>
    <row r="115" customFormat="false" ht="15" hidden="false" customHeight="true" outlineLevel="0" collapsed="false">
      <c r="A115" s="9" t="n">
        <v>105</v>
      </c>
      <c r="B115" s="43" t="s">
        <v>103</v>
      </c>
      <c r="C115" s="43" t="s">
        <v>2313</v>
      </c>
      <c r="D115" s="43" t="s">
        <v>544</v>
      </c>
      <c r="E115" s="43"/>
      <c r="F115" s="45" t="s">
        <v>472</v>
      </c>
      <c r="G115" s="9" t="n">
        <v>30</v>
      </c>
      <c r="H115" s="12" t="n">
        <f aca="false">'Engineering Cost'!H115*'Engineering Assumptions'!$B$6</f>
        <v>229200</v>
      </c>
      <c r="I115" s="12" t="n">
        <f aca="false">IF('Engineering Cost'!I115=0,0,MAX('Engineering Cost'!I115*'Engineering Assumptions'!$B$6,'Engineering Assumptions'!$B$9))</f>
        <v>78000</v>
      </c>
      <c r="J115" s="12" t="n">
        <f aca="false">'Engineering Cost'!J115*'Engineering Assumptions'!$B$6</f>
        <v>51840</v>
      </c>
      <c r="K115" s="12" t="n">
        <f aca="false">'Engineering Cost'!K115*'Engineering Assumptions'!$B$6</f>
        <v>86400</v>
      </c>
      <c r="L115" s="13" t="n">
        <f aca="false">SUM(H115:K115)</f>
        <v>445440</v>
      </c>
      <c r="M115" s="13" t="n">
        <f aca="false">L115*(1+'Engineering Assumptions'!$B$10)</f>
        <v>512256</v>
      </c>
    </row>
    <row r="116" customFormat="false" ht="15" hidden="false" customHeight="true" outlineLevel="0" collapsed="false">
      <c r="A116" s="9" t="n">
        <v>106</v>
      </c>
      <c r="B116" s="43" t="s">
        <v>103</v>
      </c>
      <c r="C116" s="43" t="s">
        <v>2313</v>
      </c>
      <c r="D116" s="43" t="s">
        <v>545</v>
      </c>
      <c r="E116" s="43"/>
      <c r="F116" s="45" t="s">
        <v>472</v>
      </c>
      <c r="G116" s="9" t="n">
        <v>30</v>
      </c>
      <c r="H116" s="12" t="n">
        <f aca="false">'Engineering Cost'!H116*'Engineering Assumptions'!$B$6</f>
        <v>229200</v>
      </c>
      <c r="I116" s="12" t="n">
        <f aca="false">IF('Engineering Cost'!I116=0,0,MAX('Engineering Cost'!I116*'Engineering Assumptions'!$B$6,'Engineering Assumptions'!$B$9))</f>
        <v>78000</v>
      </c>
      <c r="J116" s="12" t="n">
        <f aca="false">'Engineering Cost'!J116*'Engineering Assumptions'!$B$6</f>
        <v>51840</v>
      </c>
      <c r="K116" s="12" t="n">
        <f aca="false">'Engineering Cost'!K116*'Engineering Assumptions'!$B$6</f>
        <v>86400</v>
      </c>
      <c r="L116" s="13" t="n">
        <f aca="false">SUM(H116:K116)</f>
        <v>445440</v>
      </c>
      <c r="M116" s="13" t="n">
        <f aca="false">L116*(1+'Engineering Assumptions'!$B$10)</f>
        <v>512256</v>
      </c>
    </row>
    <row r="117" customFormat="false" ht="15" hidden="false" customHeight="true" outlineLevel="0" collapsed="false">
      <c r="A117" s="9" t="n">
        <v>107</v>
      </c>
      <c r="B117" s="43" t="s">
        <v>103</v>
      </c>
      <c r="C117" s="43" t="s">
        <v>2313</v>
      </c>
      <c r="D117" s="43" t="s">
        <v>546</v>
      </c>
      <c r="E117" s="43"/>
      <c r="F117" s="45" t="s">
        <v>472</v>
      </c>
      <c r="G117" s="9" t="n">
        <v>30</v>
      </c>
      <c r="H117" s="12" t="n">
        <f aca="false">'Engineering Cost'!H117*'Engineering Assumptions'!$B$6</f>
        <v>229200</v>
      </c>
      <c r="I117" s="12" t="n">
        <f aca="false">IF('Engineering Cost'!I117=0,0,MAX('Engineering Cost'!I117*'Engineering Assumptions'!$B$6,'Engineering Assumptions'!$B$9))</f>
        <v>78000</v>
      </c>
      <c r="J117" s="12" t="n">
        <f aca="false">'Engineering Cost'!J117*'Engineering Assumptions'!$B$6</f>
        <v>51840</v>
      </c>
      <c r="K117" s="12" t="n">
        <f aca="false">'Engineering Cost'!K117*'Engineering Assumptions'!$B$6</f>
        <v>86400</v>
      </c>
      <c r="L117" s="13" t="n">
        <f aca="false">SUM(H117:K117)</f>
        <v>445440</v>
      </c>
      <c r="M117" s="13" t="n">
        <f aca="false">L117*(1+'Engineering Assumptions'!$B$10)</f>
        <v>512256</v>
      </c>
    </row>
    <row r="118" customFormat="false" ht="15" hidden="false" customHeight="true" outlineLevel="0" collapsed="false">
      <c r="A118" s="9" t="n">
        <v>108</v>
      </c>
      <c r="B118" s="43" t="s">
        <v>103</v>
      </c>
      <c r="C118" s="43" t="s">
        <v>2313</v>
      </c>
      <c r="D118" s="43" t="s">
        <v>548</v>
      </c>
      <c r="E118" s="43"/>
      <c r="F118" s="45" t="s">
        <v>472</v>
      </c>
      <c r="G118" s="9" t="n">
        <v>30</v>
      </c>
      <c r="H118" s="12" t="n">
        <f aca="false">'Engineering Cost'!H118*'Engineering Assumptions'!$B$6</f>
        <v>229200</v>
      </c>
      <c r="I118" s="12" t="n">
        <f aca="false">IF('Engineering Cost'!I118=0,0,MAX('Engineering Cost'!I118*'Engineering Assumptions'!$B$6,'Engineering Assumptions'!$B$9))</f>
        <v>78000</v>
      </c>
      <c r="J118" s="12" t="n">
        <f aca="false">'Engineering Cost'!J118*'Engineering Assumptions'!$B$6</f>
        <v>51840</v>
      </c>
      <c r="K118" s="12" t="n">
        <f aca="false">'Engineering Cost'!K118*'Engineering Assumptions'!$B$6</f>
        <v>86400</v>
      </c>
      <c r="L118" s="13" t="n">
        <f aca="false">SUM(H118:K118)</f>
        <v>445440</v>
      </c>
      <c r="M118" s="13" t="n">
        <f aca="false">L118*(1+'Engineering Assumptions'!$B$10)</f>
        <v>512256</v>
      </c>
    </row>
    <row r="119" customFormat="false" ht="15" hidden="false" customHeight="true" outlineLevel="0" collapsed="false">
      <c r="A119" s="9" t="n">
        <v>109</v>
      </c>
      <c r="B119" s="43" t="s">
        <v>103</v>
      </c>
      <c r="C119" s="43" t="s">
        <v>2313</v>
      </c>
      <c r="D119" s="43" t="s">
        <v>549</v>
      </c>
      <c r="E119" s="43"/>
      <c r="F119" s="45" t="s">
        <v>472</v>
      </c>
      <c r="G119" s="9" t="n">
        <v>30</v>
      </c>
      <c r="H119" s="12" t="n">
        <f aca="false">'Engineering Cost'!H119*'Engineering Assumptions'!$B$6</f>
        <v>229200</v>
      </c>
      <c r="I119" s="12" t="n">
        <f aca="false">IF('Engineering Cost'!I119=0,0,MAX('Engineering Cost'!I119*'Engineering Assumptions'!$B$6,'Engineering Assumptions'!$B$9))</f>
        <v>78000</v>
      </c>
      <c r="J119" s="12" t="n">
        <f aca="false">'Engineering Cost'!J119*'Engineering Assumptions'!$B$6</f>
        <v>51840</v>
      </c>
      <c r="K119" s="12" t="n">
        <f aca="false">'Engineering Cost'!K119*'Engineering Assumptions'!$B$6</f>
        <v>86400</v>
      </c>
      <c r="L119" s="13" t="n">
        <f aca="false">SUM(H119:K119)</f>
        <v>445440</v>
      </c>
      <c r="M119" s="13" t="n">
        <f aca="false">L119*(1+'Engineering Assumptions'!$B$10)</f>
        <v>512256</v>
      </c>
    </row>
    <row r="120" customFormat="false" ht="15" hidden="false" customHeight="true" outlineLevel="0" collapsed="false">
      <c r="A120" s="9" t="n">
        <v>110</v>
      </c>
      <c r="B120" s="43" t="s">
        <v>103</v>
      </c>
      <c r="C120" s="43" t="s">
        <v>2313</v>
      </c>
      <c r="D120" s="43" t="s">
        <v>550</v>
      </c>
      <c r="E120" s="43"/>
      <c r="F120" s="45" t="s">
        <v>472</v>
      </c>
      <c r="G120" s="9" t="n">
        <v>30</v>
      </c>
      <c r="H120" s="12" t="n">
        <f aca="false">'Engineering Cost'!H120*'Engineering Assumptions'!$B$6</f>
        <v>229200</v>
      </c>
      <c r="I120" s="12" t="n">
        <f aca="false">IF('Engineering Cost'!I120=0,0,MAX('Engineering Cost'!I120*'Engineering Assumptions'!$B$6,'Engineering Assumptions'!$B$9))</f>
        <v>78000</v>
      </c>
      <c r="J120" s="12" t="n">
        <f aca="false">'Engineering Cost'!J120*'Engineering Assumptions'!$B$6</f>
        <v>51840</v>
      </c>
      <c r="K120" s="12" t="n">
        <f aca="false">'Engineering Cost'!K120*'Engineering Assumptions'!$B$6</f>
        <v>86400</v>
      </c>
      <c r="L120" s="13" t="n">
        <f aca="false">SUM(H120:K120)</f>
        <v>445440</v>
      </c>
      <c r="M120" s="13" t="n">
        <f aca="false">L120*(1+'Engineering Assumptions'!$B$10)</f>
        <v>512256</v>
      </c>
    </row>
    <row r="121" customFormat="false" ht="15" hidden="false" customHeight="true" outlineLevel="0" collapsed="false">
      <c r="A121" s="9" t="n">
        <v>111</v>
      </c>
      <c r="B121" s="43" t="s">
        <v>103</v>
      </c>
      <c r="C121" s="43" t="s">
        <v>2313</v>
      </c>
      <c r="D121" s="43" t="s">
        <v>551</v>
      </c>
      <c r="E121" s="43"/>
      <c r="F121" s="45" t="s">
        <v>472</v>
      </c>
      <c r="G121" s="9" t="n">
        <v>30</v>
      </c>
      <c r="H121" s="12" t="n">
        <f aca="false">'Engineering Cost'!H121*'Engineering Assumptions'!$B$6</f>
        <v>229200</v>
      </c>
      <c r="I121" s="12" t="n">
        <f aca="false">IF('Engineering Cost'!I121=0,0,MAX('Engineering Cost'!I121*'Engineering Assumptions'!$B$6,'Engineering Assumptions'!$B$9))</f>
        <v>78000</v>
      </c>
      <c r="J121" s="12" t="n">
        <f aca="false">'Engineering Cost'!J121*'Engineering Assumptions'!$B$6</f>
        <v>51840</v>
      </c>
      <c r="K121" s="12" t="n">
        <f aca="false">'Engineering Cost'!K121*'Engineering Assumptions'!$B$6</f>
        <v>86400</v>
      </c>
      <c r="L121" s="13" t="n">
        <f aca="false">SUM(H121:K121)</f>
        <v>445440</v>
      </c>
      <c r="M121" s="13" t="n">
        <f aca="false">L121*(1+'Engineering Assumptions'!$B$10)</f>
        <v>512256</v>
      </c>
    </row>
    <row r="122" customFormat="false" ht="15" hidden="false" customHeight="true" outlineLevel="0" collapsed="false">
      <c r="A122" s="9" t="n">
        <v>112</v>
      </c>
      <c r="B122" s="43" t="s">
        <v>103</v>
      </c>
      <c r="C122" s="43" t="s">
        <v>2313</v>
      </c>
      <c r="D122" s="43" t="s">
        <v>552</v>
      </c>
      <c r="E122" s="43"/>
      <c r="F122" s="45" t="s">
        <v>472</v>
      </c>
      <c r="G122" s="9" t="n">
        <v>30</v>
      </c>
      <c r="H122" s="12" t="n">
        <f aca="false">'Engineering Cost'!H122*'Engineering Assumptions'!$B$6</f>
        <v>229200</v>
      </c>
      <c r="I122" s="12" t="n">
        <f aca="false">IF('Engineering Cost'!I122=0,0,MAX('Engineering Cost'!I122*'Engineering Assumptions'!$B$6,'Engineering Assumptions'!$B$9))</f>
        <v>78000</v>
      </c>
      <c r="J122" s="12" t="n">
        <f aca="false">'Engineering Cost'!J122*'Engineering Assumptions'!$B$6</f>
        <v>51840</v>
      </c>
      <c r="K122" s="12" t="n">
        <f aca="false">'Engineering Cost'!K122*'Engineering Assumptions'!$B$6</f>
        <v>86400</v>
      </c>
      <c r="L122" s="13" t="n">
        <f aca="false">SUM(H122:K122)</f>
        <v>445440</v>
      </c>
      <c r="M122" s="13" t="n">
        <f aca="false">L122*(1+'Engineering Assumptions'!$B$10)</f>
        <v>512256</v>
      </c>
    </row>
    <row r="123" customFormat="false" ht="15" hidden="false" customHeight="true" outlineLevel="0" collapsed="false">
      <c r="A123" s="9" t="n">
        <v>113</v>
      </c>
      <c r="B123" s="43" t="s">
        <v>103</v>
      </c>
      <c r="C123" s="43" t="s">
        <v>2313</v>
      </c>
      <c r="D123" s="43" t="s">
        <v>554</v>
      </c>
      <c r="E123" s="43"/>
      <c r="F123" s="45" t="s">
        <v>472</v>
      </c>
      <c r="G123" s="9" t="n">
        <v>30</v>
      </c>
      <c r="H123" s="12" t="n">
        <f aca="false">'Engineering Cost'!H123*'Engineering Assumptions'!$B$6</f>
        <v>229200</v>
      </c>
      <c r="I123" s="12" t="n">
        <f aca="false">IF('Engineering Cost'!I123=0,0,MAX('Engineering Cost'!I123*'Engineering Assumptions'!$B$6,'Engineering Assumptions'!$B$9))</f>
        <v>78000</v>
      </c>
      <c r="J123" s="12" t="n">
        <f aca="false">'Engineering Cost'!J123*'Engineering Assumptions'!$B$6</f>
        <v>51840</v>
      </c>
      <c r="K123" s="12" t="n">
        <f aca="false">'Engineering Cost'!K123*'Engineering Assumptions'!$B$6</f>
        <v>86400</v>
      </c>
      <c r="L123" s="13" t="n">
        <f aca="false">SUM(H123:K123)</f>
        <v>445440</v>
      </c>
      <c r="M123" s="13" t="n">
        <f aca="false">L123*(1+'Engineering Assumptions'!$B$10)</f>
        <v>512256</v>
      </c>
    </row>
    <row r="124" customFormat="false" ht="15" hidden="false" customHeight="true" outlineLevel="0" collapsed="false">
      <c r="A124" s="9" t="n">
        <v>114</v>
      </c>
      <c r="B124" s="43" t="s">
        <v>103</v>
      </c>
      <c r="C124" s="43" t="s">
        <v>2313</v>
      </c>
      <c r="D124" s="43" t="s">
        <v>555</v>
      </c>
      <c r="E124" s="43"/>
      <c r="F124" s="45" t="s">
        <v>472</v>
      </c>
      <c r="G124" s="9" t="n">
        <v>30</v>
      </c>
      <c r="H124" s="12" t="n">
        <f aca="false">'Engineering Cost'!H124*'Engineering Assumptions'!$B$6</f>
        <v>229200</v>
      </c>
      <c r="I124" s="12" t="n">
        <f aca="false">IF('Engineering Cost'!I124=0,0,MAX('Engineering Cost'!I124*'Engineering Assumptions'!$B$6,'Engineering Assumptions'!$B$9))</f>
        <v>78000</v>
      </c>
      <c r="J124" s="12" t="n">
        <f aca="false">'Engineering Cost'!J124*'Engineering Assumptions'!$B$6</f>
        <v>51840</v>
      </c>
      <c r="K124" s="12" t="n">
        <f aca="false">'Engineering Cost'!K124*'Engineering Assumptions'!$B$6</f>
        <v>86400</v>
      </c>
      <c r="L124" s="13" t="n">
        <f aca="false">SUM(H124:K124)</f>
        <v>445440</v>
      </c>
      <c r="M124" s="13" t="n">
        <f aca="false">L124*(1+'Engineering Assumptions'!$B$10)</f>
        <v>512256</v>
      </c>
    </row>
    <row r="125" customFormat="false" ht="15" hidden="false" customHeight="true" outlineLevel="0" collapsed="false">
      <c r="A125" s="9" t="n">
        <v>115</v>
      </c>
      <c r="B125" s="43" t="s">
        <v>103</v>
      </c>
      <c r="C125" s="43" t="s">
        <v>2313</v>
      </c>
      <c r="D125" s="43" t="s">
        <v>556</v>
      </c>
      <c r="E125" s="43"/>
      <c r="F125" s="45" t="s">
        <v>472</v>
      </c>
      <c r="G125" s="9" t="n">
        <v>30</v>
      </c>
      <c r="H125" s="12" t="n">
        <f aca="false">'Engineering Cost'!H125*'Engineering Assumptions'!$B$6</f>
        <v>229200</v>
      </c>
      <c r="I125" s="12" t="n">
        <f aca="false">IF('Engineering Cost'!I125=0,0,MAX('Engineering Cost'!I125*'Engineering Assumptions'!$B$6,'Engineering Assumptions'!$B$9))</f>
        <v>78000</v>
      </c>
      <c r="J125" s="12" t="n">
        <f aca="false">'Engineering Cost'!J125*'Engineering Assumptions'!$B$6</f>
        <v>51840</v>
      </c>
      <c r="K125" s="12" t="n">
        <f aca="false">'Engineering Cost'!K125*'Engineering Assumptions'!$B$6</f>
        <v>86400</v>
      </c>
      <c r="L125" s="13" t="n">
        <f aca="false">SUM(H125:K125)</f>
        <v>445440</v>
      </c>
      <c r="M125" s="13" t="n">
        <f aca="false">L125*(1+'Engineering Assumptions'!$B$10)</f>
        <v>512256</v>
      </c>
    </row>
    <row r="126" customFormat="false" ht="15" hidden="false" customHeight="true" outlineLevel="0" collapsed="false">
      <c r="A126" s="9" t="n">
        <v>116</v>
      </c>
      <c r="B126" s="43" t="s">
        <v>103</v>
      </c>
      <c r="C126" s="43" t="s">
        <v>2313</v>
      </c>
      <c r="D126" s="43" t="s">
        <v>557</v>
      </c>
      <c r="E126" s="43"/>
      <c r="F126" s="45" t="s">
        <v>472</v>
      </c>
      <c r="G126" s="9" t="n">
        <v>30</v>
      </c>
      <c r="H126" s="12" t="n">
        <f aca="false">'Engineering Cost'!H126*'Engineering Assumptions'!$B$6</f>
        <v>229200</v>
      </c>
      <c r="I126" s="12" t="n">
        <f aca="false">IF('Engineering Cost'!I126=0,0,MAX('Engineering Cost'!I126*'Engineering Assumptions'!$B$6,'Engineering Assumptions'!$B$9))</f>
        <v>78000</v>
      </c>
      <c r="J126" s="12" t="n">
        <f aca="false">'Engineering Cost'!J126*'Engineering Assumptions'!$B$6</f>
        <v>51840</v>
      </c>
      <c r="K126" s="12" t="n">
        <f aca="false">'Engineering Cost'!K126*'Engineering Assumptions'!$B$6</f>
        <v>86400</v>
      </c>
      <c r="L126" s="13" t="n">
        <f aca="false">SUM(H126:K126)</f>
        <v>445440</v>
      </c>
      <c r="M126" s="13" t="n">
        <f aca="false">L126*(1+'Engineering Assumptions'!$B$10)</f>
        <v>512256</v>
      </c>
    </row>
    <row r="127" customFormat="false" ht="15" hidden="false" customHeight="true" outlineLevel="0" collapsed="false">
      <c r="A127" s="9" t="n">
        <v>117</v>
      </c>
      <c r="B127" s="43" t="s">
        <v>103</v>
      </c>
      <c r="C127" s="43" t="s">
        <v>2313</v>
      </c>
      <c r="D127" s="43" t="s">
        <v>558</v>
      </c>
      <c r="E127" s="43"/>
      <c r="F127" s="45" t="s">
        <v>472</v>
      </c>
      <c r="G127" s="9" t="n">
        <v>30</v>
      </c>
      <c r="H127" s="12" t="n">
        <f aca="false">'Engineering Cost'!H127*'Engineering Assumptions'!$B$6</f>
        <v>229200</v>
      </c>
      <c r="I127" s="12" t="n">
        <f aca="false">IF('Engineering Cost'!I127=0,0,MAX('Engineering Cost'!I127*'Engineering Assumptions'!$B$6,'Engineering Assumptions'!$B$9))</f>
        <v>78000</v>
      </c>
      <c r="J127" s="12" t="n">
        <f aca="false">'Engineering Cost'!J127*'Engineering Assumptions'!$B$6</f>
        <v>51840</v>
      </c>
      <c r="K127" s="12" t="n">
        <f aca="false">'Engineering Cost'!K127*'Engineering Assumptions'!$B$6</f>
        <v>86400</v>
      </c>
      <c r="L127" s="13" t="n">
        <f aca="false">SUM(H127:K127)</f>
        <v>445440</v>
      </c>
      <c r="M127" s="13" t="n">
        <f aca="false">L127*(1+'Engineering Assumptions'!$B$10)</f>
        <v>512256</v>
      </c>
    </row>
    <row r="128" customFormat="false" ht="15" hidden="false" customHeight="true" outlineLevel="0" collapsed="false">
      <c r="A128" s="9" t="n">
        <v>118</v>
      </c>
      <c r="B128" s="43" t="s">
        <v>103</v>
      </c>
      <c r="C128" s="43" t="s">
        <v>2313</v>
      </c>
      <c r="D128" s="43" t="s">
        <v>559</v>
      </c>
      <c r="E128" s="43"/>
      <c r="F128" s="45" t="s">
        <v>472</v>
      </c>
      <c r="G128" s="9" t="n">
        <v>30</v>
      </c>
      <c r="H128" s="12" t="n">
        <f aca="false">'Engineering Cost'!H128*'Engineering Assumptions'!$B$6</f>
        <v>229200</v>
      </c>
      <c r="I128" s="12" t="n">
        <f aca="false">IF('Engineering Cost'!I128=0,0,MAX('Engineering Cost'!I128*'Engineering Assumptions'!$B$6,'Engineering Assumptions'!$B$9))</f>
        <v>78000</v>
      </c>
      <c r="J128" s="12" t="n">
        <f aca="false">'Engineering Cost'!J128*'Engineering Assumptions'!$B$6</f>
        <v>51840</v>
      </c>
      <c r="K128" s="12" t="n">
        <f aca="false">'Engineering Cost'!K128*'Engineering Assumptions'!$B$6</f>
        <v>86400</v>
      </c>
      <c r="L128" s="13" t="n">
        <f aca="false">SUM(H128:K128)</f>
        <v>445440</v>
      </c>
      <c r="M128" s="13" t="n">
        <f aca="false">L128*(1+'Engineering Assumptions'!$B$10)</f>
        <v>512256</v>
      </c>
    </row>
    <row r="129" customFormat="false" ht="15" hidden="false" customHeight="true" outlineLevel="0" collapsed="false">
      <c r="A129" s="9" t="n">
        <v>119</v>
      </c>
      <c r="B129" s="43" t="s">
        <v>103</v>
      </c>
      <c r="C129" s="43" t="s">
        <v>2313</v>
      </c>
      <c r="D129" s="43" t="s">
        <v>560</v>
      </c>
      <c r="E129" s="43"/>
      <c r="F129" s="45" t="s">
        <v>472</v>
      </c>
      <c r="G129" s="9" t="n">
        <v>30</v>
      </c>
      <c r="H129" s="12" t="n">
        <f aca="false">'Engineering Cost'!H129*'Engineering Assumptions'!$B$6</f>
        <v>229200</v>
      </c>
      <c r="I129" s="12" t="n">
        <f aca="false">IF('Engineering Cost'!I129=0,0,MAX('Engineering Cost'!I129*'Engineering Assumptions'!$B$6,'Engineering Assumptions'!$B$9))</f>
        <v>78000</v>
      </c>
      <c r="J129" s="12" t="n">
        <f aca="false">'Engineering Cost'!J129*'Engineering Assumptions'!$B$6</f>
        <v>51840</v>
      </c>
      <c r="K129" s="12" t="n">
        <f aca="false">'Engineering Cost'!K129*'Engineering Assumptions'!$B$6</f>
        <v>86400</v>
      </c>
      <c r="L129" s="13" t="n">
        <f aca="false">SUM(H129:K129)</f>
        <v>445440</v>
      </c>
      <c r="M129" s="13" t="n">
        <f aca="false">L129*(1+'Engineering Assumptions'!$B$10)</f>
        <v>512256</v>
      </c>
    </row>
    <row r="130" customFormat="false" ht="15" hidden="false" customHeight="true" outlineLevel="0" collapsed="false">
      <c r="A130" s="9" t="n">
        <v>120</v>
      </c>
      <c r="B130" s="43" t="s">
        <v>103</v>
      </c>
      <c r="C130" s="43" t="s">
        <v>2313</v>
      </c>
      <c r="D130" s="43" t="s">
        <v>561</v>
      </c>
      <c r="E130" s="43"/>
      <c r="F130" s="45" t="s">
        <v>472</v>
      </c>
      <c r="G130" s="9" t="n">
        <v>30</v>
      </c>
      <c r="H130" s="12" t="n">
        <f aca="false">'Engineering Cost'!H130*'Engineering Assumptions'!$B$6</f>
        <v>229200</v>
      </c>
      <c r="I130" s="12" t="n">
        <f aca="false">IF('Engineering Cost'!I130=0,0,MAX('Engineering Cost'!I130*'Engineering Assumptions'!$B$6,'Engineering Assumptions'!$B$9))</f>
        <v>78000</v>
      </c>
      <c r="J130" s="12" t="n">
        <f aca="false">'Engineering Cost'!J130*'Engineering Assumptions'!$B$6</f>
        <v>51840</v>
      </c>
      <c r="K130" s="12" t="n">
        <f aca="false">'Engineering Cost'!K130*'Engineering Assumptions'!$B$6</f>
        <v>86400</v>
      </c>
      <c r="L130" s="13" t="n">
        <f aca="false">SUM(H130:K130)</f>
        <v>445440</v>
      </c>
      <c r="M130" s="13" t="n">
        <f aca="false">L130*(1+'Engineering Assumptions'!$B$10)</f>
        <v>512256</v>
      </c>
    </row>
    <row r="131" customFormat="false" ht="15" hidden="false" customHeight="true" outlineLevel="0" collapsed="false">
      <c r="A131" s="9" t="n">
        <v>121</v>
      </c>
      <c r="B131" s="43" t="s">
        <v>103</v>
      </c>
      <c r="C131" s="43" t="s">
        <v>2313</v>
      </c>
      <c r="D131" s="43" t="s">
        <v>562</v>
      </c>
      <c r="E131" s="43"/>
      <c r="F131" s="45" t="s">
        <v>472</v>
      </c>
      <c r="G131" s="9" t="n">
        <v>30</v>
      </c>
      <c r="H131" s="12" t="n">
        <f aca="false">'Engineering Cost'!H131*'Engineering Assumptions'!$B$6</f>
        <v>229200</v>
      </c>
      <c r="I131" s="12" t="n">
        <f aca="false">IF('Engineering Cost'!I131=0,0,MAX('Engineering Cost'!I131*'Engineering Assumptions'!$B$6,'Engineering Assumptions'!$B$9))</f>
        <v>78000</v>
      </c>
      <c r="J131" s="12" t="n">
        <f aca="false">'Engineering Cost'!J131*'Engineering Assumptions'!$B$6</f>
        <v>51840</v>
      </c>
      <c r="K131" s="12" t="n">
        <f aca="false">'Engineering Cost'!K131*'Engineering Assumptions'!$B$6</f>
        <v>86400</v>
      </c>
      <c r="L131" s="13" t="n">
        <f aca="false">SUM(H131:K131)</f>
        <v>445440</v>
      </c>
      <c r="M131" s="13" t="n">
        <f aca="false">L131*(1+'Engineering Assumptions'!$B$10)</f>
        <v>512256</v>
      </c>
    </row>
    <row r="132" customFormat="false" ht="15" hidden="false" customHeight="true" outlineLevel="0" collapsed="false">
      <c r="A132" s="9" t="n">
        <v>122</v>
      </c>
      <c r="B132" s="43" t="s">
        <v>103</v>
      </c>
      <c r="C132" s="43" t="s">
        <v>2313</v>
      </c>
      <c r="D132" s="43" t="s">
        <v>563</v>
      </c>
      <c r="E132" s="43"/>
      <c r="F132" s="45" t="s">
        <v>472</v>
      </c>
      <c r="G132" s="9" t="n">
        <v>30</v>
      </c>
      <c r="H132" s="12" t="n">
        <f aca="false">'Engineering Cost'!H132*'Engineering Assumptions'!$B$6</f>
        <v>229200</v>
      </c>
      <c r="I132" s="12" t="n">
        <f aca="false">IF('Engineering Cost'!I132=0,0,MAX('Engineering Cost'!I132*'Engineering Assumptions'!$B$6,'Engineering Assumptions'!$B$9))</f>
        <v>78000</v>
      </c>
      <c r="J132" s="12" t="n">
        <f aca="false">'Engineering Cost'!J132*'Engineering Assumptions'!$B$6</f>
        <v>51840</v>
      </c>
      <c r="K132" s="12" t="n">
        <f aca="false">'Engineering Cost'!K132*'Engineering Assumptions'!$B$6</f>
        <v>86400</v>
      </c>
      <c r="L132" s="13" t="n">
        <f aca="false">SUM(H132:K132)</f>
        <v>445440</v>
      </c>
      <c r="M132" s="13" t="n">
        <f aca="false">L132*(1+'Engineering Assumptions'!$B$10)</f>
        <v>512256</v>
      </c>
    </row>
    <row r="133" customFormat="false" ht="15" hidden="false" customHeight="true" outlineLevel="0" collapsed="false">
      <c r="A133" s="9" t="n">
        <v>123</v>
      </c>
      <c r="B133" s="43" t="s">
        <v>103</v>
      </c>
      <c r="C133" s="43" t="s">
        <v>2313</v>
      </c>
      <c r="D133" s="43" t="s">
        <v>564</v>
      </c>
      <c r="E133" s="43"/>
      <c r="F133" s="45" t="s">
        <v>472</v>
      </c>
      <c r="G133" s="9" t="n">
        <v>30</v>
      </c>
      <c r="H133" s="12" t="n">
        <f aca="false">'Engineering Cost'!H133*'Engineering Assumptions'!$B$6</f>
        <v>229200</v>
      </c>
      <c r="I133" s="12" t="n">
        <f aca="false">IF('Engineering Cost'!I133=0,0,MAX('Engineering Cost'!I133*'Engineering Assumptions'!$B$6,'Engineering Assumptions'!$B$9))</f>
        <v>78000</v>
      </c>
      <c r="J133" s="12" t="n">
        <f aca="false">'Engineering Cost'!J133*'Engineering Assumptions'!$B$6</f>
        <v>51840</v>
      </c>
      <c r="K133" s="12" t="n">
        <f aca="false">'Engineering Cost'!K133*'Engineering Assumptions'!$B$6</f>
        <v>86400</v>
      </c>
      <c r="L133" s="13" t="n">
        <f aca="false">SUM(H133:K133)</f>
        <v>445440</v>
      </c>
      <c r="M133" s="13" t="n">
        <f aca="false">L133*(1+'Engineering Assumptions'!$B$10)</f>
        <v>512256</v>
      </c>
    </row>
    <row r="134" customFormat="false" ht="15" hidden="false" customHeight="true" outlineLevel="0" collapsed="false">
      <c r="A134" s="9" t="n">
        <v>124</v>
      </c>
      <c r="B134" s="43" t="s">
        <v>103</v>
      </c>
      <c r="C134" s="43" t="s">
        <v>2313</v>
      </c>
      <c r="D134" s="43" t="s">
        <v>566</v>
      </c>
      <c r="E134" s="43"/>
      <c r="F134" s="45" t="s">
        <v>472</v>
      </c>
      <c r="G134" s="9" t="n">
        <v>30</v>
      </c>
      <c r="H134" s="12" t="n">
        <f aca="false">'Engineering Cost'!H134*'Engineering Assumptions'!$B$6</f>
        <v>229200</v>
      </c>
      <c r="I134" s="12" t="n">
        <f aca="false">IF('Engineering Cost'!I134=0,0,MAX('Engineering Cost'!I134*'Engineering Assumptions'!$B$6,'Engineering Assumptions'!$B$9))</f>
        <v>78000</v>
      </c>
      <c r="J134" s="12" t="n">
        <f aca="false">'Engineering Cost'!J134*'Engineering Assumptions'!$B$6</f>
        <v>51840</v>
      </c>
      <c r="K134" s="12" t="n">
        <f aca="false">'Engineering Cost'!K134*'Engineering Assumptions'!$B$6</f>
        <v>86400</v>
      </c>
      <c r="L134" s="13" t="n">
        <f aca="false">SUM(H134:K134)</f>
        <v>445440</v>
      </c>
      <c r="M134" s="13" t="n">
        <f aca="false">L134*(1+'Engineering Assumptions'!$B$10)</f>
        <v>512256</v>
      </c>
    </row>
    <row r="135" customFormat="false" ht="15" hidden="false" customHeight="true" outlineLevel="0" collapsed="false">
      <c r="A135" s="9" t="n">
        <v>125</v>
      </c>
      <c r="B135" s="43" t="s">
        <v>103</v>
      </c>
      <c r="C135" s="43" t="s">
        <v>2313</v>
      </c>
      <c r="D135" s="43" t="s">
        <v>567</v>
      </c>
      <c r="E135" s="43"/>
      <c r="F135" s="45" t="s">
        <v>472</v>
      </c>
      <c r="G135" s="9" t="n">
        <v>30</v>
      </c>
      <c r="H135" s="12" t="n">
        <f aca="false">'Engineering Cost'!H135*'Engineering Assumptions'!$B$6</f>
        <v>229200</v>
      </c>
      <c r="I135" s="12" t="n">
        <f aca="false">IF('Engineering Cost'!I135=0,0,MAX('Engineering Cost'!I135*'Engineering Assumptions'!$B$6,'Engineering Assumptions'!$B$9))</f>
        <v>78000</v>
      </c>
      <c r="J135" s="12" t="n">
        <f aca="false">'Engineering Cost'!J135*'Engineering Assumptions'!$B$6</f>
        <v>51840</v>
      </c>
      <c r="K135" s="12" t="n">
        <f aca="false">'Engineering Cost'!K135*'Engineering Assumptions'!$B$6</f>
        <v>86400</v>
      </c>
      <c r="L135" s="13" t="n">
        <f aca="false">SUM(H135:K135)</f>
        <v>445440</v>
      </c>
      <c r="M135" s="13" t="n">
        <f aca="false">L135*(1+'Engineering Assumptions'!$B$10)</f>
        <v>512256</v>
      </c>
    </row>
    <row r="136" customFormat="false" ht="15" hidden="false" customHeight="true" outlineLevel="0" collapsed="false">
      <c r="A136" s="9" t="n">
        <v>126</v>
      </c>
      <c r="B136" s="43" t="s">
        <v>103</v>
      </c>
      <c r="C136" s="43" t="s">
        <v>2313</v>
      </c>
      <c r="D136" s="43" t="s">
        <v>568</v>
      </c>
      <c r="E136" s="43"/>
      <c r="F136" s="45" t="s">
        <v>472</v>
      </c>
      <c r="G136" s="9" t="n">
        <v>30</v>
      </c>
      <c r="H136" s="12" t="n">
        <f aca="false">'Engineering Cost'!H136*'Engineering Assumptions'!$B$6</f>
        <v>229200</v>
      </c>
      <c r="I136" s="12" t="n">
        <f aca="false">IF('Engineering Cost'!I136=0,0,MAX('Engineering Cost'!I136*'Engineering Assumptions'!$B$6,'Engineering Assumptions'!$B$9))</f>
        <v>78000</v>
      </c>
      <c r="J136" s="12" t="n">
        <f aca="false">'Engineering Cost'!J136*'Engineering Assumptions'!$B$6</f>
        <v>51840</v>
      </c>
      <c r="K136" s="12" t="n">
        <f aca="false">'Engineering Cost'!K136*'Engineering Assumptions'!$B$6</f>
        <v>86400</v>
      </c>
      <c r="L136" s="13" t="n">
        <f aca="false">SUM(H136:K136)</f>
        <v>445440</v>
      </c>
      <c r="M136" s="13" t="n">
        <f aca="false">L136*(1+'Engineering Assumptions'!$B$10)</f>
        <v>512256</v>
      </c>
    </row>
    <row r="137" customFormat="false" ht="15" hidden="false" customHeight="true" outlineLevel="0" collapsed="false">
      <c r="A137" s="9" t="n">
        <v>127</v>
      </c>
      <c r="B137" s="43" t="s">
        <v>103</v>
      </c>
      <c r="C137" s="43" t="s">
        <v>2313</v>
      </c>
      <c r="D137" s="43" t="s">
        <v>569</v>
      </c>
      <c r="E137" s="43"/>
      <c r="F137" s="45" t="s">
        <v>472</v>
      </c>
      <c r="G137" s="9" t="n">
        <v>30</v>
      </c>
      <c r="H137" s="12" t="n">
        <f aca="false">'Engineering Cost'!H137*'Engineering Assumptions'!$B$6</f>
        <v>229200</v>
      </c>
      <c r="I137" s="12" t="n">
        <f aca="false">IF('Engineering Cost'!I137=0,0,MAX('Engineering Cost'!I137*'Engineering Assumptions'!$B$6,'Engineering Assumptions'!$B$9))</f>
        <v>78000</v>
      </c>
      <c r="J137" s="12" t="n">
        <f aca="false">'Engineering Cost'!J137*'Engineering Assumptions'!$B$6</f>
        <v>51840</v>
      </c>
      <c r="K137" s="12" t="n">
        <f aca="false">'Engineering Cost'!K137*'Engineering Assumptions'!$B$6</f>
        <v>86400</v>
      </c>
      <c r="L137" s="13" t="n">
        <f aca="false">SUM(H137:K137)</f>
        <v>445440</v>
      </c>
      <c r="M137" s="13" t="n">
        <f aca="false">L137*(1+'Engineering Assumptions'!$B$10)</f>
        <v>512256</v>
      </c>
    </row>
    <row r="138" customFormat="false" ht="15" hidden="false" customHeight="true" outlineLevel="0" collapsed="false">
      <c r="A138" s="9" t="n">
        <v>128</v>
      </c>
      <c r="B138" s="43" t="s">
        <v>103</v>
      </c>
      <c r="C138" s="43" t="s">
        <v>2332</v>
      </c>
      <c r="D138" s="43" t="s">
        <v>570</v>
      </c>
      <c r="E138" s="43"/>
      <c r="F138" s="45" t="s">
        <v>472</v>
      </c>
      <c r="G138" s="9" t="n">
        <v>30</v>
      </c>
      <c r="H138" s="12" t="n">
        <f aca="false">'Engineering Cost'!H138*'Engineering Assumptions'!$B$6</f>
        <v>229200</v>
      </c>
      <c r="I138" s="12" t="n">
        <f aca="false">IF('Engineering Cost'!I138=0,0,MAX('Engineering Cost'!I138*'Engineering Assumptions'!$B$6,'Engineering Assumptions'!$B$9))</f>
        <v>78000</v>
      </c>
      <c r="J138" s="12" t="n">
        <f aca="false">'Engineering Cost'!J138*'Engineering Assumptions'!$B$6</f>
        <v>51840</v>
      </c>
      <c r="K138" s="12" t="n">
        <f aca="false">'Engineering Cost'!K138*'Engineering Assumptions'!$B$6</f>
        <v>86400</v>
      </c>
      <c r="L138" s="13" t="n">
        <f aca="false">SUM(H138:K138)</f>
        <v>445440</v>
      </c>
      <c r="M138" s="13" t="n">
        <f aca="false">L138*(1+'Engineering Assumptions'!$B$10)</f>
        <v>512256</v>
      </c>
    </row>
    <row r="139" customFormat="false" ht="15" hidden="false" customHeight="true" outlineLevel="0" collapsed="false">
      <c r="A139" s="9" t="n">
        <v>129</v>
      </c>
      <c r="B139" s="43" t="s">
        <v>103</v>
      </c>
      <c r="C139" s="43" t="s">
        <v>2332</v>
      </c>
      <c r="D139" s="43" t="s">
        <v>571</v>
      </c>
      <c r="E139" s="43"/>
      <c r="F139" s="45" t="s">
        <v>472</v>
      </c>
      <c r="G139" s="9" t="n">
        <v>30</v>
      </c>
      <c r="H139" s="12" t="n">
        <f aca="false">'Engineering Cost'!H139*'Engineering Assumptions'!$B$6</f>
        <v>229200</v>
      </c>
      <c r="I139" s="12" t="n">
        <f aca="false">IF('Engineering Cost'!I139=0,0,MAX('Engineering Cost'!I139*'Engineering Assumptions'!$B$6,'Engineering Assumptions'!$B$9))</f>
        <v>78000</v>
      </c>
      <c r="J139" s="12" t="n">
        <f aca="false">'Engineering Cost'!J139*'Engineering Assumptions'!$B$6</f>
        <v>51840</v>
      </c>
      <c r="K139" s="12" t="n">
        <f aca="false">'Engineering Cost'!K139*'Engineering Assumptions'!$B$6</f>
        <v>86400</v>
      </c>
      <c r="L139" s="13" t="n">
        <f aca="false">SUM(H139:K139)</f>
        <v>445440</v>
      </c>
      <c r="M139" s="13" t="n">
        <f aca="false">L139*(1+'Engineering Assumptions'!$B$10)</f>
        <v>512256</v>
      </c>
    </row>
    <row r="140" customFormat="false" ht="15" hidden="false" customHeight="true" outlineLevel="0" collapsed="false">
      <c r="A140" s="9" t="n">
        <v>130</v>
      </c>
      <c r="B140" s="43" t="s">
        <v>103</v>
      </c>
      <c r="C140" s="43" t="s">
        <v>2332</v>
      </c>
      <c r="D140" s="43" t="s">
        <v>572</v>
      </c>
      <c r="E140" s="43"/>
      <c r="F140" s="45" t="s">
        <v>472</v>
      </c>
      <c r="G140" s="9" t="n">
        <v>30</v>
      </c>
      <c r="H140" s="12" t="n">
        <f aca="false">'Engineering Cost'!H140*'Engineering Assumptions'!$B$6</f>
        <v>229200</v>
      </c>
      <c r="I140" s="12" t="n">
        <f aca="false">IF('Engineering Cost'!I140=0,0,MAX('Engineering Cost'!I140*'Engineering Assumptions'!$B$6,'Engineering Assumptions'!$B$9))</f>
        <v>78000</v>
      </c>
      <c r="J140" s="12" t="n">
        <f aca="false">'Engineering Cost'!J140*'Engineering Assumptions'!$B$6</f>
        <v>51840</v>
      </c>
      <c r="K140" s="12" t="n">
        <f aca="false">'Engineering Cost'!K140*'Engineering Assumptions'!$B$6</f>
        <v>86400</v>
      </c>
      <c r="L140" s="13" t="n">
        <f aca="false">SUM(H140:K140)</f>
        <v>445440</v>
      </c>
      <c r="M140" s="13" t="n">
        <f aca="false">L140*(1+'Engineering Assumptions'!$B$10)</f>
        <v>512256</v>
      </c>
    </row>
    <row r="141" customFormat="false" ht="15" hidden="false" customHeight="true" outlineLevel="0" collapsed="false">
      <c r="A141" s="9" t="n">
        <v>131</v>
      </c>
      <c r="B141" s="43" t="s">
        <v>103</v>
      </c>
      <c r="C141" s="43" t="s">
        <v>2332</v>
      </c>
      <c r="D141" s="43" t="s">
        <v>573</v>
      </c>
      <c r="E141" s="43"/>
      <c r="F141" s="45" t="s">
        <v>472</v>
      </c>
      <c r="G141" s="9" t="n">
        <v>30</v>
      </c>
      <c r="H141" s="12" t="n">
        <f aca="false">'Engineering Cost'!H141*'Engineering Assumptions'!$B$6</f>
        <v>229200</v>
      </c>
      <c r="I141" s="12" t="n">
        <f aca="false">IF('Engineering Cost'!I141=0,0,MAX('Engineering Cost'!I141*'Engineering Assumptions'!$B$6,'Engineering Assumptions'!$B$9))</f>
        <v>78000</v>
      </c>
      <c r="J141" s="12" t="n">
        <f aca="false">'Engineering Cost'!J141*'Engineering Assumptions'!$B$6</f>
        <v>51840</v>
      </c>
      <c r="K141" s="12" t="n">
        <f aca="false">'Engineering Cost'!K141*'Engineering Assumptions'!$B$6</f>
        <v>86400</v>
      </c>
      <c r="L141" s="13" t="n">
        <f aca="false">SUM(H141:K141)</f>
        <v>445440</v>
      </c>
      <c r="M141" s="13" t="n">
        <f aca="false">L141*(1+'Engineering Assumptions'!$B$10)</f>
        <v>512256</v>
      </c>
    </row>
    <row r="142" customFormat="false" ht="15" hidden="false" customHeight="true" outlineLevel="0" collapsed="false">
      <c r="A142" s="9" t="n">
        <v>132</v>
      </c>
      <c r="B142" s="43" t="s">
        <v>103</v>
      </c>
      <c r="C142" s="43" t="s">
        <v>2332</v>
      </c>
      <c r="D142" s="43" t="s">
        <v>574</v>
      </c>
      <c r="E142" s="43"/>
      <c r="F142" s="45" t="s">
        <v>472</v>
      </c>
      <c r="G142" s="9" t="n">
        <v>30</v>
      </c>
      <c r="H142" s="12" t="n">
        <f aca="false">'Engineering Cost'!H142*'Engineering Assumptions'!$B$6</f>
        <v>229200</v>
      </c>
      <c r="I142" s="12" t="n">
        <f aca="false">IF('Engineering Cost'!I142=0,0,MAX('Engineering Cost'!I142*'Engineering Assumptions'!$B$6,'Engineering Assumptions'!$B$9))</f>
        <v>78000</v>
      </c>
      <c r="J142" s="12" t="n">
        <f aca="false">'Engineering Cost'!J142*'Engineering Assumptions'!$B$6</f>
        <v>51840</v>
      </c>
      <c r="K142" s="12" t="n">
        <f aca="false">'Engineering Cost'!K142*'Engineering Assumptions'!$B$6</f>
        <v>86400</v>
      </c>
      <c r="L142" s="13" t="n">
        <f aca="false">SUM(H142:K142)</f>
        <v>445440</v>
      </c>
      <c r="M142" s="13" t="n">
        <f aca="false">L142*(1+'Engineering Assumptions'!$B$10)</f>
        <v>512256</v>
      </c>
    </row>
    <row r="143" customFormat="false" ht="15" hidden="false" customHeight="true" outlineLevel="0" collapsed="false">
      <c r="A143" s="9" t="n">
        <v>133</v>
      </c>
      <c r="B143" s="43" t="s">
        <v>103</v>
      </c>
      <c r="C143" s="43" t="s">
        <v>2332</v>
      </c>
      <c r="D143" s="43" t="s">
        <v>575</v>
      </c>
      <c r="E143" s="43"/>
      <c r="F143" s="45" t="s">
        <v>472</v>
      </c>
      <c r="G143" s="9" t="n">
        <v>30</v>
      </c>
      <c r="H143" s="12" t="n">
        <f aca="false">'Engineering Cost'!H143*'Engineering Assumptions'!$B$6</f>
        <v>229200</v>
      </c>
      <c r="I143" s="12" t="n">
        <f aca="false">IF('Engineering Cost'!I143=0,0,MAX('Engineering Cost'!I143*'Engineering Assumptions'!$B$6,'Engineering Assumptions'!$B$9))</f>
        <v>78000</v>
      </c>
      <c r="J143" s="12" t="n">
        <f aca="false">'Engineering Cost'!J143*'Engineering Assumptions'!$B$6</f>
        <v>51840</v>
      </c>
      <c r="K143" s="12" t="n">
        <f aca="false">'Engineering Cost'!K143*'Engineering Assumptions'!$B$6</f>
        <v>86400</v>
      </c>
      <c r="L143" s="13" t="n">
        <f aca="false">SUM(H143:K143)</f>
        <v>445440</v>
      </c>
      <c r="M143" s="13" t="n">
        <f aca="false">L143*(1+'Engineering Assumptions'!$B$10)</f>
        <v>512256</v>
      </c>
    </row>
    <row r="144" customFormat="false" ht="15" hidden="false" customHeight="true" outlineLevel="0" collapsed="false">
      <c r="A144" s="9" t="n">
        <v>134</v>
      </c>
      <c r="B144" s="43" t="s">
        <v>103</v>
      </c>
      <c r="C144" s="43" t="s">
        <v>2332</v>
      </c>
      <c r="D144" s="43" t="s">
        <v>576</v>
      </c>
      <c r="E144" s="43"/>
      <c r="F144" s="45" t="s">
        <v>472</v>
      </c>
      <c r="G144" s="9" t="n">
        <v>30</v>
      </c>
      <c r="H144" s="12" t="n">
        <f aca="false">'Engineering Cost'!H144*'Engineering Assumptions'!$B$6</f>
        <v>229200</v>
      </c>
      <c r="I144" s="12" t="n">
        <f aca="false">IF('Engineering Cost'!I144=0,0,MAX('Engineering Cost'!I144*'Engineering Assumptions'!$B$6,'Engineering Assumptions'!$B$9))</f>
        <v>78000</v>
      </c>
      <c r="J144" s="12" t="n">
        <f aca="false">'Engineering Cost'!J144*'Engineering Assumptions'!$B$6</f>
        <v>51840</v>
      </c>
      <c r="K144" s="12" t="n">
        <f aca="false">'Engineering Cost'!K144*'Engineering Assumptions'!$B$6</f>
        <v>86400</v>
      </c>
      <c r="L144" s="13" t="n">
        <f aca="false">SUM(H144:K144)</f>
        <v>445440</v>
      </c>
      <c r="M144" s="13" t="n">
        <f aca="false">L144*(1+'Engineering Assumptions'!$B$10)</f>
        <v>512256</v>
      </c>
    </row>
    <row r="145" customFormat="false" ht="15" hidden="false" customHeight="true" outlineLevel="0" collapsed="false">
      <c r="A145" s="9" t="n">
        <v>135</v>
      </c>
      <c r="B145" s="43" t="s">
        <v>103</v>
      </c>
      <c r="C145" s="43" t="s">
        <v>2332</v>
      </c>
      <c r="D145" s="43" t="s">
        <v>579</v>
      </c>
      <c r="E145" s="43"/>
      <c r="F145" s="45" t="s">
        <v>472</v>
      </c>
      <c r="G145" s="9" t="n">
        <v>30</v>
      </c>
      <c r="H145" s="12" t="n">
        <f aca="false">'Engineering Cost'!H145*'Engineering Assumptions'!$B$6</f>
        <v>229200</v>
      </c>
      <c r="I145" s="12" t="n">
        <f aca="false">IF('Engineering Cost'!I145=0,0,MAX('Engineering Cost'!I145*'Engineering Assumptions'!$B$6,'Engineering Assumptions'!$B$9))</f>
        <v>78000</v>
      </c>
      <c r="J145" s="12" t="n">
        <f aca="false">'Engineering Cost'!J145*'Engineering Assumptions'!$B$6</f>
        <v>51840</v>
      </c>
      <c r="K145" s="12" t="n">
        <f aca="false">'Engineering Cost'!K145*'Engineering Assumptions'!$B$6</f>
        <v>86400</v>
      </c>
      <c r="L145" s="13" t="n">
        <f aca="false">SUM(H145:K145)</f>
        <v>445440</v>
      </c>
      <c r="M145" s="13" t="n">
        <f aca="false">L145*(1+'Engineering Assumptions'!$B$10)</f>
        <v>512256</v>
      </c>
    </row>
    <row r="146" customFormat="false" ht="15" hidden="false" customHeight="true" outlineLevel="0" collapsed="false">
      <c r="A146" s="9" t="n">
        <v>136</v>
      </c>
      <c r="B146" s="43" t="s">
        <v>103</v>
      </c>
      <c r="C146" s="43" t="s">
        <v>2332</v>
      </c>
      <c r="D146" s="43" t="s">
        <v>510</v>
      </c>
      <c r="E146" s="43"/>
      <c r="F146" s="45" t="s">
        <v>472</v>
      </c>
      <c r="G146" s="9" t="n">
        <v>30</v>
      </c>
      <c r="H146" s="12" t="n">
        <f aca="false">'Engineering Cost'!H146*'Engineering Assumptions'!$B$6</f>
        <v>229200</v>
      </c>
      <c r="I146" s="12" t="n">
        <f aca="false">IF('Engineering Cost'!I146=0,0,MAX('Engineering Cost'!I146*'Engineering Assumptions'!$B$6,'Engineering Assumptions'!$B$9))</f>
        <v>78000</v>
      </c>
      <c r="J146" s="12" t="n">
        <f aca="false">'Engineering Cost'!J146*'Engineering Assumptions'!$B$6</f>
        <v>51840</v>
      </c>
      <c r="K146" s="12" t="n">
        <f aca="false">'Engineering Cost'!K146*'Engineering Assumptions'!$B$6</f>
        <v>86400</v>
      </c>
      <c r="L146" s="13" t="n">
        <f aca="false">SUM(H146:K146)</f>
        <v>445440</v>
      </c>
      <c r="M146" s="13" t="n">
        <f aca="false">L146*(1+'Engineering Assumptions'!$B$10)</f>
        <v>512256</v>
      </c>
    </row>
    <row r="147" customFormat="false" ht="15" hidden="false" customHeight="true" outlineLevel="0" collapsed="false">
      <c r="A147" s="9" t="n">
        <v>137</v>
      </c>
      <c r="B147" s="43" t="s">
        <v>103</v>
      </c>
      <c r="C147" s="43" t="s">
        <v>2332</v>
      </c>
      <c r="D147" s="43" t="s">
        <v>520</v>
      </c>
      <c r="E147" s="43"/>
      <c r="F147" s="45" t="s">
        <v>472</v>
      </c>
      <c r="G147" s="9" t="n">
        <v>30</v>
      </c>
      <c r="H147" s="12" t="n">
        <f aca="false">'Engineering Cost'!H147*'Engineering Assumptions'!$B$6</f>
        <v>229200</v>
      </c>
      <c r="I147" s="12" t="n">
        <f aca="false">IF('Engineering Cost'!I147=0,0,MAX('Engineering Cost'!I147*'Engineering Assumptions'!$B$6,'Engineering Assumptions'!$B$9))</f>
        <v>78000</v>
      </c>
      <c r="J147" s="12" t="n">
        <f aca="false">'Engineering Cost'!J147*'Engineering Assumptions'!$B$6</f>
        <v>51840</v>
      </c>
      <c r="K147" s="12" t="n">
        <f aca="false">'Engineering Cost'!K147*'Engineering Assumptions'!$B$6</f>
        <v>86400</v>
      </c>
      <c r="L147" s="13" t="n">
        <f aca="false">SUM(H147:K147)</f>
        <v>445440</v>
      </c>
      <c r="M147" s="13" t="n">
        <f aca="false">L147*(1+'Engineering Assumptions'!$B$10)</f>
        <v>512256</v>
      </c>
    </row>
    <row r="148" customFormat="false" ht="15" hidden="false" customHeight="true" outlineLevel="0" collapsed="false">
      <c r="A148" s="9" t="n">
        <v>138</v>
      </c>
      <c r="B148" s="43" t="s">
        <v>103</v>
      </c>
      <c r="C148" s="43" t="s">
        <v>2332</v>
      </c>
      <c r="D148" s="43" t="s">
        <v>522</v>
      </c>
      <c r="E148" s="43"/>
      <c r="F148" s="45" t="s">
        <v>472</v>
      </c>
      <c r="G148" s="9" t="n">
        <v>30</v>
      </c>
      <c r="H148" s="12" t="n">
        <f aca="false">'Engineering Cost'!H148*'Engineering Assumptions'!$B$6</f>
        <v>229200</v>
      </c>
      <c r="I148" s="12" t="n">
        <f aca="false">IF('Engineering Cost'!I148=0,0,MAX('Engineering Cost'!I148*'Engineering Assumptions'!$B$6,'Engineering Assumptions'!$B$9))</f>
        <v>78000</v>
      </c>
      <c r="J148" s="12" t="n">
        <f aca="false">'Engineering Cost'!J148*'Engineering Assumptions'!$B$6</f>
        <v>51840</v>
      </c>
      <c r="K148" s="12" t="n">
        <f aca="false">'Engineering Cost'!K148*'Engineering Assumptions'!$B$6</f>
        <v>86400</v>
      </c>
      <c r="L148" s="13" t="n">
        <f aca="false">SUM(H148:K148)</f>
        <v>445440</v>
      </c>
      <c r="M148" s="13" t="n">
        <f aca="false">L148*(1+'Engineering Assumptions'!$B$10)</f>
        <v>512256</v>
      </c>
    </row>
    <row r="149" customFormat="false" ht="15" hidden="false" customHeight="true" outlineLevel="0" collapsed="false">
      <c r="A149" s="9" t="n">
        <v>139</v>
      </c>
      <c r="B149" s="43" t="s">
        <v>103</v>
      </c>
      <c r="C149" s="43" t="s">
        <v>2333</v>
      </c>
      <c r="D149" s="43"/>
      <c r="E149" s="43"/>
      <c r="F149" s="45" t="s">
        <v>472</v>
      </c>
      <c r="G149" s="9" t="n">
        <v>30</v>
      </c>
      <c r="H149" s="12" t="n">
        <f aca="false">'Engineering Cost'!H149*'Engineering Assumptions'!$B$6</f>
        <v>229200</v>
      </c>
      <c r="I149" s="12" t="n">
        <f aca="false">IF('Engineering Cost'!I149=0,0,MAX('Engineering Cost'!I149*'Engineering Assumptions'!$B$6,'Engineering Assumptions'!$B$9))</f>
        <v>78000</v>
      </c>
      <c r="J149" s="12" t="n">
        <f aca="false">'Engineering Cost'!J149*'Engineering Assumptions'!$B$6</f>
        <v>51840</v>
      </c>
      <c r="K149" s="12" t="n">
        <f aca="false">'Engineering Cost'!K149*'Engineering Assumptions'!$B$6</f>
        <v>86400</v>
      </c>
      <c r="L149" s="13" t="n">
        <f aca="false">SUM(H149:K149)</f>
        <v>445440</v>
      </c>
      <c r="M149" s="13" t="n">
        <f aca="false">L149*(1+'Engineering Assumptions'!$B$10)</f>
        <v>512256</v>
      </c>
    </row>
    <row r="150" customFormat="false" ht="15" hidden="false" customHeight="true" outlineLevel="0" collapsed="false">
      <c r="A150" s="9" t="n">
        <v>140</v>
      </c>
      <c r="B150" s="43" t="s">
        <v>103</v>
      </c>
      <c r="C150" s="43" t="s">
        <v>2334</v>
      </c>
      <c r="D150" s="43" t="s">
        <v>577</v>
      </c>
      <c r="E150" s="43"/>
      <c r="F150" s="45" t="s">
        <v>472</v>
      </c>
      <c r="G150" s="9" t="n">
        <v>30</v>
      </c>
      <c r="H150" s="12" t="n">
        <f aca="false">'Engineering Cost'!H150*'Engineering Assumptions'!$B$6</f>
        <v>229200</v>
      </c>
      <c r="I150" s="12" t="n">
        <f aca="false">IF('Engineering Cost'!I150=0,0,MAX('Engineering Cost'!I150*'Engineering Assumptions'!$B$6,'Engineering Assumptions'!$B$9))</f>
        <v>78000</v>
      </c>
      <c r="J150" s="12" t="n">
        <f aca="false">'Engineering Cost'!J150*'Engineering Assumptions'!$B$6</f>
        <v>51840</v>
      </c>
      <c r="K150" s="12" t="n">
        <f aca="false">'Engineering Cost'!K150*'Engineering Assumptions'!$B$6</f>
        <v>86400</v>
      </c>
      <c r="L150" s="13" t="n">
        <f aca="false">SUM(H150:K150)</f>
        <v>445440</v>
      </c>
      <c r="M150" s="13" t="n">
        <f aca="false">L150*(1+'Engineering Assumptions'!$B$10)</f>
        <v>512256</v>
      </c>
    </row>
    <row r="151" customFormat="false" ht="15" hidden="false" customHeight="true" outlineLevel="0" collapsed="false">
      <c r="A151" s="9" t="n">
        <v>141</v>
      </c>
      <c r="B151" s="43" t="s">
        <v>103</v>
      </c>
      <c r="C151" s="43" t="s">
        <v>2329</v>
      </c>
      <c r="D151" s="43" t="s">
        <v>547</v>
      </c>
      <c r="E151" s="43"/>
      <c r="F151" s="45" t="s">
        <v>472</v>
      </c>
      <c r="G151" s="9" t="n">
        <v>30</v>
      </c>
      <c r="H151" s="12" t="n">
        <f aca="false">'Engineering Cost'!H151*'Engineering Assumptions'!$B$6</f>
        <v>229200</v>
      </c>
      <c r="I151" s="12" t="n">
        <f aca="false">IF('Engineering Cost'!I151=0,0,MAX('Engineering Cost'!I151*'Engineering Assumptions'!$B$6,'Engineering Assumptions'!$B$9))</f>
        <v>78000</v>
      </c>
      <c r="J151" s="12" t="n">
        <f aca="false">'Engineering Cost'!J151*'Engineering Assumptions'!$B$6</f>
        <v>51840</v>
      </c>
      <c r="K151" s="12" t="n">
        <f aca="false">'Engineering Cost'!K151*'Engineering Assumptions'!$B$6</f>
        <v>86400</v>
      </c>
      <c r="L151" s="13" t="n">
        <f aca="false">SUM(H151:K151)</f>
        <v>445440</v>
      </c>
      <c r="M151" s="13" t="n">
        <f aca="false">L151*(1+'Engineering Assumptions'!$B$10)</f>
        <v>512256</v>
      </c>
    </row>
    <row r="152" customFormat="false" ht="15" hidden="false" customHeight="true" outlineLevel="0" collapsed="false">
      <c r="A152" s="9" t="n">
        <v>142</v>
      </c>
      <c r="B152" s="43" t="s">
        <v>103</v>
      </c>
      <c r="C152" s="43" t="s">
        <v>2335</v>
      </c>
      <c r="D152" s="43" t="s">
        <v>553</v>
      </c>
      <c r="E152" s="43"/>
      <c r="F152" s="45" t="s">
        <v>472</v>
      </c>
      <c r="G152" s="9" t="n">
        <v>30</v>
      </c>
      <c r="H152" s="12" t="n">
        <f aca="false">'Engineering Cost'!H152*'Engineering Assumptions'!$B$6</f>
        <v>229200</v>
      </c>
      <c r="I152" s="12" t="n">
        <f aca="false">IF('Engineering Cost'!I152=0,0,MAX('Engineering Cost'!I152*'Engineering Assumptions'!$B$6,'Engineering Assumptions'!$B$9))</f>
        <v>78000</v>
      </c>
      <c r="J152" s="12" t="n">
        <f aca="false">'Engineering Cost'!J152*'Engineering Assumptions'!$B$6</f>
        <v>51840</v>
      </c>
      <c r="K152" s="12" t="n">
        <f aca="false">'Engineering Cost'!K152*'Engineering Assumptions'!$B$6</f>
        <v>86400</v>
      </c>
      <c r="L152" s="13" t="n">
        <f aca="false">SUM(H152:K152)</f>
        <v>445440</v>
      </c>
      <c r="M152" s="13" t="n">
        <f aca="false">L152*(1+'Engineering Assumptions'!$B$10)</f>
        <v>512256</v>
      </c>
    </row>
    <row r="153" customFormat="false" ht="15" hidden="false" customHeight="true" outlineLevel="0" collapsed="false">
      <c r="A153" s="9" t="n">
        <v>143</v>
      </c>
      <c r="B153" s="43" t="s">
        <v>103</v>
      </c>
      <c r="C153" s="43" t="s">
        <v>2336</v>
      </c>
      <c r="D153" s="43" t="s">
        <v>580</v>
      </c>
      <c r="E153" s="43"/>
      <c r="F153" s="45" t="s">
        <v>472</v>
      </c>
      <c r="G153" s="9" t="n">
        <v>30</v>
      </c>
      <c r="H153" s="12" t="n">
        <f aca="false">'Engineering Cost'!H153*'Engineering Assumptions'!$B$6</f>
        <v>229200</v>
      </c>
      <c r="I153" s="12" t="n">
        <f aca="false">IF('Engineering Cost'!I153=0,0,MAX('Engineering Cost'!I153*'Engineering Assumptions'!$B$6,'Engineering Assumptions'!$B$9))</f>
        <v>78000</v>
      </c>
      <c r="J153" s="12" t="n">
        <f aca="false">'Engineering Cost'!J153*'Engineering Assumptions'!$B$6</f>
        <v>51840</v>
      </c>
      <c r="K153" s="12" t="n">
        <f aca="false">'Engineering Cost'!K153*'Engineering Assumptions'!$B$6</f>
        <v>86400</v>
      </c>
      <c r="L153" s="13" t="n">
        <f aca="false">SUM(H153:K153)</f>
        <v>445440</v>
      </c>
      <c r="M153" s="13" t="n">
        <f aca="false">L153*(1+'Engineering Assumptions'!$B$10)</f>
        <v>512256</v>
      </c>
    </row>
    <row r="154" customFormat="false" ht="15" hidden="false" customHeight="true" outlineLevel="0" collapsed="false">
      <c r="A154" s="42" t="s">
        <v>582</v>
      </c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</row>
    <row r="155" customFormat="false" ht="15" hidden="false" customHeight="true" outlineLevel="0" collapsed="false">
      <c r="A155" s="9" t="n">
        <v>144</v>
      </c>
      <c r="B155" s="43" t="s">
        <v>105</v>
      </c>
      <c r="C155" s="43" t="s">
        <v>2313</v>
      </c>
      <c r="D155" s="43" t="s">
        <v>583</v>
      </c>
      <c r="E155" s="43"/>
      <c r="F155" s="45" t="s">
        <v>310</v>
      </c>
      <c r="G155" s="9" t="n">
        <v>14</v>
      </c>
      <c r="H155" s="12" t="n">
        <f aca="false">'Engineering Cost'!H155*'Engineering Assumptions'!$B$6</f>
        <v>320880</v>
      </c>
      <c r="I155" s="12" t="n">
        <f aca="false">IF('Engineering Cost'!I155=0,0,MAX('Engineering Cost'!I155*'Engineering Assumptions'!$B$6,'Engineering Assumptions'!$B$9))</f>
        <v>78000</v>
      </c>
      <c r="J155" s="12" t="n">
        <f aca="false">'Engineering Cost'!J155*'Engineering Assumptions'!$B$6</f>
        <v>37200</v>
      </c>
      <c r="K155" s="12" t="n">
        <f aca="false">'Engineering Cost'!K155*'Engineering Assumptions'!$B$6</f>
        <v>43740</v>
      </c>
      <c r="L155" s="13" t="n">
        <f aca="false">SUM(H155:K155)</f>
        <v>479820</v>
      </c>
      <c r="M155" s="13" t="n">
        <f aca="false">L155*(1+'Engineering Assumptions'!$B$10)</f>
        <v>551793</v>
      </c>
    </row>
    <row r="156" customFormat="false" ht="15" hidden="false" customHeight="true" outlineLevel="0" collapsed="false">
      <c r="A156" s="9" t="n">
        <v>145</v>
      </c>
      <c r="B156" s="43" t="s">
        <v>105</v>
      </c>
      <c r="C156" s="43" t="s">
        <v>2337</v>
      </c>
      <c r="D156" s="43" t="s">
        <v>584</v>
      </c>
      <c r="E156" s="43"/>
      <c r="F156" s="45" t="s">
        <v>310</v>
      </c>
      <c r="G156" s="9" t="n">
        <v>14</v>
      </c>
      <c r="H156" s="12" t="n">
        <f aca="false">'Engineering Cost'!H156*'Engineering Assumptions'!$B$6</f>
        <v>320880</v>
      </c>
      <c r="I156" s="12" t="n">
        <f aca="false">IF('Engineering Cost'!I156=0,0,MAX('Engineering Cost'!I156*'Engineering Assumptions'!$B$6,'Engineering Assumptions'!$B$9))</f>
        <v>78000</v>
      </c>
      <c r="J156" s="12" t="n">
        <f aca="false">'Engineering Cost'!J156*'Engineering Assumptions'!$B$6</f>
        <v>37200</v>
      </c>
      <c r="K156" s="12" t="n">
        <f aca="false">'Engineering Cost'!K156*'Engineering Assumptions'!$B$6</f>
        <v>43740</v>
      </c>
      <c r="L156" s="13" t="n">
        <f aca="false">SUM(H156:K156)</f>
        <v>479820</v>
      </c>
      <c r="M156" s="13" t="n">
        <f aca="false">L156*(1+'Engineering Assumptions'!$B$10)</f>
        <v>551793</v>
      </c>
    </row>
    <row r="157" customFormat="false" ht="15" hidden="false" customHeight="true" outlineLevel="0" collapsed="false">
      <c r="A157" s="9" t="n">
        <v>146</v>
      </c>
      <c r="B157" s="43" t="s">
        <v>105</v>
      </c>
      <c r="C157" s="43" t="s">
        <v>2337</v>
      </c>
      <c r="D157" s="43" t="s">
        <v>586</v>
      </c>
      <c r="E157" s="43"/>
      <c r="F157" s="45" t="s">
        <v>310</v>
      </c>
      <c r="G157" s="9" t="n">
        <v>14</v>
      </c>
      <c r="H157" s="12" t="n">
        <f aca="false">'Engineering Cost'!H157*'Engineering Assumptions'!$B$6</f>
        <v>320880</v>
      </c>
      <c r="I157" s="12" t="n">
        <f aca="false">IF('Engineering Cost'!I157=0,0,MAX('Engineering Cost'!I157*'Engineering Assumptions'!$B$6,'Engineering Assumptions'!$B$9))</f>
        <v>78000</v>
      </c>
      <c r="J157" s="12" t="n">
        <f aca="false">'Engineering Cost'!J157*'Engineering Assumptions'!$B$6</f>
        <v>37200</v>
      </c>
      <c r="K157" s="12" t="n">
        <f aca="false">'Engineering Cost'!K157*'Engineering Assumptions'!$B$6</f>
        <v>43740</v>
      </c>
      <c r="L157" s="13" t="n">
        <f aca="false">SUM(H157:K157)</f>
        <v>479820</v>
      </c>
      <c r="M157" s="13" t="n">
        <f aca="false">L157*(1+'Engineering Assumptions'!$B$10)</f>
        <v>551793</v>
      </c>
    </row>
    <row r="158" customFormat="false" ht="15" hidden="false" customHeight="true" outlineLevel="0" collapsed="false">
      <c r="A158" s="9" t="n">
        <v>147</v>
      </c>
      <c r="B158" s="43" t="s">
        <v>105</v>
      </c>
      <c r="C158" s="43" t="s">
        <v>2338</v>
      </c>
      <c r="D158" s="43" t="s">
        <v>588</v>
      </c>
      <c r="E158" s="43"/>
      <c r="F158" s="45" t="s">
        <v>310</v>
      </c>
      <c r="G158" s="9" t="n">
        <v>14</v>
      </c>
      <c r="H158" s="12" t="n">
        <f aca="false">'Engineering Cost'!H158*'Engineering Assumptions'!$B$6</f>
        <v>320880</v>
      </c>
      <c r="I158" s="12" t="n">
        <f aca="false">IF('Engineering Cost'!I158=0,0,MAX('Engineering Cost'!I158*'Engineering Assumptions'!$B$6,'Engineering Assumptions'!$B$9))</f>
        <v>78000</v>
      </c>
      <c r="J158" s="12" t="n">
        <f aca="false">'Engineering Cost'!J158*'Engineering Assumptions'!$B$6</f>
        <v>37200</v>
      </c>
      <c r="K158" s="12" t="n">
        <f aca="false">'Engineering Cost'!K158*'Engineering Assumptions'!$B$6</f>
        <v>43740</v>
      </c>
      <c r="L158" s="13" t="n">
        <f aca="false">SUM(H158:K158)</f>
        <v>479820</v>
      </c>
      <c r="M158" s="13" t="n">
        <f aca="false">L158*(1+'Engineering Assumptions'!$B$10)</f>
        <v>551793</v>
      </c>
    </row>
    <row r="159" customFormat="false" ht="15" hidden="false" customHeight="true" outlineLevel="0" collapsed="false">
      <c r="A159" s="9" t="n">
        <v>148</v>
      </c>
      <c r="B159" s="43" t="s">
        <v>105</v>
      </c>
      <c r="C159" s="43" t="s">
        <v>2339</v>
      </c>
      <c r="D159" s="43" t="s">
        <v>591</v>
      </c>
      <c r="E159" s="43"/>
      <c r="F159" s="45" t="s">
        <v>310</v>
      </c>
      <c r="G159" s="9" t="n">
        <v>14</v>
      </c>
      <c r="H159" s="12" t="n">
        <f aca="false">'Engineering Cost'!H159*'Engineering Assumptions'!$B$6</f>
        <v>320880</v>
      </c>
      <c r="I159" s="12" t="n">
        <f aca="false">IF('Engineering Cost'!I159=0,0,MAX('Engineering Cost'!I159*'Engineering Assumptions'!$B$6,'Engineering Assumptions'!$B$9))</f>
        <v>78000</v>
      </c>
      <c r="J159" s="12" t="n">
        <f aca="false">'Engineering Cost'!J159*'Engineering Assumptions'!$B$6</f>
        <v>37200</v>
      </c>
      <c r="K159" s="12" t="n">
        <f aca="false">'Engineering Cost'!K159*'Engineering Assumptions'!$B$6</f>
        <v>43740</v>
      </c>
      <c r="L159" s="13" t="n">
        <f aca="false">SUM(H159:K159)</f>
        <v>479820</v>
      </c>
      <c r="M159" s="13" t="n">
        <f aca="false">L159*(1+'Engineering Assumptions'!$B$10)</f>
        <v>551793</v>
      </c>
    </row>
    <row r="160" customFormat="false" ht="15" hidden="false" customHeight="true" outlineLevel="0" collapsed="false">
      <c r="A160" s="9" t="n">
        <v>149</v>
      </c>
      <c r="B160" s="43" t="s">
        <v>105</v>
      </c>
      <c r="C160" s="43" t="s">
        <v>2340</v>
      </c>
      <c r="D160" s="43" t="s">
        <v>594</v>
      </c>
      <c r="E160" s="43"/>
      <c r="F160" s="45" t="s">
        <v>310</v>
      </c>
      <c r="G160" s="9" t="n">
        <v>14</v>
      </c>
      <c r="H160" s="12" t="n">
        <f aca="false">'Engineering Cost'!H160*'Engineering Assumptions'!$B$6</f>
        <v>320880</v>
      </c>
      <c r="I160" s="12" t="n">
        <f aca="false">IF('Engineering Cost'!I160=0,0,MAX('Engineering Cost'!I160*'Engineering Assumptions'!$B$6,'Engineering Assumptions'!$B$9))</f>
        <v>78000</v>
      </c>
      <c r="J160" s="12" t="n">
        <f aca="false">'Engineering Cost'!J160*'Engineering Assumptions'!$B$6</f>
        <v>37200</v>
      </c>
      <c r="K160" s="12" t="n">
        <f aca="false">'Engineering Cost'!K160*'Engineering Assumptions'!$B$6</f>
        <v>43740</v>
      </c>
      <c r="L160" s="13" t="n">
        <f aca="false">SUM(H160:K160)</f>
        <v>479820</v>
      </c>
      <c r="M160" s="13" t="n">
        <f aca="false">L160*(1+'Engineering Assumptions'!$B$10)</f>
        <v>551793</v>
      </c>
    </row>
    <row r="161" customFormat="false" ht="15" hidden="false" customHeight="true" outlineLevel="0" collapsed="false">
      <c r="A161" s="9" t="n">
        <v>150</v>
      </c>
      <c r="B161" s="43" t="s">
        <v>105</v>
      </c>
      <c r="C161" s="43" t="s">
        <v>2341</v>
      </c>
      <c r="D161" s="43" t="s">
        <v>596</v>
      </c>
      <c r="E161" s="43"/>
      <c r="F161" s="45" t="s">
        <v>310</v>
      </c>
      <c r="G161" s="9" t="n">
        <v>14</v>
      </c>
      <c r="H161" s="12" t="n">
        <f aca="false">'Engineering Cost'!H161*'Engineering Assumptions'!$B$6</f>
        <v>320880</v>
      </c>
      <c r="I161" s="12" t="n">
        <f aca="false">IF('Engineering Cost'!I161=0,0,MAX('Engineering Cost'!I161*'Engineering Assumptions'!$B$6,'Engineering Assumptions'!$B$9))</f>
        <v>78000</v>
      </c>
      <c r="J161" s="12" t="n">
        <f aca="false">'Engineering Cost'!J161*'Engineering Assumptions'!$B$6</f>
        <v>37200</v>
      </c>
      <c r="K161" s="12" t="n">
        <f aca="false">'Engineering Cost'!K161*'Engineering Assumptions'!$B$6</f>
        <v>43740</v>
      </c>
      <c r="L161" s="13" t="n">
        <f aca="false">SUM(H161:K161)</f>
        <v>479820</v>
      </c>
      <c r="M161" s="13" t="n">
        <f aca="false">L161*(1+'Engineering Assumptions'!$B$10)</f>
        <v>551793</v>
      </c>
    </row>
    <row r="162" customFormat="false" ht="15" hidden="false" customHeight="true" outlineLevel="0" collapsed="false">
      <c r="A162" s="9" t="n">
        <v>151</v>
      </c>
      <c r="B162" s="43" t="s">
        <v>105</v>
      </c>
      <c r="C162" s="43" t="s">
        <v>2342</v>
      </c>
      <c r="D162" s="43" t="s">
        <v>598</v>
      </c>
      <c r="E162" s="43"/>
      <c r="F162" s="45" t="s">
        <v>428</v>
      </c>
      <c r="G162" s="9" t="n">
        <v>26</v>
      </c>
      <c r="H162" s="12" t="n">
        <f aca="false">'Engineering Cost'!H162*'Engineering Assumptions'!$B$6</f>
        <v>320880</v>
      </c>
      <c r="I162" s="12" t="n">
        <f aca="false">IF('Engineering Cost'!I162=0,0,MAX('Engineering Cost'!I162*'Engineering Assumptions'!$B$6,'Engineering Assumptions'!$B$9))</f>
        <v>78000</v>
      </c>
      <c r="J162" s="12" t="n">
        <f aca="false">'Engineering Cost'!J162*'Engineering Assumptions'!$B$6</f>
        <v>57600</v>
      </c>
      <c r="K162" s="12" t="n">
        <f aca="false">'Engineering Cost'!K162*'Engineering Assumptions'!$B$6</f>
        <v>97200</v>
      </c>
      <c r="L162" s="13" t="n">
        <f aca="false">SUM(H162:K162)</f>
        <v>553680</v>
      </c>
      <c r="M162" s="13" t="n">
        <f aca="false">L162*(1+'Engineering Assumptions'!$B$10)</f>
        <v>636732</v>
      </c>
    </row>
    <row r="163" customFormat="false" ht="15" hidden="false" customHeight="true" outlineLevel="0" collapsed="false">
      <c r="A163" s="9" t="n">
        <v>152</v>
      </c>
      <c r="B163" s="43" t="s">
        <v>105</v>
      </c>
      <c r="C163" s="43" t="s">
        <v>2343</v>
      </c>
      <c r="D163" s="43" t="s">
        <v>600</v>
      </c>
      <c r="E163" s="43"/>
      <c r="F163" s="45" t="s">
        <v>602</v>
      </c>
      <c r="G163" s="9" t="n">
        <v>36</v>
      </c>
      <c r="H163" s="12" t="n">
        <f aca="false">'Engineering Cost'!H163*'Engineering Assumptions'!$B$6</f>
        <v>320880</v>
      </c>
      <c r="I163" s="12" t="n">
        <f aca="false">IF('Engineering Cost'!I163=0,0,MAX('Engineering Cost'!I163*'Engineering Assumptions'!$B$6,'Engineering Assumptions'!$B$9))</f>
        <v>78000</v>
      </c>
      <c r="J163" s="12" t="n">
        <f aca="false">'Engineering Cost'!J163*'Engineering Assumptions'!$B$6</f>
        <v>57600</v>
      </c>
      <c r="K163" s="12" t="n">
        <f aca="false">'Engineering Cost'!K163*'Engineering Assumptions'!$B$6</f>
        <v>97200</v>
      </c>
      <c r="L163" s="13" t="n">
        <f aca="false">SUM(H163:K163)</f>
        <v>553680</v>
      </c>
      <c r="M163" s="13" t="n">
        <f aca="false">L163*(1+'Engineering Assumptions'!$B$10)</f>
        <v>636732</v>
      </c>
    </row>
    <row r="164" customFormat="false" ht="15" hidden="false" customHeight="true" outlineLevel="0" collapsed="false">
      <c r="A164" s="9" t="n">
        <v>153</v>
      </c>
      <c r="B164" s="43" t="s">
        <v>105</v>
      </c>
      <c r="C164" s="43" t="s">
        <v>2344</v>
      </c>
      <c r="D164" s="43" t="s">
        <v>603</v>
      </c>
      <c r="E164" s="43"/>
      <c r="F164" s="45" t="s">
        <v>472</v>
      </c>
      <c r="G164" s="9" t="n">
        <v>30</v>
      </c>
      <c r="H164" s="12" t="n">
        <f aca="false">'Engineering Cost'!H164*'Engineering Assumptions'!$B$6</f>
        <v>320880</v>
      </c>
      <c r="I164" s="12" t="n">
        <f aca="false">IF('Engineering Cost'!I164=0,0,MAX('Engineering Cost'!I164*'Engineering Assumptions'!$B$6,'Engineering Assumptions'!$B$9))</f>
        <v>78000</v>
      </c>
      <c r="J164" s="12" t="n">
        <f aca="false">'Engineering Cost'!J164*'Engineering Assumptions'!$B$6</f>
        <v>57600</v>
      </c>
      <c r="K164" s="12" t="n">
        <f aca="false">'Engineering Cost'!K164*'Engineering Assumptions'!$B$6</f>
        <v>97200</v>
      </c>
      <c r="L164" s="13" t="n">
        <f aca="false">SUM(H164:K164)</f>
        <v>553680</v>
      </c>
      <c r="M164" s="13" t="n">
        <f aca="false">L164*(1+'Engineering Assumptions'!$B$10)</f>
        <v>636732</v>
      </c>
    </row>
    <row r="165" customFormat="false" ht="15" hidden="false" customHeight="true" outlineLevel="0" collapsed="false">
      <c r="A165" s="42" t="s">
        <v>605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</row>
    <row r="166" customFormat="false" ht="15" hidden="false" customHeight="true" outlineLevel="0" collapsed="false">
      <c r="A166" s="9" t="n">
        <v>154</v>
      </c>
      <c r="B166" s="43" t="s">
        <v>107</v>
      </c>
      <c r="C166" s="43" t="s">
        <v>2345</v>
      </c>
      <c r="D166" s="43" t="s">
        <v>607</v>
      </c>
      <c r="E166" s="43" t="s">
        <v>609</v>
      </c>
      <c r="F166" s="45" t="s">
        <v>297</v>
      </c>
      <c r="G166" s="9" t="n">
        <v>5</v>
      </c>
      <c r="H166" s="12" t="n">
        <f aca="false">'Engineering Cost'!H166*'Engineering Assumptions'!$B$6</f>
        <v>687600</v>
      </c>
      <c r="I166" s="12" t="n">
        <f aca="false">IF('Engineering Cost'!I166=0,0,MAX('Engineering Cost'!I166*'Engineering Assumptions'!$B$6,'Engineering Assumptions'!$B$9))</f>
        <v>78000</v>
      </c>
      <c r="J166" s="12" t="n">
        <f aca="false">'Engineering Cost'!J166*'Engineering Assumptions'!$B$6</f>
        <v>50400</v>
      </c>
      <c r="K166" s="12" t="n">
        <f aca="false">'Engineering Cost'!K166*'Engineering Assumptions'!$B$6</f>
        <v>21600</v>
      </c>
      <c r="L166" s="13" t="n">
        <f aca="false">SUM(H166:K166)</f>
        <v>837600</v>
      </c>
      <c r="M166" s="13" t="n">
        <f aca="false">L166*(1+'Engineering Assumptions'!$B$10)</f>
        <v>963240</v>
      </c>
    </row>
    <row r="167" customFormat="false" ht="15" hidden="false" customHeight="true" outlineLevel="0" collapsed="false">
      <c r="A167" s="9" t="n">
        <v>155</v>
      </c>
      <c r="B167" s="43" t="s">
        <v>107</v>
      </c>
      <c r="C167" s="43" t="s">
        <v>2346</v>
      </c>
      <c r="D167" s="43" t="s">
        <v>610</v>
      </c>
      <c r="E167" s="43" t="s">
        <v>612</v>
      </c>
      <c r="F167" s="45" t="s">
        <v>297</v>
      </c>
      <c r="G167" s="9" t="n">
        <v>5</v>
      </c>
      <c r="H167" s="12" t="n">
        <f aca="false">'Engineering Cost'!H167*'Engineering Assumptions'!$B$6</f>
        <v>687600</v>
      </c>
      <c r="I167" s="12" t="n">
        <f aca="false">IF('Engineering Cost'!I167=0,0,MAX('Engineering Cost'!I167*'Engineering Assumptions'!$B$6,'Engineering Assumptions'!$B$9))</f>
        <v>78000</v>
      </c>
      <c r="J167" s="12" t="n">
        <f aca="false">'Engineering Cost'!J167*'Engineering Assumptions'!$B$6</f>
        <v>50400</v>
      </c>
      <c r="K167" s="12" t="n">
        <f aca="false">'Engineering Cost'!K167*'Engineering Assumptions'!$B$6</f>
        <v>21600</v>
      </c>
      <c r="L167" s="13" t="n">
        <f aca="false">SUM(H167:K167)</f>
        <v>837600</v>
      </c>
      <c r="M167" s="13" t="n">
        <f aca="false">L167*(1+'Engineering Assumptions'!$B$10)</f>
        <v>963240</v>
      </c>
    </row>
    <row r="168" customFormat="false" ht="15" hidden="false" customHeight="true" outlineLevel="0" collapsed="false">
      <c r="A168" s="9" t="n">
        <v>156</v>
      </c>
      <c r="B168" s="43" t="s">
        <v>107</v>
      </c>
      <c r="C168" s="43" t="s">
        <v>2345</v>
      </c>
      <c r="D168" s="43" t="s">
        <v>615</v>
      </c>
      <c r="E168" s="43" t="s">
        <v>616</v>
      </c>
      <c r="F168" s="45" t="s">
        <v>306</v>
      </c>
      <c r="G168" s="9" t="n">
        <v>6</v>
      </c>
      <c r="H168" s="12" t="n">
        <f aca="false">'Engineering Cost'!H168*'Engineering Assumptions'!$B$6</f>
        <v>687600</v>
      </c>
      <c r="I168" s="12" t="n">
        <f aca="false">IF('Engineering Cost'!I168=0,0,MAX('Engineering Cost'!I168*'Engineering Assumptions'!$B$6,'Engineering Assumptions'!$B$9))</f>
        <v>78000</v>
      </c>
      <c r="J168" s="12" t="n">
        <f aca="false">'Engineering Cost'!J168*'Engineering Assumptions'!$B$6</f>
        <v>63000</v>
      </c>
      <c r="K168" s="12" t="n">
        <f aca="false">'Engineering Cost'!K168*'Engineering Assumptions'!$B$6</f>
        <v>54000</v>
      </c>
      <c r="L168" s="13" t="n">
        <f aca="false">SUM(H168:K168)</f>
        <v>882600</v>
      </c>
      <c r="M168" s="13" t="n">
        <f aca="false">L168*(1+'Engineering Assumptions'!$B$10)</f>
        <v>1014990</v>
      </c>
    </row>
    <row r="169" customFormat="false" ht="15" hidden="false" customHeight="true" outlineLevel="0" collapsed="false">
      <c r="A169" s="9" t="n">
        <v>157</v>
      </c>
      <c r="B169" s="43" t="s">
        <v>107</v>
      </c>
      <c r="C169" s="43" t="s">
        <v>2345</v>
      </c>
      <c r="D169" s="43" t="s">
        <v>613</v>
      </c>
      <c r="E169" s="43" t="s">
        <v>614</v>
      </c>
      <c r="F169" s="45" t="s">
        <v>306</v>
      </c>
      <c r="G169" s="9" t="n">
        <v>6</v>
      </c>
      <c r="H169" s="12" t="n">
        <f aca="false">'Engineering Cost'!H169*'Engineering Assumptions'!$B$6</f>
        <v>687600</v>
      </c>
      <c r="I169" s="12" t="n">
        <f aca="false">IF('Engineering Cost'!I169=0,0,MAX('Engineering Cost'!I169*'Engineering Assumptions'!$B$6,'Engineering Assumptions'!$B$9))</f>
        <v>78000</v>
      </c>
      <c r="J169" s="12" t="n">
        <f aca="false">'Engineering Cost'!J169*'Engineering Assumptions'!$B$6</f>
        <v>63000</v>
      </c>
      <c r="K169" s="12" t="n">
        <f aca="false">'Engineering Cost'!K169*'Engineering Assumptions'!$B$6</f>
        <v>54000</v>
      </c>
      <c r="L169" s="13" t="n">
        <f aca="false">SUM(H169:K169)</f>
        <v>882600</v>
      </c>
      <c r="M169" s="13" t="n">
        <f aca="false">L169*(1+'Engineering Assumptions'!$B$10)</f>
        <v>1014990</v>
      </c>
    </row>
    <row r="170" customFormat="false" ht="15" hidden="false" customHeight="true" outlineLevel="0" collapsed="false">
      <c r="A170" s="9" t="n">
        <v>158</v>
      </c>
      <c r="B170" s="43" t="s">
        <v>107</v>
      </c>
      <c r="C170" s="43" t="s">
        <v>2345</v>
      </c>
      <c r="D170" s="43" t="s">
        <v>617</v>
      </c>
      <c r="E170" s="43" t="s">
        <v>618</v>
      </c>
      <c r="F170" s="45" t="s">
        <v>306</v>
      </c>
      <c r="G170" s="9" t="n">
        <v>6</v>
      </c>
      <c r="H170" s="12" t="n">
        <f aca="false">'Engineering Cost'!H170*'Engineering Assumptions'!$B$6</f>
        <v>687600</v>
      </c>
      <c r="I170" s="12" t="n">
        <f aca="false">IF('Engineering Cost'!I170=0,0,MAX('Engineering Cost'!I170*'Engineering Assumptions'!$B$6,'Engineering Assumptions'!$B$9))</f>
        <v>78000</v>
      </c>
      <c r="J170" s="12" t="n">
        <f aca="false">'Engineering Cost'!J170*'Engineering Assumptions'!$B$6</f>
        <v>63000</v>
      </c>
      <c r="K170" s="12" t="n">
        <f aca="false">'Engineering Cost'!K170*'Engineering Assumptions'!$B$6</f>
        <v>54000</v>
      </c>
      <c r="L170" s="13" t="n">
        <f aca="false">SUM(H170:K170)</f>
        <v>882600</v>
      </c>
      <c r="M170" s="13" t="n">
        <f aca="false">L170*(1+'Engineering Assumptions'!$B$10)</f>
        <v>1014990</v>
      </c>
    </row>
    <row r="171" customFormat="false" ht="15" hidden="false" customHeight="true" outlineLevel="0" collapsed="false">
      <c r="A171" s="9" t="n">
        <v>159</v>
      </c>
      <c r="B171" s="43" t="s">
        <v>107</v>
      </c>
      <c r="C171" s="43" t="s">
        <v>2347</v>
      </c>
      <c r="D171" s="43" t="s">
        <v>619</v>
      </c>
      <c r="E171" s="43"/>
      <c r="F171" s="45" t="s">
        <v>374</v>
      </c>
      <c r="G171" s="9" t="n">
        <v>12</v>
      </c>
      <c r="H171" s="12" t="n">
        <f aca="false">'Engineering Cost'!H171*'Engineering Assumptions'!$B$6</f>
        <v>687600</v>
      </c>
      <c r="I171" s="12" t="n">
        <f aca="false">IF('Engineering Cost'!I171=0,0,MAX('Engineering Cost'!I171*'Engineering Assumptions'!$B$6,'Engineering Assumptions'!$B$9))</f>
        <v>78000</v>
      </c>
      <c r="J171" s="12" t="n">
        <f aca="false">'Engineering Cost'!J171*'Engineering Assumptions'!$B$6</f>
        <v>78120</v>
      </c>
      <c r="K171" s="12" t="n">
        <f aca="false">'Engineering Cost'!K171*'Engineering Assumptions'!$B$6</f>
        <v>97200</v>
      </c>
      <c r="L171" s="13" t="n">
        <f aca="false">SUM(H171:K171)</f>
        <v>940920</v>
      </c>
      <c r="M171" s="13" t="n">
        <f aca="false">L171*(1+'Engineering Assumptions'!$B$10)</f>
        <v>1082058</v>
      </c>
    </row>
    <row r="172" customFormat="false" ht="15" hidden="false" customHeight="true" outlineLevel="0" collapsed="false">
      <c r="A172" s="9" t="n">
        <v>160</v>
      </c>
      <c r="B172" s="43" t="s">
        <v>107</v>
      </c>
      <c r="C172" s="43" t="s">
        <v>2348</v>
      </c>
      <c r="D172" s="43" t="s">
        <v>621</v>
      </c>
      <c r="E172" s="43"/>
      <c r="F172" s="45" t="s">
        <v>623</v>
      </c>
      <c r="G172" s="9" t="n">
        <v>18</v>
      </c>
      <c r="H172" s="12" t="n">
        <f aca="false">'Engineering Cost'!H172*'Engineering Assumptions'!$B$6</f>
        <v>687600</v>
      </c>
      <c r="I172" s="12" t="n">
        <f aca="false">IF('Engineering Cost'!I172=0,0,MAX('Engineering Cost'!I172*'Engineering Assumptions'!$B$6,'Engineering Assumptions'!$B$9))</f>
        <v>78000</v>
      </c>
      <c r="J172" s="12" t="n">
        <f aca="false">'Engineering Cost'!J172*'Engineering Assumptions'!$B$6</f>
        <v>98280</v>
      </c>
      <c r="K172" s="12" t="n">
        <f aca="false">'Engineering Cost'!K172*'Engineering Assumptions'!$B$6</f>
        <v>151200</v>
      </c>
      <c r="L172" s="13" t="n">
        <f aca="false">SUM(H172:K172)</f>
        <v>1015080</v>
      </c>
      <c r="M172" s="13" t="n">
        <f aca="false">L172*(1+'Engineering Assumptions'!$B$10)</f>
        <v>1167342</v>
      </c>
    </row>
    <row r="173" customFormat="false" ht="15" hidden="false" customHeight="true" outlineLevel="0" collapsed="false">
      <c r="A173" s="9" t="n">
        <v>161</v>
      </c>
      <c r="B173" s="43" t="s">
        <v>107</v>
      </c>
      <c r="C173" s="43" t="s">
        <v>2313</v>
      </c>
      <c r="D173" s="43" t="s">
        <v>625</v>
      </c>
      <c r="E173" s="43"/>
      <c r="F173" s="45" t="s">
        <v>472</v>
      </c>
      <c r="G173" s="9" t="n">
        <v>30</v>
      </c>
      <c r="H173" s="12" t="n">
        <f aca="false">'Engineering Cost'!H173*'Engineering Assumptions'!$B$6</f>
        <v>687600</v>
      </c>
      <c r="I173" s="12" t="n">
        <f aca="false">IF('Engineering Cost'!I173=0,0,MAX('Engineering Cost'!I173*'Engineering Assumptions'!$B$6,'Engineering Assumptions'!$B$9))</f>
        <v>78000</v>
      </c>
      <c r="J173" s="12" t="n">
        <f aca="false">'Engineering Cost'!J173*'Engineering Assumptions'!$B$6</f>
        <v>120960</v>
      </c>
      <c r="K173" s="12" t="n">
        <f aca="false">'Engineering Cost'!K173*'Engineering Assumptions'!$B$6</f>
        <v>216000</v>
      </c>
      <c r="L173" s="13" t="n">
        <f aca="false">SUM(H173:K173)</f>
        <v>1102560</v>
      </c>
      <c r="M173" s="13" t="n">
        <f aca="false">L173*(1+'Engineering Assumptions'!$B$10)</f>
        <v>1267944</v>
      </c>
    </row>
    <row r="174" customFormat="false" ht="15" hidden="false" customHeight="true" outlineLevel="0" collapsed="false">
      <c r="A174" s="9" t="n">
        <v>162</v>
      </c>
      <c r="B174" s="43" t="s">
        <v>107</v>
      </c>
      <c r="C174" s="43" t="s">
        <v>2313</v>
      </c>
      <c r="D174" s="43" t="s">
        <v>629</v>
      </c>
      <c r="E174" s="43"/>
      <c r="F174" s="45" t="s">
        <v>472</v>
      </c>
      <c r="G174" s="9" t="n">
        <v>30</v>
      </c>
      <c r="H174" s="12" t="n">
        <f aca="false">'Engineering Cost'!H174*'Engineering Assumptions'!$B$6</f>
        <v>687600</v>
      </c>
      <c r="I174" s="12" t="n">
        <f aca="false">IF('Engineering Cost'!I174=0,0,MAX('Engineering Cost'!I174*'Engineering Assumptions'!$B$6,'Engineering Assumptions'!$B$9))</f>
        <v>78000</v>
      </c>
      <c r="J174" s="12" t="n">
        <f aca="false">'Engineering Cost'!J174*'Engineering Assumptions'!$B$6</f>
        <v>120960</v>
      </c>
      <c r="K174" s="12" t="n">
        <f aca="false">'Engineering Cost'!K174*'Engineering Assumptions'!$B$6</f>
        <v>216000</v>
      </c>
      <c r="L174" s="13" t="n">
        <f aca="false">SUM(H174:K174)</f>
        <v>1102560</v>
      </c>
      <c r="M174" s="13" t="n">
        <f aca="false">L174*(1+'Engineering Assumptions'!$B$10)</f>
        <v>1267944</v>
      </c>
    </row>
    <row r="175" customFormat="false" ht="27.75" hidden="false" customHeight="true" outlineLevel="0" collapsed="false">
      <c r="A175" s="9" t="n">
        <v>163</v>
      </c>
      <c r="B175" s="43" t="s">
        <v>107</v>
      </c>
      <c r="C175" s="43" t="s">
        <v>2349</v>
      </c>
      <c r="D175" s="43" t="s">
        <v>627</v>
      </c>
      <c r="E175" s="43"/>
      <c r="F175" s="45" t="s">
        <v>472</v>
      </c>
      <c r="G175" s="9" t="n">
        <v>30</v>
      </c>
      <c r="H175" s="12" t="n">
        <f aca="false">'Engineering Cost'!H175*'Engineering Assumptions'!$B$6</f>
        <v>687600</v>
      </c>
      <c r="I175" s="12" t="n">
        <f aca="false">IF('Engineering Cost'!I175=0,0,MAX('Engineering Cost'!I175*'Engineering Assumptions'!$B$6,'Engineering Assumptions'!$B$9))</f>
        <v>78000</v>
      </c>
      <c r="J175" s="12" t="n">
        <f aca="false">'Engineering Cost'!J175*'Engineering Assumptions'!$B$6</f>
        <v>120960</v>
      </c>
      <c r="K175" s="12" t="n">
        <f aca="false">'Engineering Cost'!K175*'Engineering Assumptions'!$B$6</f>
        <v>216000</v>
      </c>
      <c r="L175" s="13" t="n">
        <f aca="false">SUM(H175:K175)</f>
        <v>1102560</v>
      </c>
      <c r="M175" s="13" t="n">
        <f aca="false">L175*(1+'Engineering Assumptions'!$B$10)</f>
        <v>1267944</v>
      </c>
    </row>
    <row r="176" customFormat="false" ht="15" hidden="false" customHeight="true" outlineLevel="0" collapsed="false">
      <c r="A176" s="9" t="n">
        <v>164</v>
      </c>
      <c r="B176" s="43" t="s">
        <v>107</v>
      </c>
      <c r="C176" s="43" t="s">
        <v>2331</v>
      </c>
      <c r="D176" s="43" t="s">
        <v>624</v>
      </c>
      <c r="E176" s="43"/>
      <c r="F176" s="45" t="s">
        <v>472</v>
      </c>
      <c r="G176" s="9" t="n">
        <v>30</v>
      </c>
      <c r="H176" s="12" t="n">
        <f aca="false">'Engineering Cost'!H176*'Engineering Assumptions'!$B$6</f>
        <v>687600</v>
      </c>
      <c r="I176" s="12" t="n">
        <f aca="false">IF('Engineering Cost'!I176=0,0,MAX('Engineering Cost'!I176*'Engineering Assumptions'!$B$6,'Engineering Assumptions'!$B$9))</f>
        <v>78000</v>
      </c>
      <c r="J176" s="12" t="n">
        <f aca="false">'Engineering Cost'!J176*'Engineering Assumptions'!$B$6</f>
        <v>120960</v>
      </c>
      <c r="K176" s="12" t="n">
        <f aca="false">'Engineering Cost'!K176*'Engineering Assumptions'!$B$6</f>
        <v>216000</v>
      </c>
      <c r="L176" s="13" t="n">
        <f aca="false">SUM(H176:K176)</f>
        <v>1102560</v>
      </c>
      <c r="M176" s="13" t="n">
        <f aca="false">L176*(1+'Engineering Assumptions'!$B$10)</f>
        <v>1267944</v>
      </c>
    </row>
    <row r="177" customFormat="false" ht="15" hidden="false" customHeight="true" outlineLevel="0" collapsed="false">
      <c r="A177" s="9" t="n">
        <v>165</v>
      </c>
      <c r="B177" s="43" t="s">
        <v>107</v>
      </c>
      <c r="C177" s="43" t="s">
        <v>2350</v>
      </c>
      <c r="D177" s="43" t="s">
        <v>630</v>
      </c>
      <c r="E177" s="43"/>
      <c r="F177" s="45" t="s">
        <v>472</v>
      </c>
      <c r="G177" s="9" t="n">
        <v>30</v>
      </c>
      <c r="H177" s="12" t="n">
        <f aca="false">'Engineering Cost'!H177*'Engineering Assumptions'!$B$6</f>
        <v>687600</v>
      </c>
      <c r="I177" s="12" t="n">
        <f aca="false">IF('Engineering Cost'!I177=0,0,MAX('Engineering Cost'!I177*'Engineering Assumptions'!$B$6,'Engineering Assumptions'!$B$9))</f>
        <v>78000</v>
      </c>
      <c r="J177" s="12" t="n">
        <f aca="false">'Engineering Cost'!J177*'Engineering Assumptions'!$B$6</f>
        <v>120960</v>
      </c>
      <c r="K177" s="12" t="n">
        <f aca="false">'Engineering Cost'!K177*'Engineering Assumptions'!$B$6</f>
        <v>216000</v>
      </c>
      <c r="L177" s="13" t="n">
        <f aca="false">SUM(H177:K177)</f>
        <v>1102560</v>
      </c>
      <c r="M177" s="13" t="n">
        <f aca="false">L177*(1+'Engineering Assumptions'!$B$10)</f>
        <v>1267944</v>
      </c>
    </row>
    <row r="178" customFormat="false" ht="15" hidden="false" customHeight="true" outlineLevel="0" collapsed="false">
      <c r="A178" s="9" t="n">
        <v>166</v>
      </c>
      <c r="B178" s="43" t="s">
        <v>107</v>
      </c>
      <c r="C178" s="43" t="s">
        <v>2331</v>
      </c>
      <c r="D178" s="43" t="s">
        <v>632</v>
      </c>
      <c r="E178" s="43" t="s">
        <v>633</v>
      </c>
      <c r="F178" s="45" t="s">
        <v>472</v>
      </c>
      <c r="G178" s="9" t="n">
        <v>30</v>
      </c>
      <c r="H178" s="12" t="n">
        <f aca="false">'Engineering Cost'!H178*'Engineering Assumptions'!$B$6</f>
        <v>687600</v>
      </c>
      <c r="I178" s="12" t="n">
        <f aca="false">IF('Engineering Cost'!I178=0,0,MAX('Engineering Cost'!I178*'Engineering Assumptions'!$B$6,'Engineering Assumptions'!$B$9))</f>
        <v>78000</v>
      </c>
      <c r="J178" s="12" t="n">
        <f aca="false">'Engineering Cost'!J178*'Engineering Assumptions'!$B$6</f>
        <v>120960</v>
      </c>
      <c r="K178" s="12" t="n">
        <f aca="false">'Engineering Cost'!K178*'Engineering Assumptions'!$B$6</f>
        <v>216000</v>
      </c>
      <c r="L178" s="13" t="n">
        <f aca="false">SUM(H178:K178)</f>
        <v>1102560</v>
      </c>
      <c r="M178" s="13" t="n">
        <f aca="false">L178*(1+'Engineering Assumptions'!$B$10)</f>
        <v>1267944</v>
      </c>
    </row>
    <row r="179" customFormat="false" ht="15" hidden="false" customHeight="true" outlineLevel="0" collapsed="false">
      <c r="A179" s="9" t="n">
        <v>167</v>
      </c>
      <c r="B179" s="43" t="s">
        <v>107</v>
      </c>
      <c r="C179" s="43" t="s">
        <v>2351</v>
      </c>
      <c r="D179" s="43" t="s">
        <v>635</v>
      </c>
      <c r="E179" s="43"/>
      <c r="F179" s="45" t="s">
        <v>472</v>
      </c>
      <c r="G179" s="9" t="n">
        <v>30</v>
      </c>
      <c r="H179" s="12" t="n">
        <f aca="false">'Engineering Cost'!H179*'Engineering Assumptions'!$B$6</f>
        <v>687600</v>
      </c>
      <c r="I179" s="12" t="n">
        <f aca="false">IF('Engineering Cost'!I179=0,0,MAX('Engineering Cost'!I179*'Engineering Assumptions'!$B$6,'Engineering Assumptions'!$B$9))</f>
        <v>78000</v>
      </c>
      <c r="J179" s="12" t="n">
        <f aca="false">'Engineering Cost'!J179*'Engineering Assumptions'!$B$6</f>
        <v>120960</v>
      </c>
      <c r="K179" s="12" t="n">
        <f aca="false">'Engineering Cost'!K179*'Engineering Assumptions'!$B$6</f>
        <v>216000</v>
      </c>
      <c r="L179" s="13" t="n">
        <f aca="false">SUM(H179:K179)</f>
        <v>1102560</v>
      </c>
      <c r="M179" s="13" t="n">
        <f aca="false">L179*(1+'Engineering Assumptions'!$B$10)</f>
        <v>1267944</v>
      </c>
    </row>
    <row r="180" customFormat="false" ht="15" hidden="false" customHeight="true" outlineLevel="0" collapsed="false">
      <c r="A180" s="9" t="n">
        <v>168</v>
      </c>
      <c r="B180" s="43" t="s">
        <v>107</v>
      </c>
      <c r="C180" s="43" t="s">
        <v>2352</v>
      </c>
      <c r="D180" s="43" t="s">
        <v>637</v>
      </c>
      <c r="E180" s="43"/>
      <c r="F180" s="45" t="s">
        <v>472</v>
      </c>
      <c r="G180" s="9" t="n">
        <v>30</v>
      </c>
      <c r="H180" s="12" t="n">
        <f aca="false">'Engineering Cost'!H180*'Engineering Assumptions'!$B$6</f>
        <v>687600</v>
      </c>
      <c r="I180" s="12" t="n">
        <f aca="false">IF('Engineering Cost'!I180=0,0,MAX('Engineering Cost'!I180*'Engineering Assumptions'!$B$6,'Engineering Assumptions'!$B$9))</f>
        <v>78000</v>
      </c>
      <c r="J180" s="12" t="n">
        <f aca="false">'Engineering Cost'!J180*'Engineering Assumptions'!$B$6</f>
        <v>120960</v>
      </c>
      <c r="K180" s="12" t="n">
        <f aca="false">'Engineering Cost'!K180*'Engineering Assumptions'!$B$6</f>
        <v>216000</v>
      </c>
      <c r="L180" s="13" t="n">
        <f aca="false">SUM(H180:K180)</f>
        <v>1102560</v>
      </c>
      <c r="M180" s="13" t="n">
        <f aca="false">L180*(1+'Engineering Assumptions'!$B$10)</f>
        <v>1267944</v>
      </c>
    </row>
    <row r="181" customFormat="false" ht="15" hidden="false" customHeight="true" outlineLevel="0" collapsed="false">
      <c r="A181" s="9" t="n">
        <v>169</v>
      </c>
      <c r="B181" s="43" t="s">
        <v>107</v>
      </c>
      <c r="C181" s="43" t="s">
        <v>2353</v>
      </c>
      <c r="D181" s="43" t="s">
        <v>639</v>
      </c>
      <c r="E181" s="43"/>
      <c r="F181" s="45" t="s">
        <v>472</v>
      </c>
      <c r="G181" s="9" t="n">
        <v>30</v>
      </c>
      <c r="H181" s="12" t="n">
        <f aca="false">'Engineering Cost'!H181*'Engineering Assumptions'!$B$6</f>
        <v>687600</v>
      </c>
      <c r="I181" s="12" t="n">
        <f aca="false">IF('Engineering Cost'!I181=0,0,MAX('Engineering Cost'!I181*'Engineering Assumptions'!$B$6,'Engineering Assumptions'!$B$9))</f>
        <v>78000</v>
      </c>
      <c r="J181" s="12" t="n">
        <f aca="false">'Engineering Cost'!J181*'Engineering Assumptions'!$B$6</f>
        <v>120960</v>
      </c>
      <c r="K181" s="12" t="n">
        <f aca="false">'Engineering Cost'!K181*'Engineering Assumptions'!$B$6</f>
        <v>216000</v>
      </c>
      <c r="L181" s="13" t="n">
        <f aca="false">SUM(H181:K181)</f>
        <v>1102560</v>
      </c>
      <c r="M181" s="13" t="n">
        <f aca="false">L181*(1+'Engineering Assumptions'!$B$10)</f>
        <v>1267944</v>
      </c>
    </row>
    <row r="182" customFormat="false" ht="15" hidden="false" customHeight="true" outlineLevel="0" collapsed="false">
      <c r="A182" s="42" t="s">
        <v>641</v>
      </c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</row>
    <row r="183" customFormat="false" ht="15" hidden="false" customHeight="true" outlineLevel="0" collapsed="false">
      <c r="A183" s="9" t="n">
        <v>170</v>
      </c>
      <c r="B183" s="43" t="s">
        <v>109</v>
      </c>
      <c r="C183" s="43" t="s">
        <v>2354</v>
      </c>
      <c r="D183" s="43" t="s">
        <v>642</v>
      </c>
      <c r="E183" s="43"/>
      <c r="F183" s="45" t="s">
        <v>297</v>
      </c>
      <c r="G183" s="9" t="n">
        <v>5</v>
      </c>
      <c r="H183" s="12" t="n">
        <f aca="false">'Engineering Cost'!H183*'Engineering Assumptions'!$B$6</f>
        <v>206280</v>
      </c>
      <c r="I183" s="12" t="n">
        <f aca="false">IF('Engineering Cost'!I183=0,0,MAX('Engineering Cost'!I183*'Engineering Assumptions'!$B$6,'Engineering Assumptions'!$B$9))</f>
        <v>78000</v>
      </c>
      <c r="J183" s="12" t="n">
        <f aca="false">'Engineering Cost'!J183*'Engineering Assumptions'!$B$6</f>
        <v>19200</v>
      </c>
      <c r="K183" s="12" t="n">
        <f aca="false">'Engineering Cost'!K183*'Engineering Assumptions'!$B$6</f>
        <v>7200</v>
      </c>
      <c r="L183" s="13" t="n">
        <f aca="false">SUM(H183:K183)</f>
        <v>310680</v>
      </c>
      <c r="M183" s="13" t="n">
        <f aca="false">L183*(1+'Engineering Assumptions'!$B$10)</f>
        <v>357282</v>
      </c>
    </row>
    <row r="184" customFormat="false" ht="15" hidden="false" customHeight="true" outlineLevel="0" collapsed="false">
      <c r="A184" s="9" t="n">
        <v>171</v>
      </c>
      <c r="B184" s="43" t="s">
        <v>109</v>
      </c>
      <c r="C184" s="43" t="s">
        <v>2354</v>
      </c>
      <c r="D184" s="43" t="s">
        <v>664</v>
      </c>
      <c r="E184" s="43"/>
      <c r="F184" s="45" t="s">
        <v>297</v>
      </c>
      <c r="G184" s="9" t="n">
        <v>5</v>
      </c>
      <c r="H184" s="12" t="n">
        <f aca="false">'Engineering Cost'!H184*'Engineering Assumptions'!$B$6</f>
        <v>206280</v>
      </c>
      <c r="I184" s="12" t="n">
        <f aca="false">IF('Engineering Cost'!I184=0,0,MAX('Engineering Cost'!I184*'Engineering Assumptions'!$B$6,'Engineering Assumptions'!$B$9))</f>
        <v>78000</v>
      </c>
      <c r="J184" s="12" t="n">
        <f aca="false">'Engineering Cost'!J184*'Engineering Assumptions'!$B$6</f>
        <v>19200</v>
      </c>
      <c r="K184" s="12" t="n">
        <f aca="false">'Engineering Cost'!K184*'Engineering Assumptions'!$B$6</f>
        <v>7200</v>
      </c>
      <c r="L184" s="13" t="n">
        <f aca="false">SUM(H184:K184)</f>
        <v>310680</v>
      </c>
      <c r="M184" s="13" t="n">
        <f aca="false">L184*(1+'Engineering Assumptions'!$B$10)</f>
        <v>357282</v>
      </c>
    </row>
    <row r="185" customFormat="false" ht="15" hidden="false" customHeight="true" outlineLevel="0" collapsed="false">
      <c r="A185" s="9" t="n">
        <v>172</v>
      </c>
      <c r="B185" s="43" t="s">
        <v>109</v>
      </c>
      <c r="C185" s="43" t="s">
        <v>2354</v>
      </c>
      <c r="D185" s="43" t="s">
        <v>665</v>
      </c>
      <c r="E185" s="43"/>
      <c r="F185" s="45" t="s">
        <v>297</v>
      </c>
      <c r="G185" s="9" t="n">
        <v>5</v>
      </c>
      <c r="H185" s="12" t="n">
        <f aca="false">'Engineering Cost'!H185*'Engineering Assumptions'!$B$6</f>
        <v>206280</v>
      </c>
      <c r="I185" s="12" t="n">
        <f aca="false">IF('Engineering Cost'!I185=0,0,MAX('Engineering Cost'!I185*'Engineering Assumptions'!$B$6,'Engineering Assumptions'!$B$9))</f>
        <v>78000</v>
      </c>
      <c r="J185" s="12" t="n">
        <f aca="false">'Engineering Cost'!J185*'Engineering Assumptions'!$B$6</f>
        <v>19200</v>
      </c>
      <c r="K185" s="12" t="n">
        <f aca="false">'Engineering Cost'!K185*'Engineering Assumptions'!$B$6</f>
        <v>7200</v>
      </c>
      <c r="L185" s="13" t="n">
        <f aca="false">SUM(H185:K185)</f>
        <v>310680</v>
      </c>
      <c r="M185" s="13" t="n">
        <f aca="false">L185*(1+'Engineering Assumptions'!$B$10)</f>
        <v>357282</v>
      </c>
    </row>
    <row r="186" customFormat="false" ht="15" hidden="false" customHeight="true" outlineLevel="0" collapsed="false">
      <c r="A186" s="9" t="n">
        <v>173</v>
      </c>
      <c r="B186" s="43" t="s">
        <v>109</v>
      </c>
      <c r="C186" s="43" t="s">
        <v>2355</v>
      </c>
      <c r="D186" s="43" t="s">
        <v>647</v>
      </c>
      <c r="E186" s="43"/>
      <c r="F186" s="45" t="s">
        <v>297</v>
      </c>
      <c r="G186" s="9" t="n">
        <v>5</v>
      </c>
      <c r="H186" s="12" t="n">
        <f aca="false">'Engineering Cost'!H186*'Engineering Assumptions'!$B$6</f>
        <v>206280</v>
      </c>
      <c r="I186" s="12" t="n">
        <f aca="false">IF('Engineering Cost'!I186=0,0,MAX('Engineering Cost'!I186*'Engineering Assumptions'!$B$6,'Engineering Assumptions'!$B$9))</f>
        <v>78000</v>
      </c>
      <c r="J186" s="12" t="n">
        <f aca="false">'Engineering Cost'!J186*'Engineering Assumptions'!$B$6</f>
        <v>19200</v>
      </c>
      <c r="K186" s="12" t="n">
        <f aca="false">'Engineering Cost'!K186*'Engineering Assumptions'!$B$6</f>
        <v>7200</v>
      </c>
      <c r="L186" s="13" t="n">
        <f aca="false">SUM(H186:K186)</f>
        <v>310680</v>
      </c>
      <c r="M186" s="13" t="n">
        <f aca="false">L186*(1+'Engineering Assumptions'!$B$10)</f>
        <v>357282</v>
      </c>
    </row>
    <row r="187" customFormat="false" ht="15" hidden="false" customHeight="true" outlineLevel="0" collapsed="false">
      <c r="A187" s="9" t="n">
        <v>174</v>
      </c>
      <c r="B187" s="43" t="s">
        <v>109</v>
      </c>
      <c r="C187" s="43" t="s">
        <v>2355</v>
      </c>
      <c r="D187" s="43" t="s">
        <v>671</v>
      </c>
      <c r="E187" s="43"/>
      <c r="F187" s="45" t="s">
        <v>297</v>
      </c>
      <c r="G187" s="9" t="n">
        <v>5</v>
      </c>
      <c r="H187" s="12" t="n">
        <f aca="false">'Engineering Cost'!H187*'Engineering Assumptions'!$B$6</f>
        <v>206280</v>
      </c>
      <c r="I187" s="12" t="n">
        <f aca="false">IF('Engineering Cost'!I187=0,0,MAX('Engineering Cost'!I187*'Engineering Assumptions'!$B$6,'Engineering Assumptions'!$B$9))</f>
        <v>78000</v>
      </c>
      <c r="J187" s="12" t="n">
        <f aca="false">'Engineering Cost'!J187*'Engineering Assumptions'!$B$6</f>
        <v>19200</v>
      </c>
      <c r="K187" s="12" t="n">
        <f aca="false">'Engineering Cost'!K187*'Engineering Assumptions'!$B$6</f>
        <v>7200</v>
      </c>
      <c r="L187" s="13" t="n">
        <f aca="false">SUM(H187:K187)</f>
        <v>310680</v>
      </c>
      <c r="M187" s="13" t="n">
        <f aca="false">L187*(1+'Engineering Assumptions'!$B$10)</f>
        <v>357282</v>
      </c>
    </row>
    <row r="188" customFormat="false" ht="15" hidden="false" customHeight="true" outlineLevel="0" collapsed="false">
      <c r="A188" s="9" t="n">
        <v>175</v>
      </c>
      <c r="B188" s="43" t="s">
        <v>109</v>
      </c>
      <c r="C188" s="43" t="s">
        <v>2354</v>
      </c>
      <c r="D188" s="43" t="s">
        <v>650</v>
      </c>
      <c r="E188" s="43"/>
      <c r="F188" s="45" t="s">
        <v>306</v>
      </c>
      <c r="G188" s="9" t="n">
        <v>6</v>
      </c>
      <c r="H188" s="12" t="n">
        <f aca="false">'Engineering Cost'!H188*'Engineering Assumptions'!$B$6</f>
        <v>206280</v>
      </c>
      <c r="I188" s="12" t="n">
        <f aca="false">IF('Engineering Cost'!I188=0,0,MAX('Engineering Cost'!I188*'Engineering Assumptions'!$B$6,'Engineering Assumptions'!$B$9))</f>
        <v>78000</v>
      </c>
      <c r="J188" s="12" t="n">
        <f aca="false">'Engineering Cost'!J188*'Engineering Assumptions'!$B$6</f>
        <v>24000</v>
      </c>
      <c r="K188" s="12" t="n">
        <f aca="false">'Engineering Cost'!K188*'Engineering Assumptions'!$B$6</f>
        <v>18000</v>
      </c>
      <c r="L188" s="13" t="n">
        <f aca="false">SUM(H188:K188)</f>
        <v>326280</v>
      </c>
      <c r="M188" s="13" t="n">
        <f aca="false">L188*(1+'Engineering Assumptions'!$B$10)</f>
        <v>375222</v>
      </c>
    </row>
    <row r="189" customFormat="false" ht="15" hidden="false" customHeight="true" outlineLevel="0" collapsed="false">
      <c r="A189" s="9" t="n">
        <v>176</v>
      </c>
      <c r="B189" s="43" t="s">
        <v>109</v>
      </c>
      <c r="C189" s="43" t="s">
        <v>2356</v>
      </c>
      <c r="D189" s="43" t="s">
        <v>654</v>
      </c>
      <c r="E189" s="43"/>
      <c r="F189" s="45" t="s">
        <v>397</v>
      </c>
      <c r="G189" s="9" t="n">
        <v>9</v>
      </c>
      <c r="H189" s="12" t="n">
        <f aca="false">'Engineering Cost'!H189*'Engineering Assumptions'!$B$6</f>
        <v>206280</v>
      </c>
      <c r="I189" s="12" t="n">
        <f aca="false">IF('Engineering Cost'!I189=0,0,MAX('Engineering Cost'!I189*'Engineering Assumptions'!$B$6,'Engineering Assumptions'!$B$9))</f>
        <v>78000</v>
      </c>
      <c r="J189" s="12" t="n">
        <f aca="false">'Engineering Cost'!J189*'Engineering Assumptions'!$B$6</f>
        <v>24000</v>
      </c>
      <c r="K189" s="12" t="n">
        <f aca="false">'Engineering Cost'!K189*'Engineering Assumptions'!$B$6</f>
        <v>18000</v>
      </c>
      <c r="L189" s="13" t="n">
        <f aca="false">SUM(H189:K189)</f>
        <v>326280</v>
      </c>
      <c r="M189" s="13" t="n">
        <f aca="false">L189*(1+'Engineering Assumptions'!$B$10)</f>
        <v>375222</v>
      </c>
    </row>
    <row r="190" customFormat="false" ht="15" hidden="false" customHeight="true" outlineLevel="0" collapsed="false">
      <c r="A190" s="9" t="n">
        <v>177</v>
      </c>
      <c r="B190" s="43" t="s">
        <v>109</v>
      </c>
      <c r="C190" s="43" t="s">
        <v>2356</v>
      </c>
      <c r="D190" s="43" t="s">
        <v>659</v>
      </c>
      <c r="E190" s="43"/>
      <c r="F190" s="45" t="s">
        <v>397</v>
      </c>
      <c r="G190" s="9" t="n">
        <v>9</v>
      </c>
      <c r="H190" s="12" t="n">
        <f aca="false">'Engineering Cost'!H190*'Engineering Assumptions'!$B$6</f>
        <v>206280</v>
      </c>
      <c r="I190" s="12" t="n">
        <f aca="false">IF('Engineering Cost'!I190=0,0,MAX('Engineering Cost'!I190*'Engineering Assumptions'!$B$6,'Engineering Assumptions'!$B$9))</f>
        <v>78000</v>
      </c>
      <c r="J190" s="12" t="n">
        <f aca="false">'Engineering Cost'!J190*'Engineering Assumptions'!$B$6</f>
        <v>24000</v>
      </c>
      <c r="K190" s="12" t="n">
        <f aca="false">'Engineering Cost'!K190*'Engineering Assumptions'!$B$6</f>
        <v>18000</v>
      </c>
      <c r="L190" s="13" t="n">
        <f aca="false">SUM(H190:K190)</f>
        <v>326280</v>
      </c>
      <c r="M190" s="13" t="n">
        <f aca="false">L190*(1+'Engineering Assumptions'!$B$10)</f>
        <v>375222</v>
      </c>
    </row>
    <row r="191" customFormat="false" ht="15" hidden="false" customHeight="true" outlineLevel="0" collapsed="false">
      <c r="A191" s="9" t="n">
        <v>178</v>
      </c>
      <c r="B191" s="43" t="s">
        <v>109</v>
      </c>
      <c r="C191" s="43" t="s">
        <v>2356</v>
      </c>
      <c r="D191" s="43" t="s">
        <v>668</v>
      </c>
      <c r="E191" s="43"/>
      <c r="F191" s="45" t="s">
        <v>397</v>
      </c>
      <c r="G191" s="9" t="n">
        <v>9</v>
      </c>
      <c r="H191" s="12" t="n">
        <f aca="false">'Engineering Cost'!H191*'Engineering Assumptions'!$B$6</f>
        <v>206280</v>
      </c>
      <c r="I191" s="12" t="n">
        <f aca="false">IF('Engineering Cost'!I191=0,0,MAX('Engineering Cost'!I191*'Engineering Assumptions'!$B$6,'Engineering Assumptions'!$B$9))</f>
        <v>78000</v>
      </c>
      <c r="J191" s="12" t="n">
        <f aca="false">'Engineering Cost'!J191*'Engineering Assumptions'!$B$6</f>
        <v>24000</v>
      </c>
      <c r="K191" s="12" t="n">
        <f aca="false">'Engineering Cost'!K191*'Engineering Assumptions'!$B$6</f>
        <v>18000</v>
      </c>
      <c r="L191" s="13" t="n">
        <f aca="false">SUM(H191:K191)</f>
        <v>326280</v>
      </c>
      <c r="M191" s="13" t="n">
        <f aca="false">L191*(1+'Engineering Assumptions'!$B$10)</f>
        <v>375222</v>
      </c>
    </row>
    <row r="192" customFormat="false" ht="15" hidden="false" customHeight="true" outlineLevel="0" collapsed="false">
      <c r="A192" s="9" t="n">
        <v>179</v>
      </c>
      <c r="B192" s="43" t="s">
        <v>109</v>
      </c>
      <c r="C192" s="43" t="s">
        <v>2356</v>
      </c>
      <c r="D192" s="43" t="s">
        <v>672</v>
      </c>
      <c r="E192" s="43"/>
      <c r="F192" s="45" t="s">
        <v>397</v>
      </c>
      <c r="G192" s="9" t="n">
        <v>9</v>
      </c>
      <c r="H192" s="12" t="n">
        <f aca="false">'Engineering Cost'!H192*'Engineering Assumptions'!$B$6</f>
        <v>206280</v>
      </c>
      <c r="I192" s="12" t="n">
        <f aca="false">IF('Engineering Cost'!I192=0,0,MAX('Engineering Cost'!I192*'Engineering Assumptions'!$B$6,'Engineering Assumptions'!$B$9))</f>
        <v>78000</v>
      </c>
      <c r="J192" s="12" t="n">
        <f aca="false">'Engineering Cost'!J192*'Engineering Assumptions'!$B$6</f>
        <v>24000</v>
      </c>
      <c r="K192" s="12" t="n">
        <f aca="false">'Engineering Cost'!K192*'Engineering Assumptions'!$B$6</f>
        <v>18000</v>
      </c>
      <c r="L192" s="13" t="n">
        <f aca="false">SUM(H192:K192)</f>
        <v>326280</v>
      </c>
      <c r="M192" s="13" t="n">
        <f aca="false">L192*(1+'Engineering Assumptions'!$B$10)</f>
        <v>375222</v>
      </c>
    </row>
    <row r="193" customFormat="false" ht="15" hidden="false" customHeight="true" outlineLevel="0" collapsed="false">
      <c r="A193" s="9" t="n">
        <v>180</v>
      </c>
      <c r="B193" s="43" t="s">
        <v>109</v>
      </c>
      <c r="C193" s="43" t="s">
        <v>2354</v>
      </c>
      <c r="D193" s="43" t="s">
        <v>655</v>
      </c>
      <c r="E193" s="43"/>
      <c r="F193" s="45" t="s">
        <v>397</v>
      </c>
      <c r="G193" s="9" t="n">
        <v>9</v>
      </c>
      <c r="H193" s="12" t="n">
        <f aca="false">'Engineering Cost'!H193*'Engineering Assumptions'!$B$6</f>
        <v>206280</v>
      </c>
      <c r="I193" s="12" t="n">
        <f aca="false">IF('Engineering Cost'!I193=0,0,MAX('Engineering Cost'!I193*'Engineering Assumptions'!$B$6,'Engineering Assumptions'!$B$9))</f>
        <v>78000</v>
      </c>
      <c r="J193" s="12" t="n">
        <f aca="false">'Engineering Cost'!J193*'Engineering Assumptions'!$B$6</f>
        <v>24000</v>
      </c>
      <c r="K193" s="12" t="n">
        <f aca="false">'Engineering Cost'!K193*'Engineering Assumptions'!$B$6</f>
        <v>18000</v>
      </c>
      <c r="L193" s="13" t="n">
        <f aca="false">SUM(H193:K193)</f>
        <v>326280</v>
      </c>
      <c r="M193" s="13" t="n">
        <f aca="false">L193*(1+'Engineering Assumptions'!$B$10)</f>
        <v>375222</v>
      </c>
    </row>
    <row r="194" customFormat="false" ht="15" hidden="false" customHeight="true" outlineLevel="0" collapsed="false">
      <c r="A194" s="9" t="n">
        <v>181</v>
      </c>
      <c r="B194" s="43" t="s">
        <v>109</v>
      </c>
      <c r="C194" s="43" t="s">
        <v>2354</v>
      </c>
      <c r="D194" s="43" t="s">
        <v>657</v>
      </c>
      <c r="E194" s="43"/>
      <c r="F194" s="45" t="s">
        <v>397</v>
      </c>
      <c r="G194" s="9" t="n">
        <v>9</v>
      </c>
      <c r="H194" s="12" t="n">
        <f aca="false">'Engineering Cost'!H194*'Engineering Assumptions'!$B$6</f>
        <v>206280</v>
      </c>
      <c r="I194" s="12" t="n">
        <f aca="false">IF('Engineering Cost'!I194=0,0,MAX('Engineering Cost'!I194*'Engineering Assumptions'!$B$6,'Engineering Assumptions'!$B$9))</f>
        <v>78000</v>
      </c>
      <c r="J194" s="12" t="n">
        <f aca="false">'Engineering Cost'!J194*'Engineering Assumptions'!$B$6</f>
        <v>24000</v>
      </c>
      <c r="K194" s="12" t="n">
        <f aca="false">'Engineering Cost'!K194*'Engineering Assumptions'!$B$6</f>
        <v>18000</v>
      </c>
      <c r="L194" s="13" t="n">
        <f aca="false">SUM(H194:K194)</f>
        <v>326280</v>
      </c>
      <c r="M194" s="13" t="n">
        <f aca="false">L194*(1+'Engineering Assumptions'!$B$10)</f>
        <v>375222</v>
      </c>
    </row>
    <row r="195" customFormat="false" ht="15" hidden="false" customHeight="true" outlineLevel="0" collapsed="false">
      <c r="A195" s="9" t="n">
        <v>182</v>
      </c>
      <c r="B195" s="43" t="s">
        <v>109</v>
      </c>
      <c r="C195" s="43" t="s">
        <v>2354</v>
      </c>
      <c r="D195" s="43" t="s">
        <v>658</v>
      </c>
      <c r="E195" s="43"/>
      <c r="F195" s="45" t="s">
        <v>397</v>
      </c>
      <c r="G195" s="9" t="n">
        <v>9</v>
      </c>
      <c r="H195" s="12" t="n">
        <f aca="false">'Engineering Cost'!H195*'Engineering Assumptions'!$B$6</f>
        <v>206280</v>
      </c>
      <c r="I195" s="12" t="n">
        <f aca="false">IF('Engineering Cost'!I195=0,0,MAX('Engineering Cost'!I195*'Engineering Assumptions'!$B$6,'Engineering Assumptions'!$B$9))</f>
        <v>78000</v>
      </c>
      <c r="J195" s="12" t="n">
        <f aca="false">'Engineering Cost'!J195*'Engineering Assumptions'!$B$6</f>
        <v>24000</v>
      </c>
      <c r="K195" s="12" t="n">
        <f aca="false">'Engineering Cost'!K195*'Engineering Assumptions'!$B$6</f>
        <v>18000</v>
      </c>
      <c r="L195" s="13" t="n">
        <f aca="false">SUM(H195:K195)</f>
        <v>326280</v>
      </c>
      <c r="M195" s="13" t="n">
        <f aca="false">L195*(1+'Engineering Assumptions'!$B$10)</f>
        <v>375222</v>
      </c>
    </row>
    <row r="196" customFormat="false" ht="15" hidden="false" customHeight="true" outlineLevel="0" collapsed="false">
      <c r="A196" s="9" t="n">
        <v>183</v>
      </c>
      <c r="B196" s="43" t="s">
        <v>109</v>
      </c>
      <c r="C196" s="43" t="s">
        <v>2354</v>
      </c>
      <c r="D196" s="43" t="s">
        <v>663</v>
      </c>
      <c r="E196" s="43"/>
      <c r="F196" s="45" t="s">
        <v>397</v>
      </c>
      <c r="G196" s="9" t="n">
        <v>9</v>
      </c>
      <c r="H196" s="12" t="n">
        <f aca="false">'Engineering Cost'!H196*'Engineering Assumptions'!$B$6</f>
        <v>206280</v>
      </c>
      <c r="I196" s="12" t="n">
        <f aca="false">IF('Engineering Cost'!I196=0,0,MAX('Engineering Cost'!I196*'Engineering Assumptions'!$B$6,'Engineering Assumptions'!$B$9))</f>
        <v>78000</v>
      </c>
      <c r="J196" s="12" t="n">
        <f aca="false">'Engineering Cost'!J196*'Engineering Assumptions'!$B$6</f>
        <v>24000</v>
      </c>
      <c r="K196" s="12" t="n">
        <f aca="false">'Engineering Cost'!K196*'Engineering Assumptions'!$B$6</f>
        <v>18000</v>
      </c>
      <c r="L196" s="13" t="n">
        <f aca="false">SUM(H196:K196)</f>
        <v>326280</v>
      </c>
      <c r="M196" s="13" t="n">
        <f aca="false">L196*(1+'Engineering Assumptions'!$B$10)</f>
        <v>375222</v>
      </c>
    </row>
    <row r="197" customFormat="false" ht="15" hidden="false" customHeight="true" outlineLevel="0" collapsed="false">
      <c r="A197" s="9" t="n">
        <v>184</v>
      </c>
      <c r="B197" s="43" t="s">
        <v>109</v>
      </c>
      <c r="C197" s="43" t="s">
        <v>2357</v>
      </c>
      <c r="D197" s="43" t="s">
        <v>645</v>
      </c>
      <c r="E197" s="43"/>
      <c r="F197" s="45" t="s">
        <v>397</v>
      </c>
      <c r="G197" s="9" t="n">
        <v>9</v>
      </c>
      <c r="H197" s="12" t="n">
        <f aca="false">'Engineering Cost'!H197*'Engineering Assumptions'!$B$6</f>
        <v>206280</v>
      </c>
      <c r="I197" s="12" t="n">
        <f aca="false">IF('Engineering Cost'!I197=0,0,MAX('Engineering Cost'!I197*'Engineering Assumptions'!$B$6,'Engineering Assumptions'!$B$9))</f>
        <v>78000</v>
      </c>
      <c r="J197" s="12" t="n">
        <f aca="false">'Engineering Cost'!J197*'Engineering Assumptions'!$B$6</f>
        <v>24000</v>
      </c>
      <c r="K197" s="12" t="n">
        <f aca="false">'Engineering Cost'!K197*'Engineering Assumptions'!$B$6</f>
        <v>18000</v>
      </c>
      <c r="L197" s="13" t="n">
        <f aca="false">SUM(H197:K197)</f>
        <v>326280</v>
      </c>
      <c r="M197" s="13" t="n">
        <f aca="false">L197*(1+'Engineering Assumptions'!$B$10)</f>
        <v>375222</v>
      </c>
    </row>
    <row r="198" customFormat="false" ht="15" hidden="false" customHeight="true" outlineLevel="0" collapsed="false">
      <c r="A198" s="9" t="n">
        <v>185</v>
      </c>
      <c r="B198" s="43" t="s">
        <v>109</v>
      </c>
      <c r="C198" s="43" t="s">
        <v>2358</v>
      </c>
      <c r="D198" s="43" t="s">
        <v>660</v>
      </c>
      <c r="E198" s="43"/>
      <c r="F198" s="45" t="s">
        <v>397</v>
      </c>
      <c r="G198" s="9" t="n">
        <v>9</v>
      </c>
      <c r="H198" s="12" t="n">
        <f aca="false">'Engineering Cost'!H198*'Engineering Assumptions'!$B$6</f>
        <v>206280</v>
      </c>
      <c r="I198" s="12" t="n">
        <f aca="false">IF('Engineering Cost'!I198=0,0,MAX('Engineering Cost'!I198*'Engineering Assumptions'!$B$6,'Engineering Assumptions'!$B$9))</f>
        <v>78000</v>
      </c>
      <c r="J198" s="12" t="n">
        <f aca="false">'Engineering Cost'!J198*'Engineering Assumptions'!$B$6</f>
        <v>24000</v>
      </c>
      <c r="K198" s="12" t="n">
        <f aca="false">'Engineering Cost'!K198*'Engineering Assumptions'!$B$6</f>
        <v>18000</v>
      </c>
      <c r="L198" s="13" t="n">
        <f aca="false">SUM(H198:K198)</f>
        <v>326280</v>
      </c>
      <c r="M198" s="13" t="n">
        <f aca="false">L198*(1+'Engineering Assumptions'!$B$10)</f>
        <v>375222</v>
      </c>
    </row>
    <row r="199" customFormat="false" ht="15" hidden="false" customHeight="true" outlineLevel="0" collapsed="false">
      <c r="A199" s="9" t="n">
        <v>186</v>
      </c>
      <c r="B199" s="43" t="s">
        <v>109</v>
      </c>
      <c r="C199" s="43" t="s">
        <v>2354</v>
      </c>
      <c r="D199" s="43" t="s">
        <v>662</v>
      </c>
      <c r="E199" s="43"/>
      <c r="F199" s="45" t="s">
        <v>318</v>
      </c>
      <c r="G199" s="9" t="n">
        <v>10</v>
      </c>
      <c r="H199" s="12" t="n">
        <f aca="false">'Engineering Cost'!H199*'Engineering Assumptions'!$B$6</f>
        <v>206280</v>
      </c>
      <c r="I199" s="12" t="n">
        <f aca="false">IF('Engineering Cost'!I199=0,0,MAX('Engineering Cost'!I199*'Engineering Assumptions'!$B$6,'Engineering Assumptions'!$B$9))</f>
        <v>78000</v>
      </c>
      <c r="J199" s="12" t="n">
        <f aca="false">'Engineering Cost'!J199*'Engineering Assumptions'!$B$6</f>
        <v>24000</v>
      </c>
      <c r="K199" s="12" t="n">
        <f aca="false">'Engineering Cost'!K199*'Engineering Assumptions'!$B$6</f>
        <v>18000</v>
      </c>
      <c r="L199" s="13" t="n">
        <f aca="false">SUM(H199:K199)</f>
        <v>326280</v>
      </c>
      <c r="M199" s="13" t="n">
        <f aca="false">L199*(1+'Engineering Assumptions'!$B$10)</f>
        <v>375222</v>
      </c>
    </row>
    <row r="200" customFormat="false" ht="15" hidden="false" customHeight="true" outlineLevel="0" collapsed="false">
      <c r="A200" s="9" t="n">
        <v>187</v>
      </c>
      <c r="B200" s="43" t="s">
        <v>109</v>
      </c>
      <c r="C200" s="43" t="s">
        <v>2354</v>
      </c>
      <c r="D200" s="43" t="s">
        <v>646</v>
      </c>
      <c r="E200" s="43"/>
      <c r="F200" s="45" t="s">
        <v>318</v>
      </c>
      <c r="G200" s="9" t="n">
        <v>10</v>
      </c>
      <c r="H200" s="12" t="n">
        <f aca="false">'Engineering Cost'!H200*'Engineering Assumptions'!$B$6</f>
        <v>206280</v>
      </c>
      <c r="I200" s="12" t="n">
        <f aca="false">IF('Engineering Cost'!I200=0,0,MAX('Engineering Cost'!I200*'Engineering Assumptions'!$B$6,'Engineering Assumptions'!$B$9))</f>
        <v>78000</v>
      </c>
      <c r="J200" s="12" t="n">
        <f aca="false">'Engineering Cost'!J200*'Engineering Assumptions'!$B$6</f>
        <v>24000</v>
      </c>
      <c r="K200" s="12" t="n">
        <f aca="false">'Engineering Cost'!K200*'Engineering Assumptions'!$B$6</f>
        <v>18000</v>
      </c>
      <c r="L200" s="13" t="n">
        <f aca="false">SUM(H200:K200)</f>
        <v>326280</v>
      </c>
      <c r="M200" s="13" t="n">
        <f aca="false">L200*(1+'Engineering Assumptions'!$B$10)</f>
        <v>375222</v>
      </c>
    </row>
    <row r="201" customFormat="false" ht="15" hidden="false" customHeight="true" outlineLevel="0" collapsed="false">
      <c r="A201" s="9" t="n">
        <v>188</v>
      </c>
      <c r="B201" s="43" t="s">
        <v>109</v>
      </c>
      <c r="C201" s="43" t="s">
        <v>2354</v>
      </c>
      <c r="D201" s="43" t="s">
        <v>649</v>
      </c>
      <c r="E201" s="43"/>
      <c r="F201" s="45" t="s">
        <v>318</v>
      </c>
      <c r="G201" s="9" t="n">
        <v>10</v>
      </c>
      <c r="H201" s="12" t="n">
        <f aca="false">'Engineering Cost'!H201*'Engineering Assumptions'!$B$6</f>
        <v>206280</v>
      </c>
      <c r="I201" s="12" t="n">
        <f aca="false">IF('Engineering Cost'!I201=0,0,MAX('Engineering Cost'!I201*'Engineering Assumptions'!$B$6,'Engineering Assumptions'!$B$9))</f>
        <v>78000</v>
      </c>
      <c r="J201" s="12" t="n">
        <f aca="false">'Engineering Cost'!J201*'Engineering Assumptions'!$B$6</f>
        <v>24000</v>
      </c>
      <c r="K201" s="12" t="n">
        <f aca="false">'Engineering Cost'!K201*'Engineering Assumptions'!$B$6</f>
        <v>18000</v>
      </c>
      <c r="L201" s="13" t="n">
        <f aca="false">SUM(H201:K201)</f>
        <v>326280</v>
      </c>
      <c r="M201" s="13" t="n">
        <f aca="false">L201*(1+'Engineering Assumptions'!$B$10)</f>
        <v>375222</v>
      </c>
    </row>
    <row r="202" customFormat="false" ht="15" hidden="false" customHeight="true" outlineLevel="0" collapsed="false">
      <c r="A202" s="9" t="n">
        <v>189</v>
      </c>
      <c r="B202" s="43" t="s">
        <v>109</v>
      </c>
      <c r="C202" s="43" t="s">
        <v>2354</v>
      </c>
      <c r="D202" s="43" t="s">
        <v>656</v>
      </c>
      <c r="E202" s="43"/>
      <c r="F202" s="45" t="s">
        <v>318</v>
      </c>
      <c r="G202" s="9" t="n">
        <v>10</v>
      </c>
      <c r="H202" s="12" t="n">
        <f aca="false">'Engineering Cost'!H202*'Engineering Assumptions'!$B$6</f>
        <v>206280</v>
      </c>
      <c r="I202" s="12" t="n">
        <f aca="false">IF('Engineering Cost'!I202=0,0,MAX('Engineering Cost'!I202*'Engineering Assumptions'!$B$6,'Engineering Assumptions'!$B$9))</f>
        <v>78000</v>
      </c>
      <c r="J202" s="12" t="n">
        <f aca="false">'Engineering Cost'!J202*'Engineering Assumptions'!$B$6</f>
        <v>24000</v>
      </c>
      <c r="K202" s="12" t="n">
        <f aca="false">'Engineering Cost'!K202*'Engineering Assumptions'!$B$6</f>
        <v>18000</v>
      </c>
      <c r="L202" s="13" t="n">
        <f aca="false">SUM(H202:K202)</f>
        <v>326280</v>
      </c>
      <c r="M202" s="13" t="n">
        <f aca="false">L202*(1+'Engineering Assumptions'!$B$10)</f>
        <v>375222</v>
      </c>
    </row>
    <row r="203" customFormat="false" ht="15" hidden="false" customHeight="true" outlineLevel="0" collapsed="false">
      <c r="A203" s="9" t="n">
        <v>190</v>
      </c>
      <c r="B203" s="43" t="s">
        <v>109</v>
      </c>
      <c r="C203" s="43" t="s">
        <v>2359</v>
      </c>
      <c r="D203" s="43" t="s">
        <v>666</v>
      </c>
      <c r="E203" s="43"/>
      <c r="F203" s="45" t="s">
        <v>318</v>
      </c>
      <c r="G203" s="9" t="n">
        <v>10</v>
      </c>
      <c r="H203" s="12" t="n">
        <f aca="false">'Engineering Cost'!H203*'Engineering Assumptions'!$B$6</f>
        <v>206280</v>
      </c>
      <c r="I203" s="12" t="n">
        <f aca="false">IF('Engineering Cost'!I203=0,0,MAX('Engineering Cost'!I203*'Engineering Assumptions'!$B$6,'Engineering Assumptions'!$B$9))</f>
        <v>78000</v>
      </c>
      <c r="J203" s="12" t="n">
        <f aca="false">'Engineering Cost'!J203*'Engineering Assumptions'!$B$6</f>
        <v>24000</v>
      </c>
      <c r="K203" s="12" t="n">
        <f aca="false">'Engineering Cost'!K203*'Engineering Assumptions'!$B$6</f>
        <v>18000</v>
      </c>
      <c r="L203" s="13" t="n">
        <f aca="false">SUM(H203:K203)</f>
        <v>326280</v>
      </c>
      <c r="M203" s="13" t="n">
        <f aca="false">L203*(1+'Engineering Assumptions'!$B$10)</f>
        <v>375222</v>
      </c>
    </row>
    <row r="204" customFormat="false" ht="15" hidden="false" customHeight="true" outlineLevel="0" collapsed="false">
      <c r="A204" s="9" t="n">
        <v>191</v>
      </c>
      <c r="B204" s="43" t="s">
        <v>109</v>
      </c>
      <c r="C204" s="43" t="s">
        <v>2356</v>
      </c>
      <c r="D204" s="43" t="s">
        <v>651</v>
      </c>
      <c r="E204" s="43"/>
      <c r="F204" s="45" t="s">
        <v>374</v>
      </c>
      <c r="G204" s="9" t="n">
        <v>12</v>
      </c>
      <c r="H204" s="12" t="n">
        <f aca="false">'Engineering Cost'!H204*'Engineering Assumptions'!$B$6</f>
        <v>206280</v>
      </c>
      <c r="I204" s="12" t="n">
        <f aca="false">IF('Engineering Cost'!I204=0,0,MAX('Engineering Cost'!I204*'Engineering Assumptions'!$B$6,'Engineering Assumptions'!$B$9))</f>
        <v>78000</v>
      </c>
      <c r="J204" s="12" t="n">
        <f aca="false">'Engineering Cost'!J204*'Engineering Assumptions'!$B$6</f>
        <v>29760</v>
      </c>
      <c r="K204" s="12" t="n">
        <f aca="false">'Engineering Cost'!K204*'Engineering Assumptions'!$B$6</f>
        <v>32400</v>
      </c>
      <c r="L204" s="13" t="n">
        <f aca="false">SUM(H204:K204)</f>
        <v>346440</v>
      </c>
      <c r="M204" s="13" t="n">
        <f aca="false">L204*(1+'Engineering Assumptions'!$B$10)</f>
        <v>398406</v>
      </c>
    </row>
    <row r="205" customFormat="false" ht="15" hidden="false" customHeight="true" outlineLevel="0" collapsed="false">
      <c r="A205" s="9" t="n">
        <v>192</v>
      </c>
      <c r="B205" s="43" t="s">
        <v>109</v>
      </c>
      <c r="C205" s="43" t="s">
        <v>2360</v>
      </c>
      <c r="D205" s="43" t="s">
        <v>669</v>
      </c>
      <c r="E205" s="43"/>
      <c r="F205" s="45" t="s">
        <v>374</v>
      </c>
      <c r="G205" s="9" t="n">
        <v>12</v>
      </c>
      <c r="H205" s="12" t="n">
        <f aca="false">'Engineering Cost'!H205*'Engineering Assumptions'!$B$6</f>
        <v>206280</v>
      </c>
      <c r="I205" s="12" t="n">
        <f aca="false">IF('Engineering Cost'!I205=0,0,MAX('Engineering Cost'!I205*'Engineering Assumptions'!$B$6,'Engineering Assumptions'!$B$9))</f>
        <v>78000</v>
      </c>
      <c r="J205" s="12" t="n">
        <f aca="false">'Engineering Cost'!J205*'Engineering Assumptions'!$B$6</f>
        <v>29760</v>
      </c>
      <c r="K205" s="12" t="n">
        <f aca="false">'Engineering Cost'!K205*'Engineering Assumptions'!$B$6</f>
        <v>32400</v>
      </c>
      <c r="L205" s="13" t="n">
        <f aca="false">SUM(H205:K205)</f>
        <v>346440</v>
      </c>
      <c r="M205" s="13" t="n">
        <f aca="false">L205*(1+'Engineering Assumptions'!$B$10)</f>
        <v>398406</v>
      </c>
    </row>
    <row r="206" customFormat="false" ht="15" hidden="false" customHeight="true" outlineLevel="0" collapsed="false">
      <c r="A206" s="9" t="n">
        <v>193</v>
      </c>
      <c r="B206" s="43" t="s">
        <v>109</v>
      </c>
      <c r="C206" s="43" t="s">
        <v>2360</v>
      </c>
      <c r="D206" s="43" t="s">
        <v>652</v>
      </c>
      <c r="E206" s="43"/>
      <c r="F206" s="45" t="s">
        <v>374</v>
      </c>
      <c r="G206" s="9" t="n">
        <v>12</v>
      </c>
      <c r="H206" s="12" t="n">
        <f aca="false">'Engineering Cost'!H206*'Engineering Assumptions'!$B$6</f>
        <v>206280</v>
      </c>
      <c r="I206" s="12" t="n">
        <f aca="false">IF('Engineering Cost'!I206=0,0,MAX('Engineering Cost'!I206*'Engineering Assumptions'!$B$6,'Engineering Assumptions'!$B$9))</f>
        <v>78000</v>
      </c>
      <c r="J206" s="12" t="n">
        <f aca="false">'Engineering Cost'!J206*'Engineering Assumptions'!$B$6</f>
        <v>29760</v>
      </c>
      <c r="K206" s="12" t="n">
        <f aca="false">'Engineering Cost'!K206*'Engineering Assumptions'!$B$6</f>
        <v>32400</v>
      </c>
      <c r="L206" s="13" t="n">
        <f aca="false">SUM(H206:K206)</f>
        <v>346440</v>
      </c>
      <c r="M206" s="13" t="n">
        <f aca="false">L206*(1+'Engineering Assumptions'!$B$10)</f>
        <v>398406</v>
      </c>
    </row>
    <row r="207" customFormat="false" ht="15" hidden="false" customHeight="true" outlineLevel="0" collapsed="false">
      <c r="A207" s="9" t="n">
        <v>194</v>
      </c>
      <c r="B207" s="43" t="s">
        <v>109</v>
      </c>
      <c r="C207" s="43" t="s">
        <v>2356</v>
      </c>
      <c r="D207" s="43" t="s">
        <v>653</v>
      </c>
      <c r="E207" s="43"/>
      <c r="F207" s="45" t="s">
        <v>374</v>
      </c>
      <c r="G207" s="9" t="n">
        <v>12</v>
      </c>
      <c r="H207" s="12" t="n">
        <f aca="false">'Engineering Cost'!H207*'Engineering Assumptions'!$B$6</f>
        <v>206280</v>
      </c>
      <c r="I207" s="12" t="n">
        <f aca="false">IF('Engineering Cost'!I207=0,0,MAX('Engineering Cost'!I207*'Engineering Assumptions'!$B$6,'Engineering Assumptions'!$B$9))</f>
        <v>78000</v>
      </c>
      <c r="J207" s="12" t="n">
        <f aca="false">'Engineering Cost'!J207*'Engineering Assumptions'!$B$6</f>
        <v>29760</v>
      </c>
      <c r="K207" s="12" t="n">
        <f aca="false">'Engineering Cost'!K207*'Engineering Assumptions'!$B$6</f>
        <v>32400</v>
      </c>
      <c r="L207" s="13" t="n">
        <f aca="false">SUM(H207:K207)</f>
        <v>346440</v>
      </c>
      <c r="M207" s="13" t="n">
        <f aca="false">L207*(1+'Engineering Assumptions'!$B$10)</f>
        <v>398406</v>
      </c>
    </row>
    <row r="208" customFormat="false" ht="15" hidden="false" customHeight="true" outlineLevel="0" collapsed="false">
      <c r="A208" s="42" t="s">
        <v>673</v>
      </c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</row>
    <row r="209" customFormat="false" ht="15" hidden="false" customHeight="true" outlineLevel="0" collapsed="false">
      <c r="A209" s="9" t="n">
        <v>195</v>
      </c>
      <c r="B209" s="43" t="s">
        <v>111</v>
      </c>
      <c r="C209" s="43" t="s">
        <v>2361</v>
      </c>
      <c r="D209" s="43" t="s">
        <v>674</v>
      </c>
      <c r="E209" s="43"/>
      <c r="F209" s="45" t="s">
        <v>306</v>
      </c>
      <c r="G209" s="9" t="n">
        <v>6</v>
      </c>
      <c r="H209" s="12" t="n">
        <f aca="false">'Engineering Cost'!H209*'Engineering Assumptions'!$B$6</f>
        <v>550080</v>
      </c>
      <c r="I209" s="12" t="n">
        <f aca="false">IF('Engineering Cost'!I209=0,0,MAX('Engineering Cost'!I209*'Engineering Assumptions'!$B$6,'Engineering Assumptions'!$B$9))</f>
        <v>78000</v>
      </c>
      <c r="J209" s="12" t="n">
        <f aca="false">'Engineering Cost'!J209*'Engineering Assumptions'!$B$6</f>
        <v>63000</v>
      </c>
      <c r="K209" s="12" t="n">
        <f aca="false">'Engineering Cost'!K209*'Engineering Assumptions'!$B$6</f>
        <v>50400</v>
      </c>
      <c r="L209" s="13" t="n">
        <f aca="false">SUM(H209:K209)</f>
        <v>741480</v>
      </c>
      <c r="M209" s="13" t="n">
        <f aca="false">L209*(1+'Engineering Assumptions'!$B$10)</f>
        <v>852702</v>
      </c>
    </row>
    <row r="210" customFormat="false" ht="15" hidden="false" customHeight="true" outlineLevel="0" collapsed="false">
      <c r="A210" s="9" t="n">
        <v>196</v>
      </c>
      <c r="B210" s="43" t="s">
        <v>111</v>
      </c>
      <c r="C210" s="43" t="s">
        <v>2362</v>
      </c>
      <c r="D210" s="43" t="s">
        <v>677</v>
      </c>
      <c r="E210" s="43"/>
      <c r="F210" s="45" t="s">
        <v>324</v>
      </c>
      <c r="G210" s="9" t="n">
        <v>7</v>
      </c>
      <c r="H210" s="12" t="n">
        <f aca="false">'Engineering Cost'!H210*'Engineering Assumptions'!$B$6</f>
        <v>550080</v>
      </c>
      <c r="I210" s="12" t="n">
        <f aca="false">IF('Engineering Cost'!I210=0,0,MAX('Engineering Cost'!I210*'Engineering Assumptions'!$B$6,'Engineering Assumptions'!$B$9))</f>
        <v>78000</v>
      </c>
      <c r="J210" s="12" t="n">
        <f aca="false">'Engineering Cost'!J210*'Engineering Assumptions'!$B$6</f>
        <v>63000</v>
      </c>
      <c r="K210" s="12" t="n">
        <f aca="false">'Engineering Cost'!K210*'Engineering Assumptions'!$B$6</f>
        <v>50400</v>
      </c>
      <c r="L210" s="13" t="n">
        <f aca="false">SUM(H210:K210)</f>
        <v>741480</v>
      </c>
      <c r="M210" s="13" t="n">
        <f aca="false">L210*(1+'Engineering Assumptions'!$B$10)</f>
        <v>852702</v>
      </c>
    </row>
    <row r="211" customFormat="false" ht="15" hidden="false" customHeight="true" outlineLevel="0" collapsed="false">
      <c r="A211" s="9" t="n">
        <v>197</v>
      </c>
      <c r="B211" s="43" t="s">
        <v>111</v>
      </c>
      <c r="C211" s="43" t="s">
        <v>2363</v>
      </c>
      <c r="D211" s="43" t="s">
        <v>679</v>
      </c>
      <c r="E211" s="43"/>
      <c r="F211" s="45" t="s">
        <v>374</v>
      </c>
      <c r="G211" s="9" t="n">
        <v>12</v>
      </c>
      <c r="H211" s="12" t="n">
        <f aca="false">'Engineering Cost'!H211*'Engineering Assumptions'!$B$6</f>
        <v>550080</v>
      </c>
      <c r="I211" s="12" t="n">
        <f aca="false">IF('Engineering Cost'!I211=0,0,MAX('Engineering Cost'!I211*'Engineering Assumptions'!$B$6,'Engineering Assumptions'!$B$9))</f>
        <v>78000</v>
      </c>
      <c r="J211" s="12" t="n">
        <f aca="false">'Engineering Cost'!J211*'Engineering Assumptions'!$B$6</f>
        <v>78120</v>
      </c>
      <c r="K211" s="12" t="n">
        <f aca="false">'Engineering Cost'!K211*'Engineering Assumptions'!$B$6</f>
        <v>90720</v>
      </c>
      <c r="L211" s="13" t="n">
        <f aca="false">SUM(H211:K211)</f>
        <v>796920</v>
      </c>
      <c r="M211" s="13" t="n">
        <f aca="false">L211*(1+'Engineering Assumptions'!$B$10)</f>
        <v>916458</v>
      </c>
    </row>
    <row r="212" customFormat="false" ht="15" hidden="false" customHeight="true" outlineLevel="0" collapsed="false">
      <c r="A212" s="9" t="n">
        <v>198</v>
      </c>
      <c r="B212" s="43" t="s">
        <v>111</v>
      </c>
      <c r="C212" s="43" t="s">
        <v>2364</v>
      </c>
      <c r="D212" s="43" t="s">
        <v>681</v>
      </c>
      <c r="E212" s="43"/>
      <c r="F212" s="45" t="s">
        <v>374</v>
      </c>
      <c r="G212" s="9" t="n">
        <v>12</v>
      </c>
      <c r="H212" s="12" t="n">
        <f aca="false">'Engineering Cost'!H212*'Engineering Assumptions'!$B$6</f>
        <v>550080</v>
      </c>
      <c r="I212" s="12" t="n">
        <f aca="false">IF('Engineering Cost'!I212=0,0,MAX('Engineering Cost'!I212*'Engineering Assumptions'!$B$6,'Engineering Assumptions'!$B$9))</f>
        <v>78000</v>
      </c>
      <c r="J212" s="12" t="n">
        <f aca="false">'Engineering Cost'!J212*'Engineering Assumptions'!$B$6</f>
        <v>78120</v>
      </c>
      <c r="K212" s="12" t="n">
        <f aca="false">'Engineering Cost'!K212*'Engineering Assumptions'!$B$6</f>
        <v>90720</v>
      </c>
      <c r="L212" s="13" t="n">
        <f aca="false">SUM(H212:K212)</f>
        <v>796920</v>
      </c>
      <c r="M212" s="13" t="n">
        <f aca="false">L212*(1+'Engineering Assumptions'!$B$10)</f>
        <v>916458</v>
      </c>
    </row>
    <row r="213" customFormat="false" ht="15" hidden="false" customHeight="true" outlineLevel="0" collapsed="false">
      <c r="A213" s="9" t="n">
        <v>199</v>
      </c>
      <c r="B213" s="43" t="s">
        <v>111</v>
      </c>
      <c r="C213" s="43" t="s">
        <v>2365</v>
      </c>
      <c r="D213" s="43" t="s">
        <v>683</v>
      </c>
      <c r="E213" s="43"/>
      <c r="F213" s="45" t="s">
        <v>380</v>
      </c>
      <c r="G213" s="9" t="n">
        <v>13</v>
      </c>
      <c r="H213" s="12" t="n">
        <f aca="false">'Engineering Cost'!H213*'Engineering Assumptions'!$B$6</f>
        <v>550080</v>
      </c>
      <c r="I213" s="12" t="n">
        <f aca="false">IF('Engineering Cost'!I213=0,0,MAX('Engineering Cost'!I213*'Engineering Assumptions'!$B$6,'Engineering Assumptions'!$B$9))</f>
        <v>78000</v>
      </c>
      <c r="J213" s="12" t="n">
        <f aca="false">'Engineering Cost'!J213*'Engineering Assumptions'!$B$6</f>
        <v>78120</v>
      </c>
      <c r="K213" s="12" t="n">
        <f aca="false">'Engineering Cost'!K213*'Engineering Assumptions'!$B$6</f>
        <v>90720</v>
      </c>
      <c r="L213" s="13" t="n">
        <f aca="false">SUM(H213:K213)</f>
        <v>796920</v>
      </c>
      <c r="M213" s="13" t="n">
        <f aca="false">L213*(1+'Engineering Assumptions'!$B$10)</f>
        <v>916458</v>
      </c>
    </row>
    <row r="214" customFormat="false" ht="15" hidden="false" customHeight="true" outlineLevel="0" collapsed="false">
      <c r="A214" s="9" t="n">
        <v>200</v>
      </c>
      <c r="B214" s="43" t="s">
        <v>111</v>
      </c>
      <c r="C214" s="43" t="s">
        <v>2366</v>
      </c>
      <c r="D214" s="43" t="s">
        <v>686</v>
      </c>
      <c r="E214" s="43"/>
      <c r="F214" s="45" t="s">
        <v>310</v>
      </c>
      <c r="G214" s="9" t="n">
        <v>14</v>
      </c>
      <c r="H214" s="12" t="n">
        <f aca="false">'Engineering Cost'!H214*'Engineering Assumptions'!$B$6</f>
        <v>550080</v>
      </c>
      <c r="I214" s="12" t="n">
        <f aca="false">IF('Engineering Cost'!I214=0,0,MAX('Engineering Cost'!I214*'Engineering Assumptions'!$B$6,'Engineering Assumptions'!$B$9))</f>
        <v>78000</v>
      </c>
      <c r="J214" s="12" t="n">
        <f aca="false">'Engineering Cost'!J214*'Engineering Assumptions'!$B$6</f>
        <v>78120</v>
      </c>
      <c r="K214" s="12" t="n">
        <f aca="false">'Engineering Cost'!K214*'Engineering Assumptions'!$B$6</f>
        <v>90720</v>
      </c>
      <c r="L214" s="13" t="n">
        <f aca="false">SUM(H214:K214)</f>
        <v>796920</v>
      </c>
      <c r="M214" s="13" t="n">
        <f aca="false">L214*(1+'Engineering Assumptions'!$B$10)</f>
        <v>916458</v>
      </c>
    </row>
    <row r="215" customFormat="false" ht="15" hidden="false" customHeight="true" outlineLevel="0" collapsed="false">
      <c r="A215" s="9" t="n">
        <v>201</v>
      </c>
      <c r="B215" s="43" t="s">
        <v>111</v>
      </c>
      <c r="C215" s="43" t="s">
        <v>2367</v>
      </c>
      <c r="D215" s="43" t="s">
        <v>688</v>
      </c>
      <c r="E215" s="43"/>
      <c r="F215" s="45" t="s">
        <v>310</v>
      </c>
      <c r="G215" s="9" t="n">
        <v>14</v>
      </c>
      <c r="H215" s="12" t="n">
        <f aca="false">'Engineering Cost'!H215*'Engineering Assumptions'!$B$6</f>
        <v>550080</v>
      </c>
      <c r="I215" s="12" t="n">
        <f aca="false">IF('Engineering Cost'!I215=0,0,MAX('Engineering Cost'!I215*'Engineering Assumptions'!$B$6,'Engineering Assumptions'!$B$9))</f>
        <v>78000</v>
      </c>
      <c r="J215" s="12" t="n">
        <f aca="false">'Engineering Cost'!J215*'Engineering Assumptions'!$B$6</f>
        <v>78120</v>
      </c>
      <c r="K215" s="12" t="n">
        <f aca="false">'Engineering Cost'!K215*'Engineering Assumptions'!$B$6</f>
        <v>90720</v>
      </c>
      <c r="L215" s="13" t="n">
        <f aca="false">SUM(H215:K215)</f>
        <v>796920</v>
      </c>
      <c r="M215" s="13" t="n">
        <f aca="false">L215*(1+'Engineering Assumptions'!$B$10)</f>
        <v>916458</v>
      </c>
    </row>
    <row r="216" customFormat="false" ht="15" hidden="false" customHeight="true" outlineLevel="0" collapsed="false">
      <c r="A216" s="9" t="n">
        <v>202</v>
      </c>
      <c r="B216" s="43" t="s">
        <v>111</v>
      </c>
      <c r="C216" s="43" t="s">
        <v>2368</v>
      </c>
      <c r="D216" s="43" t="s">
        <v>690</v>
      </c>
      <c r="E216" s="43"/>
      <c r="F216" s="45" t="s">
        <v>310</v>
      </c>
      <c r="G216" s="9" t="n">
        <v>14</v>
      </c>
      <c r="H216" s="12" t="n">
        <f aca="false">'Engineering Cost'!H216*'Engineering Assumptions'!$B$6</f>
        <v>550080</v>
      </c>
      <c r="I216" s="12" t="n">
        <f aca="false">IF('Engineering Cost'!I216=0,0,MAX('Engineering Cost'!I216*'Engineering Assumptions'!$B$6,'Engineering Assumptions'!$B$9))</f>
        <v>78000</v>
      </c>
      <c r="J216" s="12" t="n">
        <f aca="false">'Engineering Cost'!J216*'Engineering Assumptions'!$B$6</f>
        <v>78120</v>
      </c>
      <c r="K216" s="12" t="n">
        <f aca="false">'Engineering Cost'!K216*'Engineering Assumptions'!$B$6</f>
        <v>90720</v>
      </c>
      <c r="L216" s="13" t="n">
        <f aca="false">SUM(H216:K216)</f>
        <v>796920</v>
      </c>
      <c r="M216" s="13" t="n">
        <f aca="false">L216*(1+'Engineering Assumptions'!$B$10)</f>
        <v>916458</v>
      </c>
    </row>
    <row r="217" customFormat="false" ht="15" hidden="false" customHeight="true" outlineLevel="0" collapsed="false">
      <c r="A217" s="9" t="n">
        <v>203</v>
      </c>
      <c r="B217" s="43" t="s">
        <v>111</v>
      </c>
      <c r="C217" s="43" t="s">
        <v>2369</v>
      </c>
      <c r="D217" s="43" t="s">
        <v>692</v>
      </c>
      <c r="E217" s="43"/>
      <c r="F217" s="45" t="s">
        <v>348</v>
      </c>
      <c r="G217" s="9" t="n">
        <v>20</v>
      </c>
      <c r="H217" s="12" t="n">
        <f aca="false">'Engineering Cost'!H217*'Engineering Assumptions'!$B$6</f>
        <v>550080</v>
      </c>
      <c r="I217" s="12" t="n">
        <f aca="false">IF('Engineering Cost'!I217=0,0,MAX('Engineering Cost'!I217*'Engineering Assumptions'!$B$6,'Engineering Assumptions'!$B$9))</f>
        <v>78000</v>
      </c>
      <c r="J217" s="12" t="n">
        <f aca="false">'Engineering Cost'!J217*'Engineering Assumptions'!$B$6</f>
        <v>98280</v>
      </c>
      <c r="K217" s="12" t="n">
        <f aca="false">'Engineering Cost'!K217*'Engineering Assumptions'!$B$6</f>
        <v>141120</v>
      </c>
      <c r="L217" s="13" t="n">
        <f aca="false">SUM(H217:K217)</f>
        <v>867480</v>
      </c>
      <c r="M217" s="13" t="n">
        <f aca="false">L217*(1+'Engineering Assumptions'!$B$10)</f>
        <v>997602</v>
      </c>
    </row>
    <row r="218" customFormat="false" ht="15" hidden="false" customHeight="true" outlineLevel="0" collapsed="false">
      <c r="A218" s="9" t="n">
        <v>204</v>
      </c>
      <c r="B218" s="43" t="s">
        <v>111</v>
      </c>
      <c r="C218" s="43" t="s">
        <v>2313</v>
      </c>
      <c r="D218" s="43" t="s">
        <v>694</v>
      </c>
      <c r="E218" s="43"/>
      <c r="F218" s="45" t="s">
        <v>472</v>
      </c>
      <c r="G218" s="9" t="n">
        <v>30</v>
      </c>
      <c r="H218" s="12" t="n">
        <f aca="false">'Engineering Cost'!H218*'Engineering Assumptions'!$B$6</f>
        <v>550080</v>
      </c>
      <c r="I218" s="12" t="n">
        <f aca="false">IF('Engineering Cost'!I218=0,0,MAX('Engineering Cost'!I218*'Engineering Assumptions'!$B$6,'Engineering Assumptions'!$B$9))</f>
        <v>78000</v>
      </c>
      <c r="J218" s="12" t="n">
        <f aca="false">'Engineering Cost'!J218*'Engineering Assumptions'!$B$6</f>
        <v>120960</v>
      </c>
      <c r="K218" s="12" t="n">
        <f aca="false">'Engineering Cost'!K218*'Engineering Assumptions'!$B$6</f>
        <v>201600</v>
      </c>
      <c r="L218" s="13" t="n">
        <f aca="false">SUM(H218:K218)</f>
        <v>950640</v>
      </c>
      <c r="M218" s="13" t="n">
        <f aca="false">L218*(1+'Engineering Assumptions'!$B$10)</f>
        <v>1093236</v>
      </c>
    </row>
    <row r="219" customFormat="false" ht="15" hidden="false" customHeight="true" outlineLevel="0" collapsed="false">
      <c r="A219" s="9" t="n">
        <v>205</v>
      </c>
      <c r="B219" s="43" t="s">
        <v>111</v>
      </c>
      <c r="C219" s="43" t="s">
        <v>2313</v>
      </c>
      <c r="D219" s="43" t="s">
        <v>695</v>
      </c>
      <c r="E219" s="43"/>
      <c r="F219" s="45" t="s">
        <v>472</v>
      </c>
      <c r="G219" s="9" t="n">
        <v>30</v>
      </c>
      <c r="H219" s="12" t="n">
        <f aca="false">'Engineering Cost'!H219*'Engineering Assumptions'!$B$6</f>
        <v>550080</v>
      </c>
      <c r="I219" s="12" t="n">
        <f aca="false">IF('Engineering Cost'!I219=0,0,MAX('Engineering Cost'!I219*'Engineering Assumptions'!$B$6,'Engineering Assumptions'!$B$9))</f>
        <v>78000</v>
      </c>
      <c r="J219" s="12" t="n">
        <f aca="false">'Engineering Cost'!J219*'Engineering Assumptions'!$B$6</f>
        <v>120960</v>
      </c>
      <c r="K219" s="12" t="n">
        <f aca="false">'Engineering Cost'!K219*'Engineering Assumptions'!$B$6</f>
        <v>201600</v>
      </c>
      <c r="L219" s="13" t="n">
        <f aca="false">SUM(H219:K219)</f>
        <v>950640</v>
      </c>
      <c r="M219" s="13" t="n">
        <f aca="false">L219*(1+'Engineering Assumptions'!$B$10)</f>
        <v>1093236</v>
      </c>
    </row>
    <row r="220" customFormat="false" ht="15" hidden="false" customHeight="true" outlineLevel="0" collapsed="false">
      <c r="A220" s="42" t="s">
        <v>696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</row>
    <row r="221" customFormat="false" ht="15" hidden="false" customHeight="true" outlineLevel="0" collapsed="false">
      <c r="A221" s="9" t="n">
        <v>206</v>
      </c>
      <c r="B221" s="43" t="s">
        <v>113</v>
      </c>
      <c r="C221" s="43" t="s">
        <v>2370</v>
      </c>
      <c r="D221" s="43" t="s">
        <v>698</v>
      </c>
      <c r="E221" s="43" t="s">
        <v>700</v>
      </c>
      <c r="F221" s="45" t="s">
        <v>324</v>
      </c>
      <c r="G221" s="9" t="n">
        <v>7</v>
      </c>
      <c r="H221" s="12" t="n">
        <f aca="false">'Engineering Cost'!H221*'Engineering Assumptions'!$B$6</f>
        <v>297960</v>
      </c>
      <c r="I221" s="12" t="n">
        <f aca="false">IF('Engineering Cost'!I221=0,0,MAX('Engineering Cost'!I221*'Engineering Assumptions'!$B$6,'Engineering Assumptions'!$B$9))</f>
        <v>78000</v>
      </c>
      <c r="J221" s="12" t="n">
        <f aca="false">'Engineering Cost'!J221*'Engineering Assumptions'!$B$6</f>
        <v>25500</v>
      </c>
      <c r="K221" s="12" t="n">
        <f aca="false">'Engineering Cost'!K221*'Engineering Assumptions'!$B$6</f>
        <v>18900</v>
      </c>
      <c r="L221" s="13" t="n">
        <f aca="false">SUM(H221:K221)</f>
        <v>420360</v>
      </c>
      <c r="M221" s="13" t="n">
        <f aca="false">L221*(1+'Engineering Assumptions'!$B$10)</f>
        <v>483414</v>
      </c>
    </row>
    <row r="222" customFormat="false" ht="15" hidden="false" customHeight="true" outlineLevel="0" collapsed="false">
      <c r="A222" s="9" t="n">
        <v>207</v>
      </c>
      <c r="B222" s="43" t="s">
        <v>113</v>
      </c>
      <c r="C222" s="43" t="s">
        <v>2371</v>
      </c>
      <c r="D222" s="43" t="s">
        <v>701</v>
      </c>
      <c r="E222" s="43" t="s">
        <v>703</v>
      </c>
      <c r="F222" s="45" t="s">
        <v>380</v>
      </c>
      <c r="G222" s="9" t="n">
        <v>13</v>
      </c>
      <c r="H222" s="12" t="n">
        <f aca="false">'Engineering Cost'!H222*'Engineering Assumptions'!$B$6</f>
        <v>297960</v>
      </c>
      <c r="I222" s="12" t="n">
        <f aca="false">IF('Engineering Cost'!I222=0,0,MAX('Engineering Cost'!I222*'Engineering Assumptions'!$B$6,'Engineering Assumptions'!$B$9))</f>
        <v>78000</v>
      </c>
      <c r="J222" s="12" t="n">
        <f aca="false">'Engineering Cost'!J222*'Engineering Assumptions'!$B$6</f>
        <v>31620</v>
      </c>
      <c r="K222" s="12" t="n">
        <f aca="false">'Engineering Cost'!K222*'Engineering Assumptions'!$B$6</f>
        <v>34020</v>
      </c>
      <c r="L222" s="13" t="n">
        <f aca="false">SUM(H222:K222)</f>
        <v>441600</v>
      </c>
      <c r="M222" s="13" t="n">
        <f aca="false">L222*(1+'Engineering Assumptions'!$B$10)</f>
        <v>507840</v>
      </c>
    </row>
    <row r="223" customFormat="false" ht="15" hidden="false" customHeight="true" outlineLevel="0" collapsed="false">
      <c r="A223" s="9" t="n">
        <v>208</v>
      </c>
      <c r="B223" s="43" t="s">
        <v>113</v>
      </c>
      <c r="C223" s="43" t="s">
        <v>2372</v>
      </c>
      <c r="D223" s="43" t="s">
        <v>705</v>
      </c>
      <c r="E223" s="43" t="s">
        <v>707</v>
      </c>
      <c r="F223" s="45" t="s">
        <v>310</v>
      </c>
      <c r="G223" s="9" t="n">
        <v>14</v>
      </c>
      <c r="H223" s="12" t="n">
        <f aca="false">'Engineering Cost'!H223*'Engineering Assumptions'!$B$6</f>
        <v>297960</v>
      </c>
      <c r="I223" s="12" t="n">
        <f aca="false">IF('Engineering Cost'!I223=0,0,MAX('Engineering Cost'!I223*'Engineering Assumptions'!$B$6,'Engineering Assumptions'!$B$9))</f>
        <v>78000</v>
      </c>
      <c r="J223" s="12" t="n">
        <f aca="false">'Engineering Cost'!J223*'Engineering Assumptions'!$B$6</f>
        <v>31620</v>
      </c>
      <c r="K223" s="12" t="n">
        <f aca="false">'Engineering Cost'!K223*'Engineering Assumptions'!$B$6</f>
        <v>34020</v>
      </c>
      <c r="L223" s="13" t="n">
        <f aca="false">SUM(H223:K223)</f>
        <v>441600</v>
      </c>
      <c r="M223" s="13" t="n">
        <f aca="false">L223*(1+'Engineering Assumptions'!$B$10)</f>
        <v>507840</v>
      </c>
    </row>
    <row r="224" customFormat="false" ht="15" hidden="false" customHeight="true" outlineLevel="0" collapsed="false">
      <c r="A224" s="9" t="n">
        <v>209</v>
      </c>
      <c r="B224" s="43" t="s">
        <v>113</v>
      </c>
      <c r="C224" s="43" t="s">
        <v>2373</v>
      </c>
      <c r="D224" s="43" t="s">
        <v>708</v>
      </c>
      <c r="E224" s="43" t="s">
        <v>711</v>
      </c>
      <c r="F224" s="45" t="s">
        <v>710</v>
      </c>
      <c r="G224" s="9" t="n">
        <v>34</v>
      </c>
      <c r="H224" s="12" t="n">
        <f aca="false">'Engineering Cost'!H224*'Engineering Assumptions'!$B$6</f>
        <v>297960</v>
      </c>
      <c r="I224" s="12" t="n">
        <f aca="false">IF('Engineering Cost'!I224=0,0,MAX('Engineering Cost'!I224*'Engineering Assumptions'!$B$6,'Engineering Assumptions'!$B$9))</f>
        <v>78000</v>
      </c>
      <c r="J224" s="12" t="n">
        <f aca="false">'Engineering Cost'!J224*'Engineering Assumptions'!$B$6</f>
        <v>48960</v>
      </c>
      <c r="K224" s="12" t="n">
        <f aca="false">'Engineering Cost'!K224*'Engineering Assumptions'!$B$6</f>
        <v>75600</v>
      </c>
      <c r="L224" s="13" t="n">
        <f aca="false">SUM(H224:K224)</f>
        <v>500520</v>
      </c>
      <c r="M224" s="13" t="n">
        <f aca="false">L224*(1+'Engineering Assumptions'!$B$10)</f>
        <v>575598</v>
      </c>
    </row>
    <row r="225" customFormat="false" ht="15" hidden="false" customHeight="true" outlineLevel="0" collapsed="false">
      <c r="A225" s="42" t="s">
        <v>712</v>
      </c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</row>
    <row r="226" customFormat="false" ht="15" hidden="false" customHeight="true" outlineLevel="0" collapsed="false">
      <c r="A226" s="9" t="n">
        <v>210</v>
      </c>
      <c r="B226" s="43" t="s">
        <v>115</v>
      </c>
      <c r="C226" s="43" t="s">
        <v>2374</v>
      </c>
      <c r="D226" s="43" t="s">
        <v>714</v>
      </c>
      <c r="E226" s="43" t="s">
        <v>717</v>
      </c>
      <c r="F226" s="45" t="s">
        <v>716</v>
      </c>
      <c r="G226" s="9" t="n">
        <v>28</v>
      </c>
      <c r="H226" s="12" t="n">
        <f aca="false">'Engineering Cost'!H226*'Engineering Assumptions'!$B$6</f>
        <v>458400</v>
      </c>
      <c r="I226" s="12" t="n">
        <f aca="false">IF('Engineering Cost'!I226=0,0,MAX('Engineering Cost'!I226*'Engineering Assumptions'!$B$6,'Engineering Assumptions'!$B$9))</f>
        <v>78000</v>
      </c>
      <c r="J226" s="12" t="n">
        <f aca="false">'Engineering Cost'!J226*'Engineering Assumptions'!$B$6</f>
        <v>97920</v>
      </c>
      <c r="K226" s="12" t="n">
        <f aca="false">'Engineering Cost'!K226*'Engineering Assumptions'!$B$6</f>
        <v>172800</v>
      </c>
      <c r="L226" s="13" t="n">
        <f aca="false">SUM(H226:K226)</f>
        <v>807120</v>
      </c>
      <c r="M226" s="13" t="n">
        <f aca="false">L226*(1+'Engineering Assumptions'!$B$10)</f>
        <v>928188</v>
      </c>
    </row>
    <row r="227" customFormat="false" ht="15" hidden="false" customHeight="true" outlineLevel="0" collapsed="false">
      <c r="A227" s="9" t="n">
        <v>211</v>
      </c>
      <c r="B227" s="43" t="s">
        <v>115</v>
      </c>
      <c r="C227" s="43" t="s">
        <v>2375</v>
      </c>
      <c r="D227" s="43" t="s">
        <v>719</v>
      </c>
      <c r="E227" s="43" t="s">
        <v>722</v>
      </c>
      <c r="F227" s="45" t="s">
        <v>721</v>
      </c>
      <c r="G227" s="9" t="n">
        <v>31</v>
      </c>
      <c r="H227" s="12" t="n">
        <f aca="false">'Engineering Cost'!H227*'Engineering Assumptions'!$B$6</f>
        <v>458400</v>
      </c>
      <c r="I227" s="12" t="n">
        <f aca="false">IF('Engineering Cost'!I227=0,0,MAX('Engineering Cost'!I227*'Engineering Assumptions'!$B$6,'Engineering Assumptions'!$B$9))</f>
        <v>78000</v>
      </c>
      <c r="J227" s="12" t="n">
        <f aca="false">'Engineering Cost'!J227*'Engineering Assumptions'!$B$6</f>
        <v>97920</v>
      </c>
      <c r="K227" s="12" t="n">
        <f aca="false">'Engineering Cost'!K227*'Engineering Assumptions'!$B$6</f>
        <v>172800</v>
      </c>
      <c r="L227" s="13" t="n">
        <f aca="false">SUM(H227:K227)</f>
        <v>807120</v>
      </c>
      <c r="M227" s="13" t="n">
        <f aca="false">L227*(1+'Engineering Assumptions'!$B$10)</f>
        <v>928188</v>
      </c>
    </row>
    <row r="228" customFormat="false" ht="15" hidden="false" customHeight="true" outlineLevel="0" collapsed="false">
      <c r="A228" s="42" t="s">
        <v>723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</row>
    <row r="229" customFormat="false" ht="15" hidden="false" customHeight="true" outlineLevel="0" collapsed="false">
      <c r="A229" s="9" t="n">
        <v>212</v>
      </c>
      <c r="B229" s="43" t="s">
        <v>117</v>
      </c>
      <c r="C229" s="43" t="s">
        <v>2376</v>
      </c>
      <c r="D229" s="43" t="s">
        <v>724</v>
      </c>
      <c r="E229" s="43" t="s">
        <v>726</v>
      </c>
      <c r="F229" s="45" t="s">
        <v>348</v>
      </c>
      <c r="G229" s="9" t="n">
        <v>20</v>
      </c>
      <c r="H229" s="12" t="n">
        <f aca="false">'Engineering Cost'!H229*'Engineering Assumptions'!$B$6</f>
        <v>320880</v>
      </c>
      <c r="I229" s="12" t="n">
        <f aca="false">IF('Engineering Cost'!I229=0,0,MAX('Engineering Cost'!I229*'Engineering Assumptions'!$B$6,'Engineering Assumptions'!$B$9))</f>
        <v>78000</v>
      </c>
      <c r="J229" s="12" t="n">
        <f aca="false">'Engineering Cost'!J229*'Engineering Assumptions'!$B$6</f>
        <v>51480</v>
      </c>
      <c r="K229" s="12" t="n">
        <f aca="false">'Engineering Cost'!K229*'Engineering Assumptions'!$B$6</f>
        <v>70560</v>
      </c>
      <c r="L229" s="13" t="n">
        <f aca="false">SUM(H229:K229)</f>
        <v>520920</v>
      </c>
      <c r="M229" s="13" t="n">
        <f aca="false">L229*(1+'Engineering Assumptions'!$B$10)</f>
        <v>599058</v>
      </c>
    </row>
    <row r="230" customFormat="false" ht="15" hidden="false" customHeight="true" outlineLevel="0" collapsed="false">
      <c r="A230" s="9" t="n">
        <v>213</v>
      </c>
      <c r="B230" s="43" t="s">
        <v>117</v>
      </c>
      <c r="C230" s="43" t="s">
        <v>2377</v>
      </c>
      <c r="D230" s="43" t="s">
        <v>727</v>
      </c>
      <c r="E230" s="43" t="s">
        <v>730</v>
      </c>
      <c r="F230" s="45" t="s">
        <v>729</v>
      </c>
      <c r="G230" s="9" t="n">
        <v>21</v>
      </c>
      <c r="H230" s="12" t="n">
        <f aca="false">'Engineering Cost'!H230*'Engineering Assumptions'!$B$6</f>
        <v>320880</v>
      </c>
      <c r="I230" s="12" t="n">
        <f aca="false">IF('Engineering Cost'!I230=0,0,MAX('Engineering Cost'!I230*'Engineering Assumptions'!$B$6,'Engineering Assumptions'!$B$9))</f>
        <v>78000</v>
      </c>
      <c r="J230" s="12" t="n">
        <f aca="false">'Engineering Cost'!J230*'Engineering Assumptions'!$B$6</f>
        <v>63360</v>
      </c>
      <c r="K230" s="12" t="n">
        <f aca="false">'Engineering Cost'!K230*'Engineering Assumptions'!$B$6</f>
        <v>100800</v>
      </c>
      <c r="L230" s="13" t="n">
        <f aca="false">SUM(H230:K230)</f>
        <v>563040</v>
      </c>
      <c r="M230" s="13" t="n">
        <f aca="false">L230*(1+'Engineering Assumptions'!$B$10)</f>
        <v>647496</v>
      </c>
    </row>
    <row r="231" customFormat="false" ht="15" hidden="false" customHeight="true" outlineLevel="0" collapsed="false">
      <c r="A231" s="9" t="n">
        <v>214</v>
      </c>
      <c r="B231" s="43" t="s">
        <v>117</v>
      </c>
      <c r="C231" s="43" t="s">
        <v>2378</v>
      </c>
      <c r="D231" s="43" t="s">
        <v>731</v>
      </c>
      <c r="E231" s="43" t="s">
        <v>733</v>
      </c>
      <c r="F231" s="45" t="s">
        <v>423</v>
      </c>
      <c r="G231" s="9" t="n">
        <v>23</v>
      </c>
      <c r="H231" s="12" t="n">
        <f aca="false">'Engineering Cost'!H231*'Engineering Assumptions'!$B$6</f>
        <v>320880</v>
      </c>
      <c r="I231" s="12" t="n">
        <f aca="false">IF('Engineering Cost'!I231=0,0,MAX('Engineering Cost'!I231*'Engineering Assumptions'!$B$6,'Engineering Assumptions'!$B$9))</f>
        <v>78000</v>
      </c>
      <c r="J231" s="12" t="n">
        <f aca="false">'Engineering Cost'!J231*'Engineering Assumptions'!$B$6</f>
        <v>63360</v>
      </c>
      <c r="K231" s="12" t="n">
        <f aca="false">'Engineering Cost'!K231*'Engineering Assumptions'!$B$6</f>
        <v>100800</v>
      </c>
      <c r="L231" s="13" t="n">
        <f aca="false">SUM(H231:K231)</f>
        <v>563040</v>
      </c>
      <c r="M231" s="13" t="n">
        <f aca="false">L231*(1+'Engineering Assumptions'!$B$10)</f>
        <v>647496</v>
      </c>
    </row>
    <row r="232" customFormat="false" ht="15" hidden="false" customHeight="true" outlineLevel="0" collapsed="false">
      <c r="A232" s="9" t="n">
        <v>215</v>
      </c>
      <c r="B232" s="43" t="s">
        <v>117</v>
      </c>
      <c r="C232" s="43" t="s">
        <v>2379</v>
      </c>
      <c r="D232" s="43" t="s">
        <v>735</v>
      </c>
      <c r="E232" s="43" t="s">
        <v>736</v>
      </c>
      <c r="F232" s="45" t="s">
        <v>432</v>
      </c>
      <c r="G232" s="9" t="n">
        <v>30</v>
      </c>
      <c r="H232" s="12" t="n">
        <f aca="false">'Engineering Cost'!H232*'Engineering Assumptions'!$B$6</f>
        <v>320880</v>
      </c>
      <c r="I232" s="12" t="n">
        <f aca="false">IF('Engineering Cost'!I232=0,0,MAX('Engineering Cost'!I232*'Engineering Assumptions'!$B$6,'Engineering Assumptions'!$B$9))</f>
        <v>78000</v>
      </c>
      <c r="J232" s="12" t="n">
        <f aca="false">'Engineering Cost'!J232*'Engineering Assumptions'!$B$6</f>
        <v>63360</v>
      </c>
      <c r="K232" s="12" t="n">
        <f aca="false">'Engineering Cost'!K232*'Engineering Assumptions'!$B$6</f>
        <v>100800</v>
      </c>
      <c r="L232" s="13" t="n">
        <f aca="false">SUM(H232:K232)</f>
        <v>563040</v>
      </c>
      <c r="M232" s="13" t="n">
        <f aca="false">L232*(1+'Engineering Assumptions'!$B$10)</f>
        <v>647496</v>
      </c>
    </row>
    <row r="233" customFormat="false" ht="15" hidden="false" customHeight="true" outlineLevel="0" collapsed="false">
      <c r="A233" s="42" t="s">
        <v>737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</row>
    <row r="234" customFormat="false" ht="15" hidden="false" customHeight="true" outlineLevel="0" collapsed="false">
      <c r="A234" s="9" t="n">
        <v>216</v>
      </c>
      <c r="B234" s="43" t="s">
        <v>119</v>
      </c>
      <c r="C234" s="43" t="s">
        <v>2380</v>
      </c>
      <c r="D234" s="43" t="s">
        <v>739</v>
      </c>
      <c r="E234" s="43" t="s">
        <v>741</v>
      </c>
      <c r="F234" s="45" t="s">
        <v>318</v>
      </c>
      <c r="G234" s="9" t="n">
        <v>10</v>
      </c>
      <c r="H234" s="12" t="n">
        <f aca="false">'Engineering Cost'!H234*'Engineering Assumptions'!$B$6</f>
        <v>641760</v>
      </c>
      <c r="I234" s="12" t="n">
        <f aca="false">IF('Engineering Cost'!I234=0,0,MAX('Engineering Cost'!I234*'Engineering Assumptions'!$B$6,'Engineering Assumptions'!$B$9))</f>
        <v>78000</v>
      </c>
      <c r="J234" s="12" t="n">
        <f aca="false">'Engineering Cost'!J234*'Engineering Assumptions'!$B$6</f>
        <v>39000</v>
      </c>
      <c r="K234" s="12" t="n">
        <f aca="false">'Engineering Cost'!K234*'Engineering Assumptions'!$B$6</f>
        <v>31500</v>
      </c>
      <c r="L234" s="13" t="n">
        <f aca="false">SUM(H234:K234)</f>
        <v>790260</v>
      </c>
      <c r="M234" s="13" t="n">
        <f aca="false">L234*(1+'Engineering Assumptions'!$B$10)</f>
        <v>908799</v>
      </c>
    </row>
    <row r="235" customFormat="false" ht="15" hidden="false" customHeight="true" outlineLevel="0" collapsed="false">
      <c r="A235" s="9" t="n">
        <v>217</v>
      </c>
      <c r="B235" s="43" t="s">
        <v>119</v>
      </c>
      <c r="C235" s="43" t="s">
        <v>2381</v>
      </c>
      <c r="D235" s="43" t="s">
        <v>743</v>
      </c>
      <c r="E235" s="43" t="s">
        <v>745</v>
      </c>
      <c r="F235" s="45" t="s">
        <v>310</v>
      </c>
      <c r="G235" s="9" t="n">
        <v>14</v>
      </c>
      <c r="H235" s="12" t="n">
        <f aca="false">'Engineering Cost'!H235*'Engineering Assumptions'!$B$6</f>
        <v>641760</v>
      </c>
      <c r="I235" s="12" t="n">
        <f aca="false">IF('Engineering Cost'!I235=0,0,MAX('Engineering Cost'!I235*'Engineering Assumptions'!$B$6,'Engineering Assumptions'!$B$9))</f>
        <v>78000</v>
      </c>
      <c r="J235" s="12" t="n">
        <f aca="false">'Engineering Cost'!J235*'Engineering Assumptions'!$B$6</f>
        <v>48360</v>
      </c>
      <c r="K235" s="12" t="n">
        <f aca="false">'Engineering Cost'!K235*'Engineering Assumptions'!$B$6</f>
        <v>56700</v>
      </c>
      <c r="L235" s="13" t="n">
        <f aca="false">SUM(H235:K235)</f>
        <v>824820</v>
      </c>
      <c r="M235" s="13" t="n">
        <f aca="false">L235*(1+'Engineering Assumptions'!$B$10)</f>
        <v>948543</v>
      </c>
    </row>
    <row r="236" customFormat="false" ht="15" hidden="false" customHeight="true" outlineLevel="0" collapsed="false">
      <c r="A236" s="9" t="n">
        <v>218</v>
      </c>
      <c r="B236" s="43" t="s">
        <v>119</v>
      </c>
      <c r="C236" s="43" t="s">
        <v>2382</v>
      </c>
      <c r="D236" s="43" t="s">
        <v>746</v>
      </c>
      <c r="E236" s="43" t="s">
        <v>749</v>
      </c>
      <c r="F236" s="45" t="s">
        <v>748</v>
      </c>
      <c r="G236" s="9" t="n">
        <v>15</v>
      </c>
      <c r="H236" s="12" t="n">
        <f aca="false">'Engineering Cost'!H236*'Engineering Assumptions'!$B$6</f>
        <v>641760</v>
      </c>
      <c r="I236" s="12" t="n">
        <f aca="false">IF('Engineering Cost'!I236=0,0,MAX('Engineering Cost'!I236*'Engineering Assumptions'!$B$6,'Engineering Assumptions'!$B$9))</f>
        <v>78000</v>
      </c>
      <c r="J236" s="12" t="n">
        <f aca="false">'Engineering Cost'!J236*'Engineering Assumptions'!$B$6</f>
        <v>48360</v>
      </c>
      <c r="K236" s="12" t="n">
        <f aca="false">'Engineering Cost'!K236*'Engineering Assumptions'!$B$6</f>
        <v>56700</v>
      </c>
      <c r="L236" s="13" t="n">
        <f aca="false">SUM(H236:K236)</f>
        <v>824820</v>
      </c>
      <c r="M236" s="13" t="n">
        <f aca="false">L236*(1+'Engineering Assumptions'!$B$10)</f>
        <v>948543</v>
      </c>
    </row>
    <row r="237" customFormat="false" ht="15" hidden="false" customHeight="true" outlineLevel="0" collapsed="false">
      <c r="A237" s="9" t="n">
        <v>219</v>
      </c>
      <c r="B237" s="43" t="s">
        <v>119</v>
      </c>
      <c r="C237" s="43" t="s">
        <v>2383</v>
      </c>
      <c r="D237" s="43"/>
      <c r="E237" s="43"/>
      <c r="F237" s="45" t="s">
        <v>389</v>
      </c>
      <c r="G237" s="9" t="n">
        <v>16</v>
      </c>
      <c r="H237" s="12" t="n">
        <f aca="false">'Engineering Cost'!H237*'Engineering Assumptions'!$B$6</f>
        <v>641760</v>
      </c>
      <c r="I237" s="12" t="n">
        <f aca="false">IF('Engineering Cost'!I237=0,0,MAX('Engineering Cost'!I237*'Engineering Assumptions'!$B$6,'Engineering Assumptions'!$B$9))</f>
        <v>78000</v>
      </c>
      <c r="J237" s="12" t="n">
        <f aca="false">'Engineering Cost'!J237*'Engineering Assumptions'!$B$6</f>
        <v>60840</v>
      </c>
      <c r="K237" s="12" t="n">
        <f aca="false">'Engineering Cost'!K237*'Engineering Assumptions'!$B$6</f>
        <v>88200</v>
      </c>
      <c r="L237" s="13" t="n">
        <f aca="false">SUM(H237:K237)</f>
        <v>868800</v>
      </c>
      <c r="M237" s="13" t="n">
        <f aca="false">L237*(1+'Engineering Assumptions'!$B$10)</f>
        <v>999120</v>
      </c>
    </row>
    <row r="238" customFormat="false" ht="15" hidden="false" customHeight="true" outlineLevel="0" collapsed="false">
      <c r="A238" s="9" t="n">
        <v>220</v>
      </c>
      <c r="B238" s="43" t="s">
        <v>119</v>
      </c>
      <c r="C238" s="43" t="s">
        <v>2384</v>
      </c>
      <c r="D238" s="43" t="s">
        <v>754</v>
      </c>
      <c r="E238" s="43" t="s">
        <v>756</v>
      </c>
      <c r="F238" s="45" t="s">
        <v>623</v>
      </c>
      <c r="G238" s="9" t="n">
        <v>18</v>
      </c>
      <c r="H238" s="12" t="n">
        <f aca="false">'Engineering Cost'!H238*'Engineering Assumptions'!$B$6</f>
        <v>641760</v>
      </c>
      <c r="I238" s="12" t="n">
        <f aca="false">IF('Engineering Cost'!I238=0,0,MAX('Engineering Cost'!I238*'Engineering Assumptions'!$B$6,'Engineering Assumptions'!$B$9))</f>
        <v>78000</v>
      </c>
      <c r="J238" s="12" t="n">
        <f aca="false">'Engineering Cost'!J238*'Engineering Assumptions'!$B$6</f>
        <v>60840</v>
      </c>
      <c r="K238" s="12" t="n">
        <f aca="false">'Engineering Cost'!K238*'Engineering Assumptions'!$B$6</f>
        <v>88200</v>
      </c>
      <c r="L238" s="13" t="n">
        <f aca="false">SUM(H238:K238)</f>
        <v>868800</v>
      </c>
      <c r="M238" s="13" t="n">
        <f aca="false">L238*(1+'Engineering Assumptions'!$B$10)</f>
        <v>999120</v>
      </c>
    </row>
    <row r="239" customFormat="false" ht="15" hidden="false" customHeight="true" outlineLevel="0" collapsed="false">
      <c r="A239" s="9" t="n">
        <v>221</v>
      </c>
      <c r="B239" s="43" t="s">
        <v>119</v>
      </c>
      <c r="C239" s="43" t="s">
        <v>2385</v>
      </c>
      <c r="D239" s="43" t="s">
        <v>757</v>
      </c>
      <c r="E239" s="43" t="s">
        <v>759</v>
      </c>
      <c r="F239" s="45" t="s">
        <v>716</v>
      </c>
      <c r="G239" s="9" t="n">
        <v>28</v>
      </c>
      <c r="H239" s="12" t="n">
        <f aca="false">'Engineering Cost'!H239*'Engineering Assumptions'!$B$6</f>
        <v>641760</v>
      </c>
      <c r="I239" s="12" t="n">
        <f aca="false">IF('Engineering Cost'!I239=0,0,MAX('Engineering Cost'!I239*'Engineering Assumptions'!$B$6,'Engineering Assumptions'!$B$9))</f>
        <v>78000</v>
      </c>
      <c r="J239" s="12" t="n">
        <f aca="false">'Engineering Cost'!J239*'Engineering Assumptions'!$B$6</f>
        <v>74880</v>
      </c>
      <c r="K239" s="12" t="n">
        <f aca="false">'Engineering Cost'!K239*'Engineering Assumptions'!$B$6</f>
        <v>126000</v>
      </c>
      <c r="L239" s="13" t="n">
        <f aca="false">SUM(H239:K239)</f>
        <v>920640</v>
      </c>
      <c r="M239" s="13" t="n">
        <f aca="false">L239*(1+'Engineering Assumptions'!$B$10)</f>
        <v>1058736</v>
      </c>
    </row>
    <row r="240" customFormat="false" ht="15" hidden="false" customHeight="true" outlineLevel="0" collapsed="false">
      <c r="A240" s="9" t="n">
        <v>222</v>
      </c>
      <c r="B240" s="43" t="s">
        <v>119</v>
      </c>
      <c r="C240" s="43" t="s">
        <v>2386</v>
      </c>
      <c r="D240" s="43" t="s">
        <v>760</v>
      </c>
      <c r="E240" s="43" t="s">
        <v>761</v>
      </c>
      <c r="F240" s="45" t="s">
        <v>432</v>
      </c>
      <c r="G240" s="9" t="n">
        <v>30</v>
      </c>
      <c r="H240" s="12" t="n">
        <f aca="false">'Engineering Cost'!H240*'Engineering Assumptions'!$B$6</f>
        <v>641760</v>
      </c>
      <c r="I240" s="12" t="n">
        <f aca="false">IF('Engineering Cost'!I240=0,0,MAX('Engineering Cost'!I240*'Engineering Assumptions'!$B$6,'Engineering Assumptions'!$B$9))</f>
        <v>78000</v>
      </c>
      <c r="J240" s="12" t="n">
        <f aca="false">'Engineering Cost'!J240*'Engineering Assumptions'!$B$6</f>
        <v>74880</v>
      </c>
      <c r="K240" s="12" t="n">
        <f aca="false">'Engineering Cost'!K240*'Engineering Assumptions'!$B$6</f>
        <v>126000</v>
      </c>
      <c r="L240" s="13" t="n">
        <f aca="false">SUM(H240:K240)</f>
        <v>920640</v>
      </c>
      <c r="M240" s="13" t="n">
        <f aca="false">L240*(1+'Engineering Assumptions'!$B$10)</f>
        <v>1058736</v>
      </c>
    </row>
    <row r="241" customFormat="false" ht="15" hidden="false" customHeight="true" outlineLevel="0" collapsed="false">
      <c r="A241" s="9" t="n">
        <v>223</v>
      </c>
      <c r="B241" s="43" t="s">
        <v>119</v>
      </c>
      <c r="C241" s="43" t="s">
        <v>2387</v>
      </c>
      <c r="D241" s="43" t="s">
        <v>762</v>
      </c>
      <c r="E241" s="43" t="s">
        <v>764</v>
      </c>
      <c r="F241" s="45" t="s">
        <v>721</v>
      </c>
      <c r="G241" s="9" t="n">
        <v>31</v>
      </c>
      <c r="H241" s="12" t="n">
        <f aca="false">'Engineering Cost'!H241*'Engineering Assumptions'!$B$6</f>
        <v>641760</v>
      </c>
      <c r="I241" s="12" t="n">
        <f aca="false">IF('Engineering Cost'!I241=0,0,MAX('Engineering Cost'!I241*'Engineering Assumptions'!$B$6,'Engineering Assumptions'!$B$9))</f>
        <v>78000</v>
      </c>
      <c r="J241" s="12" t="n">
        <f aca="false">'Engineering Cost'!J241*'Engineering Assumptions'!$B$6</f>
        <v>74880</v>
      </c>
      <c r="K241" s="12" t="n">
        <f aca="false">'Engineering Cost'!K241*'Engineering Assumptions'!$B$6</f>
        <v>126000</v>
      </c>
      <c r="L241" s="13" t="n">
        <f aca="false">SUM(H241:K241)</f>
        <v>920640</v>
      </c>
      <c r="M241" s="13" t="n">
        <f aca="false">L241*(1+'Engineering Assumptions'!$B$10)</f>
        <v>1058736</v>
      </c>
    </row>
    <row r="242" customFormat="false" ht="15" hidden="false" customHeight="true" outlineLevel="0" collapsed="false">
      <c r="A242" s="42" t="s">
        <v>765</v>
      </c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</row>
    <row r="243" customFormat="false" ht="15" hidden="false" customHeight="true" outlineLevel="0" collapsed="false">
      <c r="A243" s="9" t="n">
        <v>224</v>
      </c>
      <c r="B243" s="43" t="s">
        <v>121</v>
      </c>
      <c r="C243" s="43" t="s">
        <v>2388</v>
      </c>
      <c r="D243" s="43" t="s">
        <v>766</v>
      </c>
      <c r="E243" s="43" t="s">
        <v>768</v>
      </c>
      <c r="F243" s="45" t="s">
        <v>324</v>
      </c>
      <c r="G243" s="9" t="n">
        <v>7</v>
      </c>
      <c r="H243" s="12" t="n">
        <f aca="false">'Engineering Cost'!H243*'Engineering Assumptions'!$B$6</f>
        <v>595920</v>
      </c>
      <c r="I243" s="12" t="n">
        <f aca="false">IF('Engineering Cost'!I243=0,0,MAX('Engineering Cost'!I243*'Engineering Assumptions'!$B$6,'Engineering Assumptions'!$B$9))</f>
        <v>78000</v>
      </c>
      <c r="J243" s="12" t="n">
        <f aca="false">'Engineering Cost'!J243*'Engineering Assumptions'!$B$6</f>
        <v>66000</v>
      </c>
      <c r="K243" s="12" t="n">
        <f aca="false">'Engineering Cost'!K243*'Engineering Assumptions'!$B$6</f>
        <v>55800</v>
      </c>
      <c r="L243" s="13" t="n">
        <f aca="false">SUM(H243:K243)</f>
        <v>795720</v>
      </c>
      <c r="M243" s="13" t="n">
        <f aca="false">L243*(1+'Engineering Assumptions'!$B$10)</f>
        <v>915078</v>
      </c>
    </row>
    <row r="244" customFormat="false" ht="15" hidden="false" customHeight="true" outlineLevel="0" collapsed="false">
      <c r="A244" s="9" t="n">
        <v>225</v>
      </c>
      <c r="B244" s="43" t="s">
        <v>121</v>
      </c>
      <c r="C244" s="43" t="s">
        <v>2389</v>
      </c>
      <c r="D244" s="43" t="s">
        <v>769</v>
      </c>
      <c r="E244" s="43" t="s">
        <v>771</v>
      </c>
      <c r="F244" s="45" t="s">
        <v>623</v>
      </c>
      <c r="G244" s="9" t="n">
        <v>18</v>
      </c>
      <c r="H244" s="12" t="n">
        <f aca="false">'Engineering Cost'!H244*'Engineering Assumptions'!$B$6</f>
        <v>595920</v>
      </c>
      <c r="I244" s="12" t="n">
        <f aca="false">IF('Engineering Cost'!I244=0,0,MAX('Engineering Cost'!I244*'Engineering Assumptions'!$B$6,'Engineering Assumptions'!$B$9))</f>
        <v>78000</v>
      </c>
      <c r="J244" s="12" t="n">
        <f aca="false">'Engineering Cost'!J244*'Engineering Assumptions'!$B$6</f>
        <v>102960</v>
      </c>
      <c r="K244" s="12" t="n">
        <f aca="false">'Engineering Cost'!K244*'Engineering Assumptions'!$B$6</f>
        <v>156240</v>
      </c>
      <c r="L244" s="13" t="n">
        <f aca="false">SUM(H244:K244)</f>
        <v>933120</v>
      </c>
      <c r="M244" s="13" t="n">
        <f aca="false">L244*(1+'Engineering Assumptions'!$B$10)</f>
        <v>1073088</v>
      </c>
    </row>
    <row r="245" customFormat="false" ht="15" hidden="false" customHeight="true" outlineLevel="0" collapsed="false">
      <c r="A245" s="42" t="s">
        <v>772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</row>
    <row r="246" customFormat="false" ht="15" hidden="false" customHeight="true" outlineLevel="0" collapsed="false">
      <c r="A246" s="9" t="n">
        <v>226</v>
      </c>
      <c r="B246" s="43" t="s">
        <v>123</v>
      </c>
      <c r="C246" s="43" t="s">
        <v>2390</v>
      </c>
      <c r="D246" s="43" t="s">
        <v>774</v>
      </c>
      <c r="E246" s="43" t="s">
        <v>776</v>
      </c>
      <c r="F246" s="45" t="s">
        <v>324</v>
      </c>
      <c r="G246" s="9" t="n">
        <v>7</v>
      </c>
      <c r="H246" s="12" t="n">
        <f aca="false">'Engineering Cost'!H246*'Engineering Assumptions'!$B$6</f>
        <v>137520</v>
      </c>
      <c r="I246" s="12" t="n">
        <f aca="false">IF('Engineering Cost'!I246=0,0,MAX('Engineering Cost'!I246*'Engineering Assumptions'!$B$6,'Engineering Assumptions'!$B$9))</f>
        <v>78000</v>
      </c>
      <c r="J246" s="12" t="n">
        <f aca="false">'Engineering Cost'!J246*'Engineering Assumptions'!$B$6</f>
        <v>13500</v>
      </c>
      <c r="K246" s="12" t="n">
        <f aca="false">'Engineering Cost'!K246*'Engineering Assumptions'!$B$6</f>
        <v>9900</v>
      </c>
      <c r="L246" s="13" t="n">
        <f aca="false">SUM(H246:K246)</f>
        <v>238920</v>
      </c>
      <c r="M246" s="13" t="n">
        <f aca="false">L246*(1+'Engineering Assumptions'!$B$10)</f>
        <v>274758</v>
      </c>
    </row>
    <row r="247" customFormat="false" ht="15" hidden="false" customHeight="true" outlineLevel="0" collapsed="false">
      <c r="A247" s="9" t="n">
        <v>227</v>
      </c>
      <c r="B247" s="43" t="s">
        <v>123</v>
      </c>
      <c r="C247" s="43" t="s">
        <v>2390</v>
      </c>
      <c r="D247" s="43" t="s">
        <v>785</v>
      </c>
      <c r="E247" s="43" t="s">
        <v>786</v>
      </c>
      <c r="F247" s="45" t="s">
        <v>324</v>
      </c>
      <c r="G247" s="9" t="n">
        <v>7</v>
      </c>
      <c r="H247" s="12" t="n">
        <f aca="false">'Engineering Cost'!H247*'Engineering Assumptions'!$B$6</f>
        <v>137520</v>
      </c>
      <c r="I247" s="12" t="n">
        <f aca="false">IF('Engineering Cost'!I247=0,0,MAX('Engineering Cost'!I247*'Engineering Assumptions'!$B$6,'Engineering Assumptions'!$B$9))</f>
        <v>78000</v>
      </c>
      <c r="J247" s="12" t="n">
        <f aca="false">'Engineering Cost'!J247*'Engineering Assumptions'!$B$6</f>
        <v>13500</v>
      </c>
      <c r="K247" s="12" t="n">
        <f aca="false">'Engineering Cost'!K247*'Engineering Assumptions'!$B$6</f>
        <v>9900</v>
      </c>
      <c r="L247" s="13" t="n">
        <f aca="false">SUM(H247:K247)</f>
        <v>238920</v>
      </c>
      <c r="M247" s="13" t="n">
        <f aca="false">L247*(1+'Engineering Assumptions'!$B$10)</f>
        <v>274758</v>
      </c>
    </row>
    <row r="248" customFormat="false" ht="15" hidden="false" customHeight="true" outlineLevel="0" collapsed="false">
      <c r="A248" s="9" t="n">
        <v>228</v>
      </c>
      <c r="B248" s="43" t="s">
        <v>123</v>
      </c>
      <c r="C248" s="43" t="s">
        <v>2390</v>
      </c>
      <c r="D248" s="43" t="s">
        <v>777</v>
      </c>
      <c r="E248" s="43" t="s">
        <v>778</v>
      </c>
      <c r="F248" s="45" t="s">
        <v>324</v>
      </c>
      <c r="G248" s="9" t="n">
        <v>7</v>
      </c>
      <c r="H248" s="12" t="n">
        <f aca="false">'Engineering Cost'!H248*'Engineering Assumptions'!$B$6</f>
        <v>137520</v>
      </c>
      <c r="I248" s="12" t="n">
        <f aca="false">IF('Engineering Cost'!I248=0,0,MAX('Engineering Cost'!I248*'Engineering Assumptions'!$B$6,'Engineering Assumptions'!$B$9))</f>
        <v>78000</v>
      </c>
      <c r="J248" s="12" t="n">
        <f aca="false">'Engineering Cost'!J248*'Engineering Assumptions'!$B$6</f>
        <v>13500</v>
      </c>
      <c r="K248" s="12" t="n">
        <f aca="false">'Engineering Cost'!K248*'Engineering Assumptions'!$B$6</f>
        <v>9900</v>
      </c>
      <c r="L248" s="13" t="n">
        <f aca="false">SUM(H248:K248)</f>
        <v>238920</v>
      </c>
      <c r="M248" s="13" t="n">
        <f aca="false">L248*(1+'Engineering Assumptions'!$B$10)</f>
        <v>274758</v>
      </c>
    </row>
    <row r="249" customFormat="false" ht="15" hidden="false" customHeight="true" outlineLevel="0" collapsed="false">
      <c r="A249" s="9" t="n">
        <v>229</v>
      </c>
      <c r="B249" s="43" t="s">
        <v>123</v>
      </c>
      <c r="C249" s="43" t="s">
        <v>2390</v>
      </c>
      <c r="D249" s="43" t="s">
        <v>779</v>
      </c>
      <c r="E249" s="43" t="s">
        <v>780</v>
      </c>
      <c r="F249" s="45" t="s">
        <v>324</v>
      </c>
      <c r="G249" s="9" t="n">
        <v>7</v>
      </c>
      <c r="H249" s="12" t="n">
        <f aca="false">'Engineering Cost'!H249*'Engineering Assumptions'!$B$6</f>
        <v>137520</v>
      </c>
      <c r="I249" s="12" t="n">
        <f aca="false">IF('Engineering Cost'!I249=0,0,MAX('Engineering Cost'!I249*'Engineering Assumptions'!$B$6,'Engineering Assumptions'!$B$9))</f>
        <v>78000</v>
      </c>
      <c r="J249" s="12" t="n">
        <f aca="false">'Engineering Cost'!J249*'Engineering Assumptions'!$B$6</f>
        <v>13500</v>
      </c>
      <c r="K249" s="12" t="n">
        <f aca="false">'Engineering Cost'!K249*'Engineering Assumptions'!$B$6</f>
        <v>9900</v>
      </c>
      <c r="L249" s="13" t="n">
        <f aca="false">SUM(H249:K249)</f>
        <v>238920</v>
      </c>
      <c r="M249" s="13" t="n">
        <f aca="false">L249*(1+'Engineering Assumptions'!$B$10)</f>
        <v>274758</v>
      </c>
    </row>
    <row r="250" customFormat="false" ht="15" hidden="false" customHeight="true" outlineLevel="0" collapsed="false">
      <c r="A250" s="9" t="n">
        <v>230</v>
      </c>
      <c r="B250" s="43" t="s">
        <v>123</v>
      </c>
      <c r="C250" s="43" t="s">
        <v>2390</v>
      </c>
      <c r="D250" s="43" t="s">
        <v>781</v>
      </c>
      <c r="E250" s="43" t="s">
        <v>782</v>
      </c>
      <c r="F250" s="45" t="s">
        <v>324</v>
      </c>
      <c r="G250" s="9" t="n">
        <v>7</v>
      </c>
      <c r="H250" s="12" t="n">
        <f aca="false">'Engineering Cost'!H250*'Engineering Assumptions'!$B$6</f>
        <v>137520</v>
      </c>
      <c r="I250" s="12" t="n">
        <f aca="false">IF('Engineering Cost'!I250=0,0,MAX('Engineering Cost'!I250*'Engineering Assumptions'!$B$6,'Engineering Assumptions'!$B$9))</f>
        <v>78000</v>
      </c>
      <c r="J250" s="12" t="n">
        <f aca="false">'Engineering Cost'!J250*'Engineering Assumptions'!$B$6</f>
        <v>13500</v>
      </c>
      <c r="K250" s="12" t="n">
        <f aca="false">'Engineering Cost'!K250*'Engineering Assumptions'!$B$6</f>
        <v>9900</v>
      </c>
      <c r="L250" s="13" t="n">
        <f aca="false">SUM(H250:K250)</f>
        <v>238920</v>
      </c>
      <c r="M250" s="13" t="n">
        <f aca="false">L250*(1+'Engineering Assumptions'!$B$10)</f>
        <v>274758</v>
      </c>
    </row>
    <row r="251" customFormat="false" ht="15" hidden="false" customHeight="true" outlineLevel="0" collapsed="false">
      <c r="A251" s="9" t="n">
        <v>231</v>
      </c>
      <c r="B251" s="43" t="s">
        <v>123</v>
      </c>
      <c r="C251" s="43" t="s">
        <v>2390</v>
      </c>
      <c r="D251" s="43" t="s">
        <v>783</v>
      </c>
      <c r="E251" s="43" t="s">
        <v>784</v>
      </c>
      <c r="F251" s="45" t="s">
        <v>324</v>
      </c>
      <c r="G251" s="9" t="n">
        <v>7</v>
      </c>
      <c r="H251" s="12" t="n">
        <f aca="false">'Engineering Cost'!H251*'Engineering Assumptions'!$B$6</f>
        <v>137520</v>
      </c>
      <c r="I251" s="12" t="n">
        <f aca="false">IF('Engineering Cost'!I251=0,0,MAX('Engineering Cost'!I251*'Engineering Assumptions'!$B$6,'Engineering Assumptions'!$B$9))</f>
        <v>78000</v>
      </c>
      <c r="J251" s="12" t="n">
        <f aca="false">'Engineering Cost'!J251*'Engineering Assumptions'!$B$6</f>
        <v>13500</v>
      </c>
      <c r="K251" s="12" t="n">
        <f aca="false">'Engineering Cost'!K251*'Engineering Assumptions'!$B$6</f>
        <v>9900</v>
      </c>
      <c r="L251" s="13" t="n">
        <f aca="false">SUM(H251:K251)</f>
        <v>238920</v>
      </c>
      <c r="M251" s="13" t="n">
        <f aca="false">L251*(1+'Engineering Assumptions'!$B$10)</f>
        <v>274758</v>
      </c>
    </row>
    <row r="252" customFormat="false" ht="15" hidden="false" customHeight="true" outlineLevel="0" collapsed="false">
      <c r="A252" s="9" t="n">
        <v>232</v>
      </c>
      <c r="B252" s="43" t="s">
        <v>123</v>
      </c>
      <c r="C252" s="43" t="s">
        <v>2391</v>
      </c>
      <c r="D252" s="43" t="s">
        <v>787</v>
      </c>
      <c r="E252" s="43" t="s">
        <v>789</v>
      </c>
      <c r="F252" s="45" t="s">
        <v>397</v>
      </c>
      <c r="G252" s="9" t="n">
        <v>9</v>
      </c>
      <c r="H252" s="12" t="n">
        <f aca="false">'Engineering Cost'!H252*'Engineering Assumptions'!$B$6</f>
        <v>137520</v>
      </c>
      <c r="I252" s="12" t="n">
        <f aca="false">IF('Engineering Cost'!I252=0,0,MAX('Engineering Cost'!I252*'Engineering Assumptions'!$B$6,'Engineering Assumptions'!$B$9))</f>
        <v>78000</v>
      </c>
      <c r="J252" s="12" t="n">
        <f aca="false">'Engineering Cost'!J252*'Engineering Assumptions'!$B$6</f>
        <v>13500</v>
      </c>
      <c r="K252" s="12" t="n">
        <f aca="false">'Engineering Cost'!K252*'Engineering Assumptions'!$B$6</f>
        <v>9900</v>
      </c>
      <c r="L252" s="13" t="n">
        <f aca="false">SUM(H252:K252)</f>
        <v>238920</v>
      </c>
      <c r="M252" s="13" t="n">
        <f aca="false">L252*(1+'Engineering Assumptions'!$B$10)</f>
        <v>274758</v>
      </c>
    </row>
    <row r="253" customFormat="false" ht="15" hidden="false" customHeight="true" outlineLevel="0" collapsed="false">
      <c r="A253" s="9" t="n">
        <v>233</v>
      </c>
      <c r="B253" s="43" t="s">
        <v>123</v>
      </c>
      <c r="C253" s="43" t="s">
        <v>2390</v>
      </c>
      <c r="D253" s="43" t="s">
        <v>790</v>
      </c>
      <c r="E253" s="43" t="s">
        <v>791</v>
      </c>
      <c r="F253" s="45" t="s">
        <v>397</v>
      </c>
      <c r="G253" s="9" t="n">
        <v>9</v>
      </c>
      <c r="H253" s="12" t="n">
        <f aca="false">'Engineering Cost'!H253*'Engineering Assumptions'!$B$6</f>
        <v>137520</v>
      </c>
      <c r="I253" s="12" t="n">
        <f aca="false">IF('Engineering Cost'!I253=0,0,MAX('Engineering Cost'!I253*'Engineering Assumptions'!$B$6,'Engineering Assumptions'!$B$9))</f>
        <v>78000</v>
      </c>
      <c r="J253" s="12" t="n">
        <f aca="false">'Engineering Cost'!J253*'Engineering Assumptions'!$B$6</f>
        <v>13500</v>
      </c>
      <c r="K253" s="12" t="n">
        <f aca="false">'Engineering Cost'!K253*'Engineering Assumptions'!$B$6</f>
        <v>9900</v>
      </c>
      <c r="L253" s="13" t="n">
        <f aca="false">SUM(H253:K253)</f>
        <v>238920</v>
      </c>
      <c r="M253" s="13" t="n">
        <f aca="false">L253*(1+'Engineering Assumptions'!$B$10)</f>
        <v>274758</v>
      </c>
    </row>
    <row r="254" customFormat="false" ht="15" hidden="false" customHeight="true" outlineLevel="0" collapsed="false">
      <c r="A254" s="9" t="n">
        <v>234</v>
      </c>
      <c r="B254" s="43" t="s">
        <v>123</v>
      </c>
      <c r="C254" s="43" t="s">
        <v>2392</v>
      </c>
      <c r="D254" s="43" t="s">
        <v>793</v>
      </c>
      <c r="E254" s="43" t="s">
        <v>795</v>
      </c>
      <c r="F254" s="45" t="s">
        <v>318</v>
      </c>
      <c r="G254" s="9" t="n">
        <v>10</v>
      </c>
      <c r="H254" s="12" t="n">
        <f aca="false">'Engineering Cost'!H254*'Engineering Assumptions'!$B$6</f>
        <v>137520</v>
      </c>
      <c r="I254" s="12" t="n">
        <f aca="false">IF('Engineering Cost'!I254=0,0,MAX('Engineering Cost'!I254*'Engineering Assumptions'!$B$6,'Engineering Assumptions'!$B$9))</f>
        <v>78000</v>
      </c>
      <c r="J254" s="12" t="n">
        <f aca="false">'Engineering Cost'!J254*'Engineering Assumptions'!$B$6</f>
        <v>13500</v>
      </c>
      <c r="K254" s="12" t="n">
        <f aca="false">'Engineering Cost'!K254*'Engineering Assumptions'!$B$6</f>
        <v>9900</v>
      </c>
      <c r="L254" s="13" t="n">
        <f aca="false">SUM(H254:K254)</f>
        <v>238920</v>
      </c>
      <c r="M254" s="13" t="n">
        <f aca="false">L254*(1+'Engineering Assumptions'!$B$10)</f>
        <v>274758</v>
      </c>
    </row>
    <row r="255" customFormat="false" ht="27.75" hidden="false" customHeight="true" outlineLevel="0" collapsed="false">
      <c r="A255" s="9" t="n">
        <v>235</v>
      </c>
      <c r="B255" s="43" t="s">
        <v>123</v>
      </c>
      <c r="C255" s="43" t="s">
        <v>2393</v>
      </c>
      <c r="D255" s="43" t="s">
        <v>796</v>
      </c>
      <c r="E255" s="43" t="s">
        <v>798</v>
      </c>
      <c r="F255" s="45" t="s">
        <v>315</v>
      </c>
      <c r="G255" s="9" t="n">
        <v>11</v>
      </c>
      <c r="H255" s="12" t="n">
        <f aca="false">'Engineering Cost'!H255*'Engineering Assumptions'!$B$6</f>
        <v>137520</v>
      </c>
      <c r="I255" s="12" t="n">
        <f aca="false">IF('Engineering Cost'!I255=0,0,MAX('Engineering Cost'!I255*'Engineering Assumptions'!$B$6,'Engineering Assumptions'!$B$9))</f>
        <v>78000</v>
      </c>
      <c r="J255" s="12" t="n">
        <f aca="false">'Engineering Cost'!J255*'Engineering Assumptions'!$B$6</f>
        <v>16740</v>
      </c>
      <c r="K255" s="12" t="n">
        <f aca="false">'Engineering Cost'!K255*'Engineering Assumptions'!$B$6</f>
        <v>17820</v>
      </c>
      <c r="L255" s="13" t="n">
        <f aca="false">SUM(H255:K255)</f>
        <v>250080</v>
      </c>
      <c r="M255" s="13" t="n">
        <f aca="false">L255*(1+'Engineering Assumptions'!$B$10)</f>
        <v>287592</v>
      </c>
    </row>
    <row r="256" customFormat="false" ht="15" hidden="false" customHeight="true" outlineLevel="0" collapsed="false">
      <c r="A256" s="9" t="n">
        <v>236</v>
      </c>
      <c r="B256" s="43" t="s">
        <v>123</v>
      </c>
      <c r="C256" s="43" t="s">
        <v>2390</v>
      </c>
      <c r="D256" s="43" t="s">
        <v>799</v>
      </c>
      <c r="E256" s="43" t="s">
        <v>800</v>
      </c>
      <c r="F256" s="45" t="s">
        <v>310</v>
      </c>
      <c r="G256" s="9" t="n">
        <v>14</v>
      </c>
      <c r="H256" s="12" t="n">
        <f aca="false">'Engineering Cost'!H256*'Engineering Assumptions'!$B$6</f>
        <v>137520</v>
      </c>
      <c r="I256" s="12" t="n">
        <f aca="false">IF('Engineering Cost'!I256=0,0,MAX('Engineering Cost'!I256*'Engineering Assumptions'!$B$6,'Engineering Assumptions'!$B$9))</f>
        <v>78000</v>
      </c>
      <c r="J256" s="12" t="n">
        <f aca="false">'Engineering Cost'!J256*'Engineering Assumptions'!$B$6</f>
        <v>16740</v>
      </c>
      <c r="K256" s="12" t="n">
        <f aca="false">'Engineering Cost'!K256*'Engineering Assumptions'!$B$6</f>
        <v>17820</v>
      </c>
      <c r="L256" s="13" t="n">
        <f aca="false">SUM(H256:K256)</f>
        <v>250080</v>
      </c>
      <c r="M256" s="13" t="n">
        <f aca="false">L256*(1+'Engineering Assumptions'!$B$10)</f>
        <v>287592</v>
      </c>
    </row>
    <row r="257" customFormat="false" ht="27.75" hidden="false" customHeight="true" outlineLevel="0" collapsed="false">
      <c r="A257" s="9" t="n">
        <v>237</v>
      </c>
      <c r="B257" s="43" t="s">
        <v>123</v>
      </c>
      <c r="C257" s="43" t="s">
        <v>2393</v>
      </c>
      <c r="D257" s="43" t="s">
        <v>801</v>
      </c>
      <c r="E257" s="43" t="s">
        <v>802</v>
      </c>
      <c r="F257" s="45" t="s">
        <v>748</v>
      </c>
      <c r="G257" s="9" t="n">
        <v>15</v>
      </c>
      <c r="H257" s="12" t="n">
        <f aca="false">'Engineering Cost'!H257*'Engineering Assumptions'!$B$6</f>
        <v>137520</v>
      </c>
      <c r="I257" s="12" t="n">
        <f aca="false">IF('Engineering Cost'!I257=0,0,MAX('Engineering Cost'!I257*'Engineering Assumptions'!$B$6,'Engineering Assumptions'!$B$9))</f>
        <v>78000</v>
      </c>
      <c r="J257" s="12" t="n">
        <f aca="false">'Engineering Cost'!J257*'Engineering Assumptions'!$B$6</f>
        <v>16740</v>
      </c>
      <c r="K257" s="12" t="n">
        <f aca="false">'Engineering Cost'!K257*'Engineering Assumptions'!$B$6</f>
        <v>17820</v>
      </c>
      <c r="L257" s="13" t="n">
        <f aca="false">SUM(H257:K257)</f>
        <v>250080</v>
      </c>
      <c r="M257" s="13" t="n">
        <f aca="false">L257*(1+'Engineering Assumptions'!$B$10)</f>
        <v>287592</v>
      </c>
    </row>
    <row r="258" customFormat="false" ht="15" hidden="false" customHeight="true" outlineLevel="0" collapsed="false">
      <c r="A258" s="9" t="n">
        <v>238</v>
      </c>
      <c r="B258" s="43" t="s">
        <v>123</v>
      </c>
      <c r="C258" s="43" t="s">
        <v>2394</v>
      </c>
      <c r="D258" s="43" t="s">
        <v>803</v>
      </c>
      <c r="E258" s="43" t="s">
        <v>805</v>
      </c>
      <c r="F258" s="45" t="s">
        <v>623</v>
      </c>
      <c r="G258" s="9" t="n">
        <v>18</v>
      </c>
      <c r="H258" s="12" t="n">
        <f aca="false">'Engineering Cost'!H258*'Engineering Assumptions'!$B$6</f>
        <v>137520</v>
      </c>
      <c r="I258" s="12" t="n">
        <f aca="false">IF('Engineering Cost'!I258=0,0,MAX('Engineering Cost'!I258*'Engineering Assumptions'!$B$6,'Engineering Assumptions'!$B$9))</f>
        <v>78000</v>
      </c>
      <c r="J258" s="12" t="n">
        <f aca="false">'Engineering Cost'!J258*'Engineering Assumptions'!$B$6</f>
        <v>21060</v>
      </c>
      <c r="K258" s="12" t="n">
        <f aca="false">'Engineering Cost'!K258*'Engineering Assumptions'!$B$6</f>
        <v>27720</v>
      </c>
      <c r="L258" s="13" t="n">
        <f aca="false">SUM(H258:K258)</f>
        <v>264300</v>
      </c>
      <c r="M258" s="13" t="n">
        <f aca="false">L258*(1+'Engineering Assumptions'!$B$10)</f>
        <v>303945</v>
      </c>
    </row>
    <row r="259" customFormat="false" ht="15" hidden="false" customHeight="true" outlineLevel="0" collapsed="false">
      <c r="A259" s="9" t="n">
        <v>239</v>
      </c>
      <c r="B259" s="43" t="s">
        <v>123</v>
      </c>
      <c r="C259" s="43" t="s">
        <v>2395</v>
      </c>
      <c r="D259" s="43" t="s">
        <v>806</v>
      </c>
      <c r="E259" s="43" t="s">
        <v>808</v>
      </c>
      <c r="F259" s="45" t="s">
        <v>623</v>
      </c>
      <c r="G259" s="9" t="n">
        <v>18</v>
      </c>
      <c r="H259" s="12" t="n">
        <f aca="false">'Engineering Cost'!H259*'Engineering Assumptions'!$B$6</f>
        <v>137520</v>
      </c>
      <c r="I259" s="12" t="n">
        <f aca="false">IF('Engineering Cost'!I259=0,0,MAX('Engineering Cost'!I259*'Engineering Assumptions'!$B$6,'Engineering Assumptions'!$B$9))</f>
        <v>78000</v>
      </c>
      <c r="J259" s="12" t="n">
        <f aca="false">'Engineering Cost'!J259*'Engineering Assumptions'!$B$6</f>
        <v>21060</v>
      </c>
      <c r="K259" s="12" t="n">
        <f aca="false">'Engineering Cost'!K259*'Engineering Assumptions'!$B$6</f>
        <v>27720</v>
      </c>
      <c r="L259" s="13" t="n">
        <f aca="false">SUM(H259:K259)</f>
        <v>264300</v>
      </c>
      <c r="M259" s="13" t="n">
        <f aca="false">L259*(1+'Engineering Assumptions'!$B$10)</f>
        <v>303945</v>
      </c>
    </row>
    <row r="260" customFormat="false" ht="15" hidden="false" customHeight="true" outlineLevel="0" collapsed="false">
      <c r="A260" s="9" t="n">
        <v>240</v>
      </c>
      <c r="B260" s="43" t="s">
        <v>123</v>
      </c>
      <c r="C260" s="43" t="s">
        <v>2395</v>
      </c>
      <c r="D260" s="43" t="s">
        <v>809</v>
      </c>
      <c r="E260" s="43" t="s">
        <v>811</v>
      </c>
      <c r="F260" s="45" t="s">
        <v>810</v>
      </c>
      <c r="G260" s="9" t="n">
        <v>19</v>
      </c>
      <c r="H260" s="12" t="n">
        <f aca="false">'Engineering Cost'!H260*'Engineering Assumptions'!$B$6</f>
        <v>137520</v>
      </c>
      <c r="I260" s="12" t="n">
        <f aca="false">IF('Engineering Cost'!I260=0,0,MAX('Engineering Cost'!I260*'Engineering Assumptions'!$B$6,'Engineering Assumptions'!$B$9))</f>
        <v>78000</v>
      </c>
      <c r="J260" s="12" t="n">
        <f aca="false">'Engineering Cost'!J260*'Engineering Assumptions'!$B$6</f>
        <v>21060</v>
      </c>
      <c r="K260" s="12" t="n">
        <f aca="false">'Engineering Cost'!K260*'Engineering Assumptions'!$B$6</f>
        <v>27720</v>
      </c>
      <c r="L260" s="13" t="n">
        <f aca="false">SUM(H260:K260)</f>
        <v>264300</v>
      </c>
      <c r="M260" s="13" t="n">
        <f aca="false">L260*(1+'Engineering Assumptions'!$B$10)</f>
        <v>303945</v>
      </c>
    </row>
    <row r="261" customFormat="false" ht="15" hidden="false" customHeight="true" outlineLevel="0" collapsed="false">
      <c r="A261" s="9" t="n">
        <v>241</v>
      </c>
      <c r="B261" s="43" t="s">
        <v>123</v>
      </c>
      <c r="C261" s="43" t="s">
        <v>2390</v>
      </c>
      <c r="D261" s="43" t="s">
        <v>812</v>
      </c>
      <c r="E261" s="43" t="s">
        <v>813</v>
      </c>
      <c r="F261" s="45" t="s">
        <v>810</v>
      </c>
      <c r="G261" s="9" t="n">
        <v>19</v>
      </c>
      <c r="H261" s="12" t="n">
        <f aca="false">'Engineering Cost'!H261*'Engineering Assumptions'!$B$6</f>
        <v>137520</v>
      </c>
      <c r="I261" s="12" t="n">
        <f aca="false">IF('Engineering Cost'!I261=0,0,MAX('Engineering Cost'!I261*'Engineering Assumptions'!$B$6,'Engineering Assumptions'!$B$9))</f>
        <v>78000</v>
      </c>
      <c r="J261" s="12" t="n">
        <f aca="false">'Engineering Cost'!J261*'Engineering Assumptions'!$B$6</f>
        <v>21060</v>
      </c>
      <c r="K261" s="12" t="n">
        <f aca="false">'Engineering Cost'!K261*'Engineering Assumptions'!$B$6</f>
        <v>27720</v>
      </c>
      <c r="L261" s="13" t="n">
        <f aca="false">SUM(H261:K261)</f>
        <v>264300</v>
      </c>
      <c r="M261" s="13" t="n">
        <f aca="false">L261*(1+'Engineering Assumptions'!$B$10)</f>
        <v>303945</v>
      </c>
    </row>
    <row r="262" customFormat="false" ht="15" hidden="false" customHeight="true" outlineLevel="0" collapsed="false">
      <c r="A262" s="9" t="n">
        <v>242</v>
      </c>
      <c r="B262" s="43" t="s">
        <v>123</v>
      </c>
      <c r="C262" s="43" t="s">
        <v>2396</v>
      </c>
      <c r="D262" s="43" t="s">
        <v>814</v>
      </c>
      <c r="E262" s="43" t="s">
        <v>816</v>
      </c>
      <c r="F262" s="45" t="s">
        <v>810</v>
      </c>
      <c r="G262" s="9" t="n">
        <v>19</v>
      </c>
      <c r="H262" s="12" t="n">
        <f aca="false">'Engineering Cost'!H262*'Engineering Assumptions'!$B$6</f>
        <v>137520</v>
      </c>
      <c r="I262" s="12" t="n">
        <f aca="false">IF('Engineering Cost'!I262=0,0,MAX('Engineering Cost'!I262*'Engineering Assumptions'!$B$6,'Engineering Assumptions'!$B$9))</f>
        <v>78000</v>
      </c>
      <c r="J262" s="12" t="n">
        <f aca="false">'Engineering Cost'!J262*'Engineering Assumptions'!$B$6</f>
        <v>21060</v>
      </c>
      <c r="K262" s="12" t="n">
        <f aca="false">'Engineering Cost'!K262*'Engineering Assumptions'!$B$6</f>
        <v>27720</v>
      </c>
      <c r="L262" s="13" t="n">
        <f aca="false">SUM(H262:K262)</f>
        <v>264300</v>
      </c>
      <c r="M262" s="13" t="n">
        <f aca="false">L262*(1+'Engineering Assumptions'!$B$10)</f>
        <v>303945</v>
      </c>
    </row>
    <row r="263" customFormat="false" ht="15" hidden="false" customHeight="true" outlineLevel="0" collapsed="false">
      <c r="A263" s="9" t="n">
        <v>243</v>
      </c>
      <c r="B263" s="43" t="s">
        <v>123</v>
      </c>
      <c r="C263" s="43" t="s">
        <v>2390</v>
      </c>
      <c r="D263" s="43" t="s">
        <v>817</v>
      </c>
      <c r="E263" s="43" t="s">
        <v>818</v>
      </c>
      <c r="F263" s="45" t="s">
        <v>729</v>
      </c>
      <c r="G263" s="9" t="n">
        <v>21</v>
      </c>
      <c r="H263" s="12" t="n">
        <f aca="false">'Engineering Cost'!H263*'Engineering Assumptions'!$B$6</f>
        <v>137520</v>
      </c>
      <c r="I263" s="12" t="n">
        <f aca="false">IF('Engineering Cost'!I263=0,0,MAX('Engineering Cost'!I263*'Engineering Assumptions'!$B$6,'Engineering Assumptions'!$B$9))</f>
        <v>78000</v>
      </c>
      <c r="J263" s="12" t="n">
        <f aca="false">'Engineering Cost'!J263*'Engineering Assumptions'!$B$6</f>
        <v>25920</v>
      </c>
      <c r="K263" s="12" t="n">
        <f aca="false">'Engineering Cost'!K263*'Engineering Assumptions'!$B$6</f>
        <v>39600</v>
      </c>
      <c r="L263" s="13" t="n">
        <f aca="false">SUM(H263:K263)</f>
        <v>281040</v>
      </c>
      <c r="M263" s="13" t="n">
        <f aca="false">L263*(1+'Engineering Assumptions'!$B$10)</f>
        <v>323196</v>
      </c>
    </row>
    <row r="264" customFormat="false" ht="27.75" hidden="false" customHeight="true" outlineLevel="0" collapsed="false">
      <c r="A264" s="9" t="n">
        <v>244</v>
      </c>
      <c r="B264" s="43" t="s">
        <v>123</v>
      </c>
      <c r="C264" s="43" t="s">
        <v>2397</v>
      </c>
      <c r="D264" s="43" t="s">
        <v>820</v>
      </c>
      <c r="E264" s="43" t="s">
        <v>822</v>
      </c>
      <c r="F264" s="45" t="s">
        <v>729</v>
      </c>
      <c r="G264" s="9" t="n">
        <v>21</v>
      </c>
      <c r="H264" s="12" t="n">
        <f aca="false">'Engineering Cost'!H264*'Engineering Assumptions'!$B$6</f>
        <v>137520</v>
      </c>
      <c r="I264" s="12" t="n">
        <f aca="false">IF('Engineering Cost'!I264=0,0,MAX('Engineering Cost'!I264*'Engineering Assumptions'!$B$6,'Engineering Assumptions'!$B$9))</f>
        <v>78000</v>
      </c>
      <c r="J264" s="12" t="n">
        <f aca="false">'Engineering Cost'!J264*'Engineering Assumptions'!$B$6</f>
        <v>25920</v>
      </c>
      <c r="K264" s="12" t="n">
        <f aca="false">'Engineering Cost'!K264*'Engineering Assumptions'!$B$6</f>
        <v>39600</v>
      </c>
      <c r="L264" s="13" t="n">
        <f aca="false">SUM(H264:K264)</f>
        <v>281040</v>
      </c>
      <c r="M264" s="13" t="n">
        <f aca="false">L264*(1+'Engineering Assumptions'!$B$10)</f>
        <v>323196</v>
      </c>
    </row>
    <row r="265" customFormat="false" ht="15" hidden="false" customHeight="true" outlineLevel="0" collapsed="false">
      <c r="A265" s="9" t="n">
        <v>245</v>
      </c>
      <c r="B265" s="43" t="s">
        <v>123</v>
      </c>
      <c r="C265" s="43" t="s">
        <v>2394</v>
      </c>
      <c r="D265" s="43" t="s">
        <v>823</v>
      </c>
      <c r="E265" s="43" t="s">
        <v>824</v>
      </c>
      <c r="F265" s="45" t="s">
        <v>423</v>
      </c>
      <c r="G265" s="9" t="n">
        <v>23</v>
      </c>
      <c r="H265" s="12" t="n">
        <f aca="false">'Engineering Cost'!H265*'Engineering Assumptions'!$B$6</f>
        <v>137520</v>
      </c>
      <c r="I265" s="12" t="n">
        <f aca="false">IF('Engineering Cost'!I265=0,0,MAX('Engineering Cost'!I265*'Engineering Assumptions'!$B$6,'Engineering Assumptions'!$B$9))</f>
        <v>78000</v>
      </c>
      <c r="J265" s="12" t="n">
        <f aca="false">'Engineering Cost'!J265*'Engineering Assumptions'!$B$6</f>
        <v>25920</v>
      </c>
      <c r="K265" s="12" t="n">
        <f aca="false">'Engineering Cost'!K265*'Engineering Assumptions'!$B$6</f>
        <v>39600</v>
      </c>
      <c r="L265" s="13" t="n">
        <f aca="false">SUM(H265:K265)</f>
        <v>281040</v>
      </c>
      <c r="M265" s="13" t="n">
        <f aca="false">L265*(1+'Engineering Assumptions'!$B$10)</f>
        <v>323196</v>
      </c>
    </row>
    <row r="266" customFormat="false" ht="15" hidden="false" customHeight="true" outlineLevel="0" collapsed="false">
      <c r="A266" s="9" t="n">
        <v>246</v>
      </c>
      <c r="B266" s="43" t="s">
        <v>123</v>
      </c>
      <c r="C266" s="43" t="s">
        <v>2398</v>
      </c>
      <c r="D266" s="43" t="s">
        <v>825</v>
      </c>
      <c r="E266" s="43" t="s">
        <v>827</v>
      </c>
      <c r="F266" s="45" t="s">
        <v>362</v>
      </c>
      <c r="G266" s="9" t="n">
        <v>27</v>
      </c>
      <c r="H266" s="12" t="n">
        <f aca="false">'Engineering Cost'!H266*'Engineering Assumptions'!$B$6</f>
        <v>137520</v>
      </c>
      <c r="I266" s="12" t="n">
        <f aca="false">IF('Engineering Cost'!I266=0,0,MAX('Engineering Cost'!I266*'Engineering Assumptions'!$B$6,'Engineering Assumptions'!$B$9))</f>
        <v>78000</v>
      </c>
      <c r="J266" s="12" t="n">
        <f aca="false">'Engineering Cost'!J266*'Engineering Assumptions'!$B$6</f>
        <v>25920</v>
      </c>
      <c r="K266" s="12" t="n">
        <f aca="false">'Engineering Cost'!K266*'Engineering Assumptions'!$B$6</f>
        <v>39600</v>
      </c>
      <c r="L266" s="13" t="n">
        <f aca="false">SUM(H266:K266)</f>
        <v>281040</v>
      </c>
      <c r="M266" s="13" t="n">
        <f aca="false">L266*(1+'Engineering Assumptions'!$B$10)</f>
        <v>323196</v>
      </c>
    </row>
    <row r="267" customFormat="false" ht="15" hidden="false" customHeight="true" outlineLevel="0" collapsed="false">
      <c r="A267" s="9" t="n">
        <v>247</v>
      </c>
      <c r="B267" s="43" t="s">
        <v>123</v>
      </c>
      <c r="C267" s="43" t="s">
        <v>2399</v>
      </c>
      <c r="D267" s="43" t="s">
        <v>828</v>
      </c>
      <c r="E267" s="43" t="s">
        <v>830</v>
      </c>
      <c r="F267" s="45" t="s">
        <v>829</v>
      </c>
      <c r="G267" s="9" t="n">
        <v>29</v>
      </c>
      <c r="H267" s="12" t="n">
        <f aca="false">'Engineering Cost'!H267*'Engineering Assumptions'!$B$6</f>
        <v>137520</v>
      </c>
      <c r="I267" s="12" t="n">
        <f aca="false">IF('Engineering Cost'!I267=0,0,MAX('Engineering Cost'!I267*'Engineering Assumptions'!$B$6,'Engineering Assumptions'!$B$9))</f>
        <v>78000</v>
      </c>
      <c r="J267" s="12" t="n">
        <f aca="false">'Engineering Cost'!J267*'Engineering Assumptions'!$B$6</f>
        <v>25920</v>
      </c>
      <c r="K267" s="12" t="n">
        <f aca="false">'Engineering Cost'!K267*'Engineering Assumptions'!$B$6</f>
        <v>39600</v>
      </c>
      <c r="L267" s="13" t="n">
        <f aca="false">SUM(H267:K267)</f>
        <v>281040</v>
      </c>
      <c r="M267" s="13" t="n">
        <f aca="false">L267*(1+'Engineering Assumptions'!$B$10)</f>
        <v>323196</v>
      </c>
    </row>
    <row r="268" customFormat="false" ht="15" hidden="false" customHeight="true" outlineLevel="0" collapsed="false">
      <c r="A268" s="9" t="n">
        <v>248</v>
      </c>
      <c r="B268" s="43" t="s">
        <v>123</v>
      </c>
      <c r="C268" s="43" t="s">
        <v>2400</v>
      </c>
      <c r="D268" s="43" t="s">
        <v>832</v>
      </c>
      <c r="E268" s="43" t="s">
        <v>834</v>
      </c>
      <c r="F268" s="45" t="s">
        <v>833</v>
      </c>
      <c r="G268" s="9" t="n">
        <v>41</v>
      </c>
      <c r="H268" s="12" t="n">
        <f aca="false">'Engineering Cost'!H268*'Engineering Assumptions'!$B$6</f>
        <v>137520</v>
      </c>
      <c r="I268" s="12" t="n">
        <f aca="false">IF('Engineering Cost'!I268=0,0,MAX('Engineering Cost'!I268*'Engineering Assumptions'!$B$6,'Engineering Assumptions'!$B$9))</f>
        <v>78000</v>
      </c>
      <c r="J268" s="12" t="n">
        <f aca="false">'Engineering Cost'!J268*'Engineering Assumptions'!$B$6</f>
        <v>25920</v>
      </c>
      <c r="K268" s="12" t="n">
        <f aca="false">'Engineering Cost'!K268*'Engineering Assumptions'!$B$6</f>
        <v>39600</v>
      </c>
      <c r="L268" s="13" t="n">
        <f aca="false">SUM(H268:K268)</f>
        <v>281040</v>
      </c>
      <c r="M268" s="13" t="n">
        <f aca="false">L268*(1+'Engineering Assumptions'!$B$10)</f>
        <v>323196</v>
      </c>
    </row>
    <row r="269" customFormat="false" ht="15" hidden="false" customHeight="true" outlineLevel="0" collapsed="false">
      <c r="A269" s="9" t="n">
        <v>249</v>
      </c>
      <c r="B269" s="43" t="s">
        <v>123</v>
      </c>
      <c r="C269" s="43" t="s">
        <v>2400</v>
      </c>
      <c r="D269" s="43" t="s">
        <v>835</v>
      </c>
      <c r="E269" s="43" t="s">
        <v>836</v>
      </c>
      <c r="F269" s="45" t="s">
        <v>472</v>
      </c>
      <c r="G269" s="9" t="n">
        <v>30</v>
      </c>
      <c r="H269" s="12" t="n">
        <f aca="false">'Engineering Cost'!H269*'Engineering Assumptions'!$B$6</f>
        <v>137520</v>
      </c>
      <c r="I269" s="12" t="n">
        <f aca="false">IF('Engineering Cost'!I269=0,0,MAX('Engineering Cost'!I269*'Engineering Assumptions'!$B$6,'Engineering Assumptions'!$B$9))</f>
        <v>78000</v>
      </c>
      <c r="J269" s="12" t="n">
        <f aca="false">'Engineering Cost'!J269*'Engineering Assumptions'!$B$6</f>
        <v>25920</v>
      </c>
      <c r="K269" s="12" t="n">
        <f aca="false">'Engineering Cost'!K269*'Engineering Assumptions'!$B$6</f>
        <v>39600</v>
      </c>
      <c r="L269" s="13" t="n">
        <f aca="false">SUM(H269:K269)</f>
        <v>281040</v>
      </c>
      <c r="M269" s="13" t="n">
        <f aca="false">L269*(1+'Engineering Assumptions'!$B$10)</f>
        <v>323196</v>
      </c>
    </row>
    <row r="270" customFormat="false" ht="15" hidden="false" customHeight="true" outlineLevel="0" collapsed="false">
      <c r="A270" s="9" t="n">
        <v>250</v>
      </c>
      <c r="B270" s="43" t="s">
        <v>123</v>
      </c>
      <c r="C270" s="43" t="s">
        <v>2401</v>
      </c>
      <c r="D270" s="43"/>
      <c r="E270" s="43"/>
      <c r="F270" s="45" t="s">
        <v>472</v>
      </c>
      <c r="G270" s="9" t="n">
        <v>30</v>
      </c>
      <c r="H270" s="12" t="n">
        <f aca="false">'Engineering Cost'!H270*'Engineering Assumptions'!$B$6</f>
        <v>137520</v>
      </c>
      <c r="I270" s="12" t="n">
        <f aca="false">IF('Engineering Cost'!I270=0,0,MAX('Engineering Cost'!I270*'Engineering Assumptions'!$B$6,'Engineering Assumptions'!$B$9))</f>
        <v>78000</v>
      </c>
      <c r="J270" s="12" t="n">
        <f aca="false">'Engineering Cost'!J270*'Engineering Assumptions'!$B$6</f>
        <v>25920</v>
      </c>
      <c r="K270" s="12" t="n">
        <f aca="false">'Engineering Cost'!K270*'Engineering Assumptions'!$B$6</f>
        <v>39600</v>
      </c>
      <c r="L270" s="13" t="n">
        <f aca="false">SUM(H270:K270)</f>
        <v>281040</v>
      </c>
      <c r="M270" s="13" t="n">
        <f aca="false">L270*(1+'Engineering Assumptions'!$B$10)</f>
        <v>323196</v>
      </c>
    </row>
    <row r="271" customFormat="false" ht="15" hidden="false" customHeight="true" outlineLevel="0" collapsed="false">
      <c r="A271" s="42" t="s">
        <v>837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</row>
    <row r="272" customFormat="false" ht="15" hidden="false" customHeight="true" outlineLevel="0" collapsed="false">
      <c r="A272" s="9" t="n">
        <v>251</v>
      </c>
      <c r="B272" s="43" t="s">
        <v>125</v>
      </c>
      <c r="C272" s="43" t="s">
        <v>2402</v>
      </c>
      <c r="D272" s="43" t="s">
        <v>843</v>
      </c>
      <c r="E272" s="43" t="s">
        <v>846</v>
      </c>
      <c r="F272" s="45" t="s">
        <v>348</v>
      </c>
      <c r="G272" s="9" t="n">
        <v>20</v>
      </c>
      <c r="H272" s="12" t="n">
        <f aca="false">'Engineering Cost'!H272*'Engineering Assumptions'!$B$6</f>
        <v>114600</v>
      </c>
      <c r="I272" s="12" t="n">
        <f aca="false">IF('Engineering Cost'!I272=0,0,MAX('Engineering Cost'!I272*'Engineering Assumptions'!$B$6,'Engineering Assumptions'!$B$9))</f>
        <v>78000</v>
      </c>
      <c r="J272" s="12" t="n">
        <f aca="false">'Engineering Cost'!J272*'Engineering Assumptions'!$B$6</f>
        <v>16380</v>
      </c>
      <c r="K272" s="12" t="n">
        <f aca="false">'Engineering Cost'!K272*'Engineering Assumptions'!$B$6</f>
        <v>22680</v>
      </c>
      <c r="L272" s="13" t="n">
        <f aca="false">SUM(H272:K272)</f>
        <v>231660</v>
      </c>
      <c r="M272" s="13" t="n">
        <f aca="false">L272*(1+'Engineering Assumptions'!$B$10)</f>
        <v>266409</v>
      </c>
    </row>
    <row r="273" customFormat="false" ht="15" hidden="false" customHeight="true" outlineLevel="0" collapsed="false">
      <c r="A273" s="9" t="n">
        <v>252</v>
      </c>
      <c r="B273" s="43" t="s">
        <v>125</v>
      </c>
      <c r="C273" s="43" t="s">
        <v>2403</v>
      </c>
      <c r="D273" s="43"/>
      <c r="E273" s="43"/>
      <c r="F273" s="45" t="s">
        <v>841</v>
      </c>
      <c r="G273" s="9" t="n">
        <v>37</v>
      </c>
      <c r="H273" s="12" t="n">
        <f aca="false">'Engineering Cost'!H273*'Engineering Assumptions'!$B$6</f>
        <v>114600</v>
      </c>
      <c r="I273" s="12" t="n">
        <f aca="false">IF('Engineering Cost'!I273=0,0,MAX('Engineering Cost'!I273*'Engineering Assumptions'!$B$6,'Engineering Assumptions'!$B$9))</f>
        <v>78000</v>
      </c>
      <c r="J273" s="12" t="n">
        <f aca="false">'Engineering Cost'!J273*'Engineering Assumptions'!$B$6</f>
        <v>20160</v>
      </c>
      <c r="K273" s="12" t="n">
        <f aca="false">'Engineering Cost'!K273*'Engineering Assumptions'!$B$6</f>
        <v>32400</v>
      </c>
      <c r="L273" s="13" t="n">
        <f aca="false">SUM(H273:K273)</f>
        <v>245160</v>
      </c>
      <c r="M273" s="13" t="n">
        <f aca="false">L273*(1+'Engineering Assumptions'!$B$10)</f>
        <v>281934</v>
      </c>
    </row>
    <row r="274" customFormat="false" ht="15" hidden="false" customHeight="true" outlineLevel="0" collapsed="false">
      <c r="A274" s="9" t="n">
        <v>253</v>
      </c>
      <c r="B274" s="43" t="s">
        <v>125</v>
      </c>
      <c r="C274" s="43" t="s">
        <v>2404</v>
      </c>
      <c r="D274" s="43"/>
      <c r="E274" s="43"/>
      <c r="F274" s="45" t="s">
        <v>845</v>
      </c>
      <c r="G274" s="9" t="n">
        <v>39</v>
      </c>
      <c r="H274" s="12" t="n">
        <f aca="false">'Engineering Cost'!H274*'Engineering Assumptions'!$B$6</f>
        <v>114600</v>
      </c>
      <c r="I274" s="12" t="n">
        <f aca="false">IF('Engineering Cost'!I274=0,0,MAX('Engineering Cost'!I274*'Engineering Assumptions'!$B$6,'Engineering Assumptions'!$B$9))</f>
        <v>78000</v>
      </c>
      <c r="J274" s="12" t="n">
        <f aca="false">'Engineering Cost'!J274*'Engineering Assumptions'!$B$6</f>
        <v>20160</v>
      </c>
      <c r="K274" s="12" t="n">
        <f aca="false">'Engineering Cost'!K274*'Engineering Assumptions'!$B$6</f>
        <v>32400</v>
      </c>
      <c r="L274" s="13" t="n">
        <f aca="false">SUM(H274:K274)</f>
        <v>245160</v>
      </c>
      <c r="M274" s="13" t="n">
        <f aca="false">L274*(1+'Engineering Assumptions'!$B$10)</f>
        <v>281934</v>
      </c>
    </row>
    <row r="275" customFormat="false" ht="15" hidden="false" customHeight="true" outlineLevel="0" collapsed="false">
      <c r="A275" s="42" t="s">
        <v>847</v>
      </c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</row>
    <row r="276" customFormat="false" ht="15" hidden="false" customHeight="true" outlineLevel="0" collapsed="false">
      <c r="A276" s="9" t="n">
        <v>254</v>
      </c>
      <c r="B276" s="43" t="s">
        <v>127</v>
      </c>
      <c r="C276" s="43" t="s">
        <v>2405</v>
      </c>
      <c r="D276" s="43" t="s">
        <v>849</v>
      </c>
      <c r="E276" s="43" t="s">
        <v>851</v>
      </c>
      <c r="F276" s="45" t="s">
        <v>324</v>
      </c>
      <c r="G276" s="9" t="n">
        <v>7</v>
      </c>
      <c r="H276" s="12" t="n">
        <f aca="false">'Engineering Cost'!H276*'Engineering Assumptions'!$B$6</f>
        <v>137520</v>
      </c>
      <c r="I276" s="12" t="n">
        <f aca="false">IF('Engineering Cost'!I276=0,0,MAX('Engineering Cost'!I276*'Engineering Assumptions'!$B$6,'Engineering Assumptions'!$B$9))</f>
        <v>78000</v>
      </c>
      <c r="J276" s="12" t="n">
        <f aca="false">'Engineering Cost'!J276*'Engineering Assumptions'!$B$6</f>
        <v>12000</v>
      </c>
      <c r="K276" s="12" t="n">
        <f aca="false">'Engineering Cost'!K276*'Engineering Assumptions'!$B$6</f>
        <v>9000</v>
      </c>
      <c r="L276" s="13" t="n">
        <f aca="false">SUM(H276:K276)</f>
        <v>236520</v>
      </c>
      <c r="M276" s="13" t="n">
        <f aca="false">L276*(1+'Engineering Assumptions'!$B$10)</f>
        <v>271998</v>
      </c>
    </row>
    <row r="277" customFormat="false" ht="15" hidden="false" customHeight="true" outlineLevel="0" collapsed="false">
      <c r="A277" s="9" t="n">
        <v>255</v>
      </c>
      <c r="B277" s="43" t="s">
        <v>127</v>
      </c>
      <c r="C277" s="43" t="s">
        <v>2406</v>
      </c>
      <c r="D277" s="43" t="s">
        <v>852</v>
      </c>
      <c r="E277" s="43" t="s">
        <v>854</v>
      </c>
      <c r="F277" s="45" t="s">
        <v>450</v>
      </c>
      <c r="G277" s="9" t="n">
        <v>8</v>
      </c>
      <c r="H277" s="12" t="n">
        <f aca="false">'Engineering Cost'!H277*'Engineering Assumptions'!$B$6</f>
        <v>137520</v>
      </c>
      <c r="I277" s="12" t="n">
        <f aca="false">IF('Engineering Cost'!I277=0,0,MAX('Engineering Cost'!I277*'Engineering Assumptions'!$B$6,'Engineering Assumptions'!$B$9))</f>
        <v>78000</v>
      </c>
      <c r="J277" s="12" t="n">
        <f aca="false">'Engineering Cost'!J277*'Engineering Assumptions'!$B$6</f>
        <v>12000</v>
      </c>
      <c r="K277" s="12" t="n">
        <f aca="false">'Engineering Cost'!K277*'Engineering Assumptions'!$B$6</f>
        <v>9000</v>
      </c>
      <c r="L277" s="13" t="n">
        <f aca="false">SUM(H277:K277)</f>
        <v>236520</v>
      </c>
      <c r="M277" s="13" t="n">
        <f aca="false">L277*(1+'Engineering Assumptions'!$B$10)</f>
        <v>271998</v>
      </c>
    </row>
    <row r="278" customFormat="false" ht="15" hidden="false" customHeight="true" outlineLevel="0" collapsed="false">
      <c r="A278" s="9" t="n">
        <v>256</v>
      </c>
      <c r="B278" s="43" t="s">
        <v>127</v>
      </c>
      <c r="C278" s="43" t="s">
        <v>2407</v>
      </c>
      <c r="D278" s="43" t="s">
        <v>855</v>
      </c>
      <c r="E278" s="43" t="s">
        <v>857</v>
      </c>
      <c r="F278" s="45" t="s">
        <v>397</v>
      </c>
      <c r="G278" s="9" t="n">
        <v>9</v>
      </c>
      <c r="H278" s="12" t="n">
        <f aca="false">'Engineering Cost'!H278*'Engineering Assumptions'!$B$6</f>
        <v>137520</v>
      </c>
      <c r="I278" s="12" t="n">
        <f aca="false">IF('Engineering Cost'!I278=0,0,MAX('Engineering Cost'!I278*'Engineering Assumptions'!$B$6,'Engineering Assumptions'!$B$9))</f>
        <v>78000</v>
      </c>
      <c r="J278" s="12" t="n">
        <f aca="false">'Engineering Cost'!J278*'Engineering Assumptions'!$B$6</f>
        <v>12000</v>
      </c>
      <c r="K278" s="12" t="n">
        <f aca="false">'Engineering Cost'!K278*'Engineering Assumptions'!$B$6</f>
        <v>9000</v>
      </c>
      <c r="L278" s="13" t="n">
        <f aca="false">SUM(H278:K278)</f>
        <v>236520</v>
      </c>
      <c r="M278" s="13" t="n">
        <f aca="false">L278*(1+'Engineering Assumptions'!$B$10)</f>
        <v>271998</v>
      </c>
    </row>
    <row r="279" customFormat="false" ht="15" hidden="false" customHeight="true" outlineLevel="0" collapsed="false">
      <c r="A279" s="9" t="n">
        <v>257</v>
      </c>
      <c r="B279" s="43" t="s">
        <v>127</v>
      </c>
      <c r="C279" s="43" t="s">
        <v>2405</v>
      </c>
      <c r="D279" s="43" t="s">
        <v>858</v>
      </c>
      <c r="E279" s="43" t="s">
        <v>859</v>
      </c>
      <c r="F279" s="45" t="s">
        <v>318</v>
      </c>
      <c r="G279" s="9" t="n">
        <v>10</v>
      </c>
      <c r="H279" s="12" t="n">
        <f aca="false">'Engineering Cost'!H279*'Engineering Assumptions'!$B$6</f>
        <v>137520</v>
      </c>
      <c r="I279" s="12" t="n">
        <f aca="false">IF('Engineering Cost'!I279=0,0,MAX('Engineering Cost'!I279*'Engineering Assumptions'!$B$6,'Engineering Assumptions'!$B$9))</f>
        <v>78000</v>
      </c>
      <c r="J279" s="12" t="n">
        <f aca="false">'Engineering Cost'!J279*'Engineering Assumptions'!$B$6</f>
        <v>12000</v>
      </c>
      <c r="K279" s="12" t="n">
        <f aca="false">'Engineering Cost'!K279*'Engineering Assumptions'!$B$6</f>
        <v>9000</v>
      </c>
      <c r="L279" s="13" t="n">
        <f aca="false">SUM(H279:K279)</f>
        <v>236520</v>
      </c>
      <c r="M279" s="13" t="n">
        <f aca="false">L279*(1+'Engineering Assumptions'!$B$10)</f>
        <v>271998</v>
      </c>
    </row>
    <row r="280" customFormat="false" ht="15" hidden="false" customHeight="true" outlineLevel="0" collapsed="false">
      <c r="A280" s="9" t="n">
        <v>258</v>
      </c>
      <c r="B280" s="43" t="s">
        <v>127</v>
      </c>
      <c r="C280" s="43" t="s">
        <v>2405</v>
      </c>
      <c r="D280" s="43" t="s">
        <v>860</v>
      </c>
      <c r="E280" s="43" t="s">
        <v>861</v>
      </c>
      <c r="F280" s="45" t="s">
        <v>318</v>
      </c>
      <c r="G280" s="9" t="n">
        <v>10</v>
      </c>
      <c r="H280" s="12" t="n">
        <f aca="false">'Engineering Cost'!H280*'Engineering Assumptions'!$B$6</f>
        <v>137520</v>
      </c>
      <c r="I280" s="12" t="n">
        <f aca="false">IF('Engineering Cost'!I280=0,0,MAX('Engineering Cost'!I280*'Engineering Assumptions'!$B$6,'Engineering Assumptions'!$B$9))</f>
        <v>78000</v>
      </c>
      <c r="J280" s="12" t="n">
        <f aca="false">'Engineering Cost'!J280*'Engineering Assumptions'!$B$6</f>
        <v>12000</v>
      </c>
      <c r="K280" s="12" t="n">
        <f aca="false">'Engineering Cost'!K280*'Engineering Assumptions'!$B$6</f>
        <v>9000</v>
      </c>
      <c r="L280" s="13" t="n">
        <f aca="false">SUM(H280:K280)</f>
        <v>236520</v>
      </c>
      <c r="M280" s="13" t="n">
        <f aca="false">L280*(1+'Engineering Assumptions'!$B$10)</f>
        <v>271998</v>
      </c>
    </row>
    <row r="281" customFormat="false" ht="15" hidden="false" customHeight="true" outlineLevel="0" collapsed="false">
      <c r="A281" s="9" t="n">
        <v>259</v>
      </c>
      <c r="B281" s="43" t="s">
        <v>127</v>
      </c>
      <c r="C281" s="43" t="s">
        <v>2405</v>
      </c>
      <c r="D281" s="43" t="s">
        <v>862</v>
      </c>
      <c r="E281" s="43" t="s">
        <v>863</v>
      </c>
      <c r="F281" s="45" t="s">
        <v>318</v>
      </c>
      <c r="G281" s="9" t="n">
        <v>10</v>
      </c>
      <c r="H281" s="12" t="n">
        <f aca="false">'Engineering Cost'!H281*'Engineering Assumptions'!$B$6</f>
        <v>137520</v>
      </c>
      <c r="I281" s="12" t="n">
        <f aca="false">IF('Engineering Cost'!I281=0,0,MAX('Engineering Cost'!I281*'Engineering Assumptions'!$B$6,'Engineering Assumptions'!$B$9))</f>
        <v>78000</v>
      </c>
      <c r="J281" s="12" t="n">
        <f aca="false">'Engineering Cost'!J281*'Engineering Assumptions'!$B$6</f>
        <v>12000</v>
      </c>
      <c r="K281" s="12" t="n">
        <f aca="false">'Engineering Cost'!K281*'Engineering Assumptions'!$B$6</f>
        <v>9000</v>
      </c>
      <c r="L281" s="13" t="n">
        <f aca="false">SUM(H281:K281)</f>
        <v>236520</v>
      </c>
      <c r="M281" s="13" t="n">
        <f aca="false">L281*(1+'Engineering Assumptions'!$B$10)</f>
        <v>271998</v>
      </c>
    </row>
    <row r="282" customFormat="false" ht="15" hidden="false" customHeight="true" outlineLevel="0" collapsed="false">
      <c r="A282" s="9" t="n">
        <v>260</v>
      </c>
      <c r="B282" s="43" t="s">
        <v>127</v>
      </c>
      <c r="C282" s="43" t="s">
        <v>2408</v>
      </c>
      <c r="D282" s="43" t="s">
        <v>864</v>
      </c>
      <c r="E282" s="43" t="s">
        <v>866</v>
      </c>
      <c r="F282" s="45" t="s">
        <v>428</v>
      </c>
      <c r="G282" s="9" t="n">
        <v>26</v>
      </c>
      <c r="H282" s="12" t="n">
        <f aca="false">'Engineering Cost'!H282*'Engineering Assumptions'!$B$6</f>
        <v>137520</v>
      </c>
      <c r="I282" s="12" t="n">
        <f aca="false">IF('Engineering Cost'!I282=0,0,MAX('Engineering Cost'!I282*'Engineering Assumptions'!$B$6,'Engineering Assumptions'!$B$9))</f>
        <v>78000</v>
      </c>
      <c r="J282" s="12" t="n">
        <f aca="false">'Engineering Cost'!J282*'Engineering Assumptions'!$B$6</f>
        <v>23040</v>
      </c>
      <c r="K282" s="12" t="n">
        <f aca="false">'Engineering Cost'!K282*'Engineering Assumptions'!$B$6</f>
        <v>36000</v>
      </c>
      <c r="L282" s="13" t="n">
        <f aca="false">SUM(H282:K282)</f>
        <v>274560</v>
      </c>
      <c r="M282" s="13" t="n">
        <f aca="false">L282*(1+'Engineering Assumptions'!$B$10)</f>
        <v>315744</v>
      </c>
    </row>
    <row r="283" customFormat="false" ht="15" hidden="false" customHeight="true" outlineLevel="0" collapsed="false">
      <c r="A283" s="9" t="n">
        <v>261</v>
      </c>
      <c r="B283" s="43" t="s">
        <v>127</v>
      </c>
      <c r="C283" s="43" t="s">
        <v>2409</v>
      </c>
      <c r="D283" s="43" t="s">
        <v>867</v>
      </c>
      <c r="E283" s="43" t="s">
        <v>869</v>
      </c>
      <c r="F283" s="45" t="s">
        <v>829</v>
      </c>
      <c r="G283" s="9" t="n">
        <v>29</v>
      </c>
      <c r="H283" s="12" t="n">
        <f aca="false">'Engineering Cost'!H283*'Engineering Assumptions'!$B$6</f>
        <v>137520</v>
      </c>
      <c r="I283" s="12" t="n">
        <f aca="false">IF('Engineering Cost'!I283=0,0,MAX('Engineering Cost'!I283*'Engineering Assumptions'!$B$6,'Engineering Assumptions'!$B$9))</f>
        <v>78000</v>
      </c>
      <c r="J283" s="12" t="n">
        <f aca="false">'Engineering Cost'!J283*'Engineering Assumptions'!$B$6</f>
        <v>23040</v>
      </c>
      <c r="K283" s="12" t="n">
        <f aca="false">'Engineering Cost'!K283*'Engineering Assumptions'!$B$6</f>
        <v>36000</v>
      </c>
      <c r="L283" s="13" t="n">
        <f aca="false">SUM(H283:K283)</f>
        <v>274560</v>
      </c>
      <c r="M283" s="13" t="n">
        <f aca="false">L283*(1+'Engineering Assumptions'!$B$10)</f>
        <v>315744</v>
      </c>
    </row>
    <row r="284" customFormat="false" ht="15" hidden="false" customHeight="true" outlineLevel="0" collapsed="false">
      <c r="A284" s="9" t="n">
        <v>262</v>
      </c>
      <c r="B284" s="43" t="s">
        <v>127</v>
      </c>
      <c r="C284" s="43" t="s">
        <v>2410</v>
      </c>
      <c r="D284" s="43" t="s">
        <v>870</v>
      </c>
      <c r="E284" s="43" t="s">
        <v>872</v>
      </c>
      <c r="F284" s="45" t="s">
        <v>829</v>
      </c>
      <c r="G284" s="9" t="n">
        <v>29</v>
      </c>
      <c r="H284" s="12" t="n">
        <f aca="false">'Engineering Cost'!H284*'Engineering Assumptions'!$B$6</f>
        <v>137520</v>
      </c>
      <c r="I284" s="12" t="n">
        <f aca="false">IF('Engineering Cost'!I284=0,0,MAX('Engineering Cost'!I284*'Engineering Assumptions'!$B$6,'Engineering Assumptions'!$B$9))</f>
        <v>78000</v>
      </c>
      <c r="J284" s="12" t="n">
        <f aca="false">'Engineering Cost'!J284*'Engineering Assumptions'!$B$6</f>
        <v>23040</v>
      </c>
      <c r="K284" s="12" t="n">
        <f aca="false">'Engineering Cost'!K284*'Engineering Assumptions'!$B$6</f>
        <v>36000</v>
      </c>
      <c r="L284" s="13" t="n">
        <f aca="false">SUM(H284:K284)</f>
        <v>274560</v>
      </c>
      <c r="M284" s="13" t="n">
        <f aca="false">L284*(1+'Engineering Assumptions'!$B$10)</f>
        <v>315744</v>
      </c>
    </row>
    <row r="285" customFormat="false" ht="15" hidden="false" customHeight="true" outlineLevel="0" collapsed="false">
      <c r="A285" s="9" t="n">
        <v>263</v>
      </c>
      <c r="B285" s="43" t="s">
        <v>127</v>
      </c>
      <c r="C285" s="43" t="s">
        <v>2411</v>
      </c>
      <c r="D285" s="43" t="s">
        <v>874</v>
      </c>
      <c r="E285" s="43" t="s">
        <v>877</v>
      </c>
      <c r="F285" s="45" t="s">
        <v>876</v>
      </c>
      <c r="G285" s="9" t="n">
        <v>42</v>
      </c>
      <c r="H285" s="12" t="n">
        <f aca="false">'Engineering Cost'!H285*'Engineering Assumptions'!$B$6</f>
        <v>137520</v>
      </c>
      <c r="I285" s="12" t="n">
        <f aca="false">IF('Engineering Cost'!I285=0,0,MAX('Engineering Cost'!I285*'Engineering Assumptions'!$B$6,'Engineering Assumptions'!$B$9))</f>
        <v>78000</v>
      </c>
      <c r="J285" s="12" t="n">
        <f aca="false">'Engineering Cost'!J285*'Engineering Assumptions'!$B$6</f>
        <v>23040</v>
      </c>
      <c r="K285" s="12" t="n">
        <f aca="false">'Engineering Cost'!K285*'Engineering Assumptions'!$B$6</f>
        <v>36000</v>
      </c>
      <c r="L285" s="13" t="n">
        <f aca="false">SUM(H285:K285)</f>
        <v>274560</v>
      </c>
      <c r="M285" s="13" t="n">
        <f aca="false">L285*(1+'Engineering Assumptions'!$B$10)</f>
        <v>315744</v>
      </c>
    </row>
    <row r="286" customFormat="false" ht="15" hidden="false" customHeight="true" outlineLevel="0" collapsed="false">
      <c r="A286" s="9" t="n">
        <v>264</v>
      </c>
      <c r="B286" s="43" t="s">
        <v>127</v>
      </c>
      <c r="C286" s="43" t="s">
        <v>2412</v>
      </c>
      <c r="D286" s="43" t="s">
        <v>878</v>
      </c>
      <c r="E286" s="43" t="s">
        <v>881</v>
      </c>
      <c r="F286" s="45" t="s">
        <v>880</v>
      </c>
      <c r="G286" s="9" t="n">
        <v>53</v>
      </c>
      <c r="H286" s="12" t="n">
        <f aca="false">'Engineering Cost'!H286*'Engineering Assumptions'!$B$6</f>
        <v>137520</v>
      </c>
      <c r="I286" s="12" t="n">
        <f aca="false">IF('Engineering Cost'!I286=0,0,MAX('Engineering Cost'!I286*'Engineering Assumptions'!$B$6,'Engineering Assumptions'!$B$9))</f>
        <v>78000</v>
      </c>
      <c r="J286" s="12" t="n">
        <f aca="false">'Engineering Cost'!J286*'Engineering Assumptions'!$B$6</f>
        <v>23040</v>
      </c>
      <c r="K286" s="12" t="n">
        <f aca="false">'Engineering Cost'!K286*'Engineering Assumptions'!$B$6</f>
        <v>36000</v>
      </c>
      <c r="L286" s="13" t="n">
        <f aca="false">SUM(H286:K286)</f>
        <v>274560</v>
      </c>
      <c r="M286" s="13" t="n">
        <f aca="false">L286*(1+'Engineering Assumptions'!$B$10)</f>
        <v>315744</v>
      </c>
    </row>
    <row r="287" customFormat="false" ht="15" hidden="false" customHeight="true" outlineLevel="0" collapsed="false">
      <c r="A287" s="42" t="s">
        <v>882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</row>
    <row r="288" customFormat="false" ht="15" hidden="false" customHeight="true" outlineLevel="0" collapsed="false">
      <c r="A288" s="9" t="n">
        <v>265</v>
      </c>
      <c r="B288" s="43" t="s">
        <v>129</v>
      </c>
      <c r="C288" s="43" t="s">
        <v>2413</v>
      </c>
      <c r="D288" s="43" t="s">
        <v>883</v>
      </c>
      <c r="E288" s="43" t="s">
        <v>885</v>
      </c>
      <c r="F288" s="45" t="s">
        <v>324</v>
      </c>
      <c r="G288" s="9" t="n">
        <v>7</v>
      </c>
      <c r="H288" s="12" t="n">
        <f aca="false">'Engineering Cost'!H288*'Engineering Assumptions'!$B$6</f>
        <v>114600</v>
      </c>
      <c r="I288" s="12" t="n">
        <f aca="false">IF('Engineering Cost'!I288=0,0,MAX('Engineering Cost'!I288*'Engineering Assumptions'!$B$6,'Engineering Assumptions'!$B$9))</f>
        <v>78000</v>
      </c>
      <c r="J288" s="12" t="n">
        <f aca="false">'Engineering Cost'!J288*'Engineering Assumptions'!$B$6</f>
        <v>10500</v>
      </c>
      <c r="K288" s="12" t="n">
        <f aca="false">'Engineering Cost'!K288*'Engineering Assumptions'!$B$6</f>
        <v>8100</v>
      </c>
      <c r="L288" s="13" t="n">
        <f aca="false">SUM(H288:K288)</f>
        <v>211200</v>
      </c>
      <c r="M288" s="13" t="n">
        <f aca="false">L288*(1+'Engineering Assumptions'!$B$10)</f>
        <v>242880</v>
      </c>
    </row>
    <row r="289" customFormat="false" ht="15" hidden="false" customHeight="true" outlineLevel="0" collapsed="false">
      <c r="A289" s="9" t="n">
        <v>266</v>
      </c>
      <c r="B289" s="43" t="s">
        <v>129</v>
      </c>
      <c r="C289" s="43" t="s">
        <v>2413</v>
      </c>
      <c r="D289" s="43" t="s">
        <v>886</v>
      </c>
      <c r="E289" s="43" t="s">
        <v>887</v>
      </c>
      <c r="F289" s="45" t="s">
        <v>324</v>
      </c>
      <c r="G289" s="9" t="n">
        <v>7</v>
      </c>
      <c r="H289" s="12" t="n">
        <f aca="false">'Engineering Cost'!H289*'Engineering Assumptions'!$B$6</f>
        <v>114600</v>
      </c>
      <c r="I289" s="12" t="n">
        <f aca="false">IF('Engineering Cost'!I289=0,0,MAX('Engineering Cost'!I289*'Engineering Assumptions'!$B$6,'Engineering Assumptions'!$B$9))</f>
        <v>78000</v>
      </c>
      <c r="J289" s="12" t="n">
        <f aca="false">'Engineering Cost'!J289*'Engineering Assumptions'!$B$6</f>
        <v>10500</v>
      </c>
      <c r="K289" s="12" t="n">
        <f aca="false">'Engineering Cost'!K289*'Engineering Assumptions'!$B$6</f>
        <v>8100</v>
      </c>
      <c r="L289" s="13" t="n">
        <f aca="false">SUM(H289:K289)</f>
        <v>211200</v>
      </c>
      <c r="M289" s="13" t="n">
        <f aca="false">L289*(1+'Engineering Assumptions'!$B$10)</f>
        <v>242880</v>
      </c>
    </row>
    <row r="290" customFormat="false" ht="15" hidden="false" customHeight="true" outlineLevel="0" collapsed="false">
      <c r="A290" s="9" t="n">
        <v>267</v>
      </c>
      <c r="B290" s="43" t="s">
        <v>129</v>
      </c>
      <c r="C290" s="43" t="s">
        <v>2413</v>
      </c>
      <c r="D290" s="43" t="s">
        <v>888</v>
      </c>
      <c r="E290" s="43" t="s">
        <v>889</v>
      </c>
      <c r="F290" s="45" t="s">
        <v>324</v>
      </c>
      <c r="G290" s="9" t="n">
        <v>7</v>
      </c>
      <c r="H290" s="12" t="n">
        <f aca="false">'Engineering Cost'!H290*'Engineering Assumptions'!$B$6</f>
        <v>114600</v>
      </c>
      <c r="I290" s="12" t="n">
        <f aca="false">IF('Engineering Cost'!I290=0,0,MAX('Engineering Cost'!I290*'Engineering Assumptions'!$B$6,'Engineering Assumptions'!$B$9))</f>
        <v>78000</v>
      </c>
      <c r="J290" s="12" t="n">
        <f aca="false">'Engineering Cost'!J290*'Engineering Assumptions'!$B$6</f>
        <v>10500</v>
      </c>
      <c r="K290" s="12" t="n">
        <f aca="false">'Engineering Cost'!K290*'Engineering Assumptions'!$B$6</f>
        <v>8100</v>
      </c>
      <c r="L290" s="13" t="n">
        <f aca="false">SUM(H290:K290)</f>
        <v>211200</v>
      </c>
      <c r="M290" s="13" t="n">
        <f aca="false">L290*(1+'Engineering Assumptions'!$B$10)</f>
        <v>242880</v>
      </c>
    </row>
    <row r="291" customFormat="false" ht="15" hidden="false" customHeight="true" outlineLevel="0" collapsed="false">
      <c r="A291" s="9" t="n">
        <v>268</v>
      </c>
      <c r="B291" s="43" t="s">
        <v>129</v>
      </c>
      <c r="C291" s="43" t="s">
        <v>2413</v>
      </c>
      <c r="D291" s="43" t="s">
        <v>890</v>
      </c>
      <c r="E291" s="43" t="s">
        <v>891</v>
      </c>
      <c r="F291" s="45" t="s">
        <v>324</v>
      </c>
      <c r="G291" s="9" t="n">
        <v>7</v>
      </c>
      <c r="H291" s="12" t="n">
        <f aca="false">'Engineering Cost'!H291*'Engineering Assumptions'!$B$6</f>
        <v>114600</v>
      </c>
      <c r="I291" s="12" t="n">
        <f aca="false">IF('Engineering Cost'!I291=0,0,MAX('Engineering Cost'!I291*'Engineering Assumptions'!$B$6,'Engineering Assumptions'!$B$9))</f>
        <v>78000</v>
      </c>
      <c r="J291" s="12" t="n">
        <f aca="false">'Engineering Cost'!J291*'Engineering Assumptions'!$B$6</f>
        <v>10500</v>
      </c>
      <c r="K291" s="12" t="n">
        <f aca="false">'Engineering Cost'!K291*'Engineering Assumptions'!$B$6</f>
        <v>8100</v>
      </c>
      <c r="L291" s="13" t="n">
        <f aca="false">SUM(H291:K291)</f>
        <v>211200</v>
      </c>
      <c r="M291" s="13" t="n">
        <f aca="false">L291*(1+'Engineering Assumptions'!$B$10)</f>
        <v>242880</v>
      </c>
    </row>
    <row r="292" customFormat="false" ht="15" hidden="false" customHeight="true" outlineLevel="0" collapsed="false">
      <c r="A292" s="9" t="n">
        <v>269</v>
      </c>
      <c r="B292" s="43" t="s">
        <v>129</v>
      </c>
      <c r="C292" s="43" t="s">
        <v>2414</v>
      </c>
      <c r="D292" s="43" t="s">
        <v>892</v>
      </c>
      <c r="E292" s="43" t="s">
        <v>894</v>
      </c>
      <c r="F292" s="45" t="s">
        <v>324</v>
      </c>
      <c r="G292" s="9" t="n">
        <v>7</v>
      </c>
      <c r="H292" s="12" t="n">
        <f aca="false">'Engineering Cost'!H292*'Engineering Assumptions'!$B$6</f>
        <v>114600</v>
      </c>
      <c r="I292" s="12" t="n">
        <f aca="false">IF('Engineering Cost'!I292=0,0,MAX('Engineering Cost'!I292*'Engineering Assumptions'!$B$6,'Engineering Assumptions'!$B$9))</f>
        <v>78000</v>
      </c>
      <c r="J292" s="12" t="n">
        <f aca="false">'Engineering Cost'!J292*'Engineering Assumptions'!$B$6</f>
        <v>10500</v>
      </c>
      <c r="K292" s="12" t="n">
        <f aca="false">'Engineering Cost'!K292*'Engineering Assumptions'!$B$6</f>
        <v>8100</v>
      </c>
      <c r="L292" s="13" t="n">
        <f aca="false">SUM(H292:K292)</f>
        <v>211200</v>
      </c>
      <c r="M292" s="13" t="n">
        <f aca="false">L292*(1+'Engineering Assumptions'!$B$10)</f>
        <v>242880</v>
      </c>
    </row>
    <row r="293" customFormat="false" ht="15" hidden="false" customHeight="true" outlineLevel="0" collapsed="false">
      <c r="A293" s="9" t="n">
        <v>270</v>
      </c>
      <c r="B293" s="43" t="s">
        <v>129</v>
      </c>
      <c r="C293" s="43" t="s">
        <v>2415</v>
      </c>
      <c r="D293" s="43" t="s">
        <v>895</v>
      </c>
      <c r="E293" s="43" t="s">
        <v>897</v>
      </c>
      <c r="F293" s="45" t="s">
        <v>374</v>
      </c>
      <c r="G293" s="9" t="n">
        <v>12</v>
      </c>
      <c r="H293" s="12" t="n">
        <f aca="false">'Engineering Cost'!H293*'Engineering Assumptions'!$B$6</f>
        <v>114600</v>
      </c>
      <c r="I293" s="12" t="n">
        <f aca="false">IF('Engineering Cost'!I293=0,0,MAX('Engineering Cost'!I293*'Engineering Assumptions'!$B$6,'Engineering Assumptions'!$B$9))</f>
        <v>78000</v>
      </c>
      <c r="J293" s="12" t="n">
        <f aca="false">'Engineering Cost'!J293*'Engineering Assumptions'!$B$6</f>
        <v>13020</v>
      </c>
      <c r="K293" s="12" t="n">
        <f aca="false">'Engineering Cost'!K293*'Engineering Assumptions'!$B$6</f>
        <v>14580</v>
      </c>
      <c r="L293" s="13" t="n">
        <f aca="false">SUM(H293:K293)</f>
        <v>220200</v>
      </c>
      <c r="M293" s="13" t="n">
        <f aca="false">L293*(1+'Engineering Assumptions'!$B$10)</f>
        <v>253230</v>
      </c>
    </row>
    <row r="294" customFormat="false" ht="15" hidden="false" customHeight="true" outlineLevel="0" collapsed="false">
      <c r="A294" s="9" t="n">
        <v>271</v>
      </c>
      <c r="B294" s="43" t="s">
        <v>129</v>
      </c>
      <c r="C294" s="43" t="s">
        <v>2416</v>
      </c>
      <c r="D294" s="43" t="s">
        <v>899</v>
      </c>
      <c r="E294" s="43" t="s">
        <v>901</v>
      </c>
      <c r="F294" s="45" t="s">
        <v>380</v>
      </c>
      <c r="G294" s="9" t="n">
        <v>13</v>
      </c>
      <c r="H294" s="12" t="n">
        <f aca="false">'Engineering Cost'!H294*'Engineering Assumptions'!$B$6</f>
        <v>114600</v>
      </c>
      <c r="I294" s="12" t="n">
        <f aca="false">IF('Engineering Cost'!I294=0,0,MAX('Engineering Cost'!I294*'Engineering Assumptions'!$B$6,'Engineering Assumptions'!$B$9))</f>
        <v>78000</v>
      </c>
      <c r="J294" s="12" t="n">
        <f aca="false">'Engineering Cost'!J294*'Engineering Assumptions'!$B$6</f>
        <v>13020</v>
      </c>
      <c r="K294" s="12" t="n">
        <f aca="false">'Engineering Cost'!K294*'Engineering Assumptions'!$B$6</f>
        <v>14580</v>
      </c>
      <c r="L294" s="13" t="n">
        <f aca="false">SUM(H294:K294)</f>
        <v>220200</v>
      </c>
      <c r="M294" s="13" t="n">
        <f aca="false">L294*(1+'Engineering Assumptions'!$B$10)</f>
        <v>253230</v>
      </c>
    </row>
    <row r="295" customFormat="false" ht="15" hidden="false" customHeight="true" outlineLevel="0" collapsed="false">
      <c r="A295" s="9" t="n">
        <v>272</v>
      </c>
      <c r="B295" s="43" t="s">
        <v>129</v>
      </c>
      <c r="C295" s="43" t="s">
        <v>2417</v>
      </c>
      <c r="D295" s="43" t="s">
        <v>902</v>
      </c>
      <c r="E295" s="43" t="s">
        <v>904</v>
      </c>
      <c r="F295" s="45" t="s">
        <v>310</v>
      </c>
      <c r="G295" s="9" t="n">
        <v>14</v>
      </c>
      <c r="H295" s="12" t="n">
        <f aca="false">'Engineering Cost'!H295*'Engineering Assumptions'!$B$6</f>
        <v>114600</v>
      </c>
      <c r="I295" s="12" t="n">
        <f aca="false">IF('Engineering Cost'!I295=0,0,MAX('Engineering Cost'!I295*'Engineering Assumptions'!$B$6,'Engineering Assumptions'!$B$9))</f>
        <v>78000</v>
      </c>
      <c r="J295" s="12" t="n">
        <f aca="false">'Engineering Cost'!J295*'Engineering Assumptions'!$B$6</f>
        <v>13020</v>
      </c>
      <c r="K295" s="12" t="n">
        <f aca="false">'Engineering Cost'!K295*'Engineering Assumptions'!$B$6</f>
        <v>14580</v>
      </c>
      <c r="L295" s="13" t="n">
        <f aca="false">SUM(H295:K295)</f>
        <v>220200</v>
      </c>
      <c r="M295" s="13" t="n">
        <f aca="false">L295*(1+'Engineering Assumptions'!$B$10)</f>
        <v>253230</v>
      </c>
    </row>
    <row r="296" customFormat="false" ht="15" hidden="false" customHeight="true" outlineLevel="0" collapsed="false">
      <c r="A296" s="9" t="n">
        <v>273</v>
      </c>
      <c r="B296" s="43" t="s">
        <v>129</v>
      </c>
      <c r="C296" s="43" t="s">
        <v>2417</v>
      </c>
      <c r="D296" s="43" t="s">
        <v>915</v>
      </c>
      <c r="E296" s="43" t="s">
        <v>916</v>
      </c>
      <c r="F296" s="45" t="s">
        <v>310</v>
      </c>
      <c r="G296" s="9" t="n">
        <v>14</v>
      </c>
      <c r="H296" s="12" t="n">
        <f aca="false">'Engineering Cost'!H296*'Engineering Assumptions'!$B$6</f>
        <v>114600</v>
      </c>
      <c r="I296" s="12" t="n">
        <f aca="false">IF('Engineering Cost'!I296=0,0,MAX('Engineering Cost'!I296*'Engineering Assumptions'!$B$6,'Engineering Assumptions'!$B$9))</f>
        <v>78000</v>
      </c>
      <c r="J296" s="12" t="n">
        <f aca="false">'Engineering Cost'!J296*'Engineering Assumptions'!$B$6</f>
        <v>13020</v>
      </c>
      <c r="K296" s="12" t="n">
        <f aca="false">'Engineering Cost'!K296*'Engineering Assumptions'!$B$6</f>
        <v>14580</v>
      </c>
      <c r="L296" s="13" t="n">
        <f aca="false">SUM(H296:K296)</f>
        <v>220200</v>
      </c>
      <c r="M296" s="13" t="n">
        <f aca="false">L296*(1+'Engineering Assumptions'!$B$10)</f>
        <v>253230</v>
      </c>
    </row>
    <row r="297" customFormat="false" ht="15" hidden="false" customHeight="true" outlineLevel="0" collapsed="false">
      <c r="A297" s="9" t="n">
        <v>274</v>
      </c>
      <c r="B297" s="43" t="s">
        <v>129</v>
      </c>
      <c r="C297" s="43" t="s">
        <v>2418</v>
      </c>
      <c r="D297" s="43" t="s">
        <v>907</v>
      </c>
      <c r="E297" s="43" t="s">
        <v>909</v>
      </c>
      <c r="F297" s="45" t="s">
        <v>748</v>
      </c>
      <c r="G297" s="9" t="n">
        <v>15</v>
      </c>
      <c r="H297" s="12" t="n">
        <f aca="false">'Engineering Cost'!H297*'Engineering Assumptions'!$B$6</f>
        <v>114600</v>
      </c>
      <c r="I297" s="12" t="n">
        <f aca="false">IF('Engineering Cost'!I297=0,0,MAX('Engineering Cost'!I297*'Engineering Assumptions'!$B$6,'Engineering Assumptions'!$B$9))</f>
        <v>78000</v>
      </c>
      <c r="J297" s="12" t="n">
        <f aca="false">'Engineering Cost'!J297*'Engineering Assumptions'!$B$6</f>
        <v>13020</v>
      </c>
      <c r="K297" s="12" t="n">
        <f aca="false">'Engineering Cost'!K297*'Engineering Assumptions'!$B$6</f>
        <v>14580</v>
      </c>
      <c r="L297" s="13" t="n">
        <f aca="false">SUM(H297:K297)</f>
        <v>220200</v>
      </c>
      <c r="M297" s="13" t="n">
        <f aca="false">L297*(1+'Engineering Assumptions'!$B$10)</f>
        <v>253230</v>
      </c>
    </row>
    <row r="298" customFormat="false" ht="15" hidden="false" customHeight="true" outlineLevel="0" collapsed="false">
      <c r="A298" s="9" t="n">
        <v>275</v>
      </c>
      <c r="B298" s="43" t="s">
        <v>129</v>
      </c>
      <c r="C298" s="43" t="s">
        <v>2418</v>
      </c>
      <c r="D298" s="43" t="s">
        <v>905</v>
      </c>
      <c r="E298" s="43" t="s">
        <v>906</v>
      </c>
      <c r="F298" s="45" t="s">
        <v>748</v>
      </c>
      <c r="G298" s="9" t="n">
        <v>15</v>
      </c>
      <c r="H298" s="12" t="n">
        <f aca="false">'Engineering Cost'!H298*'Engineering Assumptions'!$B$6</f>
        <v>114600</v>
      </c>
      <c r="I298" s="12" t="n">
        <f aca="false">IF('Engineering Cost'!I298=0,0,MAX('Engineering Cost'!I298*'Engineering Assumptions'!$B$6,'Engineering Assumptions'!$B$9))</f>
        <v>78000</v>
      </c>
      <c r="J298" s="12" t="n">
        <f aca="false">'Engineering Cost'!J298*'Engineering Assumptions'!$B$6</f>
        <v>13020</v>
      </c>
      <c r="K298" s="12" t="n">
        <f aca="false">'Engineering Cost'!K298*'Engineering Assumptions'!$B$6</f>
        <v>14580</v>
      </c>
      <c r="L298" s="13" t="n">
        <f aca="false">SUM(H298:K298)</f>
        <v>220200</v>
      </c>
      <c r="M298" s="13" t="n">
        <f aca="false">L298*(1+'Engineering Assumptions'!$B$10)</f>
        <v>253230</v>
      </c>
    </row>
    <row r="299" customFormat="false" ht="15" hidden="false" customHeight="true" outlineLevel="0" collapsed="false">
      <c r="A299" s="9" t="n">
        <v>276</v>
      </c>
      <c r="B299" s="43" t="s">
        <v>129</v>
      </c>
      <c r="C299" s="43" t="s">
        <v>2419</v>
      </c>
      <c r="D299" s="43" t="s">
        <v>912</v>
      </c>
      <c r="E299" s="43" t="s">
        <v>914</v>
      </c>
      <c r="F299" s="45" t="s">
        <v>348</v>
      </c>
      <c r="G299" s="9" t="n">
        <v>20</v>
      </c>
      <c r="H299" s="12" t="n">
        <f aca="false">'Engineering Cost'!H299*'Engineering Assumptions'!$B$6</f>
        <v>114600</v>
      </c>
      <c r="I299" s="12" t="n">
        <f aca="false">IF('Engineering Cost'!I299=0,0,MAX('Engineering Cost'!I299*'Engineering Assumptions'!$B$6,'Engineering Assumptions'!$B$9))</f>
        <v>78000</v>
      </c>
      <c r="J299" s="12" t="n">
        <f aca="false">'Engineering Cost'!J299*'Engineering Assumptions'!$B$6</f>
        <v>16380</v>
      </c>
      <c r="K299" s="12" t="n">
        <f aca="false">'Engineering Cost'!K299*'Engineering Assumptions'!$B$6</f>
        <v>22680</v>
      </c>
      <c r="L299" s="13" t="n">
        <f aca="false">SUM(H299:K299)</f>
        <v>231660</v>
      </c>
      <c r="M299" s="13" t="n">
        <f aca="false">L299*(1+'Engineering Assumptions'!$B$10)</f>
        <v>266409</v>
      </c>
    </row>
    <row r="300" customFormat="false" ht="15" hidden="false" customHeight="true" outlineLevel="0" collapsed="false">
      <c r="A300" s="9" t="n">
        <v>277</v>
      </c>
      <c r="B300" s="43" t="s">
        <v>129</v>
      </c>
      <c r="C300" s="43" t="s">
        <v>2420</v>
      </c>
      <c r="D300" s="43" t="s">
        <v>910</v>
      </c>
      <c r="E300" s="43" t="s">
        <v>911</v>
      </c>
      <c r="F300" s="45" t="s">
        <v>472</v>
      </c>
      <c r="G300" s="9" t="n">
        <v>30</v>
      </c>
      <c r="H300" s="12" t="n">
        <f aca="false">'Engineering Cost'!H300*'Engineering Assumptions'!$B$6</f>
        <v>114600</v>
      </c>
      <c r="I300" s="12" t="n">
        <f aca="false">IF('Engineering Cost'!I300=0,0,MAX('Engineering Cost'!I300*'Engineering Assumptions'!$B$6,'Engineering Assumptions'!$B$9))</f>
        <v>78000</v>
      </c>
      <c r="J300" s="12" t="n">
        <f aca="false">'Engineering Cost'!J300*'Engineering Assumptions'!$B$6</f>
        <v>20160</v>
      </c>
      <c r="K300" s="12" t="n">
        <f aca="false">'Engineering Cost'!K300*'Engineering Assumptions'!$B$6</f>
        <v>32400</v>
      </c>
      <c r="L300" s="13" t="n">
        <f aca="false">SUM(H300:K300)</f>
        <v>245160</v>
      </c>
      <c r="M300" s="13" t="n">
        <f aca="false">L300*(1+'Engineering Assumptions'!$B$10)</f>
        <v>281934</v>
      </c>
    </row>
    <row r="301" customFormat="false" ht="15" hidden="false" customHeight="true" outlineLevel="0" collapsed="false">
      <c r="A301" s="42" t="s">
        <v>917</v>
      </c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</row>
    <row r="302" customFormat="false" ht="15" hidden="false" customHeight="true" outlineLevel="0" collapsed="false">
      <c r="A302" s="9" t="n">
        <v>278</v>
      </c>
      <c r="B302" s="43" t="s">
        <v>131</v>
      </c>
      <c r="C302" s="43" t="s">
        <v>2421</v>
      </c>
      <c r="D302" s="43" t="s">
        <v>918</v>
      </c>
      <c r="E302" s="43" t="s">
        <v>920</v>
      </c>
      <c r="F302" s="45" t="s">
        <v>297</v>
      </c>
      <c r="G302" s="9" t="n">
        <v>5</v>
      </c>
      <c r="H302" s="12" t="n">
        <f aca="false">'Engineering Cost'!H302*'Engineering Assumptions'!$B$6</f>
        <v>343800</v>
      </c>
      <c r="I302" s="12" t="n">
        <f aca="false">IF('Engineering Cost'!I302=0,0,MAX('Engineering Cost'!I302*'Engineering Assumptions'!$B$6,'Engineering Assumptions'!$B$9))</f>
        <v>78000</v>
      </c>
      <c r="J302" s="12" t="n">
        <f aca="false">'Engineering Cost'!J302*'Engineering Assumptions'!$B$6</f>
        <v>27600</v>
      </c>
      <c r="K302" s="12" t="n">
        <f aca="false">'Engineering Cost'!K302*'Engineering Assumptions'!$B$6</f>
        <v>11160</v>
      </c>
      <c r="L302" s="13" t="n">
        <f aca="false">SUM(H302:K302)</f>
        <v>460560</v>
      </c>
      <c r="M302" s="13" t="n">
        <f aca="false">L302*(1+'Engineering Assumptions'!$B$10)</f>
        <v>529644</v>
      </c>
    </row>
    <row r="303" customFormat="false" ht="15" hidden="false" customHeight="true" outlineLevel="0" collapsed="false">
      <c r="A303" s="9" t="n">
        <v>279</v>
      </c>
      <c r="B303" s="43" t="s">
        <v>131</v>
      </c>
      <c r="C303" s="43" t="s">
        <v>2421</v>
      </c>
      <c r="D303" s="43" t="s">
        <v>981</v>
      </c>
      <c r="E303" s="43" t="s">
        <v>982</v>
      </c>
      <c r="F303" s="45" t="s">
        <v>297</v>
      </c>
      <c r="G303" s="9" t="n">
        <v>5</v>
      </c>
      <c r="H303" s="12" t="n">
        <f aca="false">'Engineering Cost'!H303*'Engineering Assumptions'!$B$6</f>
        <v>343800</v>
      </c>
      <c r="I303" s="12" t="n">
        <f aca="false">IF('Engineering Cost'!I303=0,0,MAX('Engineering Cost'!I303*'Engineering Assumptions'!$B$6,'Engineering Assumptions'!$B$9))</f>
        <v>78000</v>
      </c>
      <c r="J303" s="12" t="n">
        <f aca="false">'Engineering Cost'!J303*'Engineering Assumptions'!$B$6</f>
        <v>27600</v>
      </c>
      <c r="K303" s="12" t="n">
        <f aca="false">'Engineering Cost'!K303*'Engineering Assumptions'!$B$6</f>
        <v>11160</v>
      </c>
      <c r="L303" s="13" t="n">
        <f aca="false">SUM(H303:K303)</f>
        <v>460560</v>
      </c>
      <c r="M303" s="13" t="n">
        <f aca="false">L303*(1+'Engineering Assumptions'!$B$10)</f>
        <v>529644</v>
      </c>
    </row>
    <row r="304" customFormat="false" ht="15" hidden="false" customHeight="true" outlineLevel="0" collapsed="false">
      <c r="A304" s="9" t="n">
        <v>280</v>
      </c>
      <c r="B304" s="43" t="s">
        <v>131</v>
      </c>
      <c r="C304" s="43" t="s">
        <v>2421</v>
      </c>
      <c r="D304" s="43" t="s">
        <v>988</v>
      </c>
      <c r="E304" s="43" t="s">
        <v>989</v>
      </c>
      <c r="F304" s="45" t="s">
        <v>297</v>
      </c>
      <c r="G304" s="9" t="n">
        <v>5</v>
      </c>
      <c r="H304" s="12" t="n">
        <f aca="false">'Engineering Cost'!H304*'Engineering Assumptions'!$B$6</f>
        <v>343800</v>
      </c>
      <c r="I304" s="12" t="n">
        <f aca="false">IF('Engineering Cost'!I304=0,0,MAX('Engineering Cost'!I304*'Engineering Assumptions'!$B$6,'Engineering Assumptions'!$B$9))</f>
        <v>78000</v>
      </c>
      <c r="J304" s="12" t="n">
        <f aca="false">'Engineering Cost'!J304*'Engineering Assumptions'!$B$6</f>
        <v>27600</v>
      </c>
      <c r="K304" s="12" t="n">
        <f aca="false">'Engineering Cost'!K304*'Engineering Assumptions'!$B$6</f>
        <v>11160</v>
      </c>
      <c r="L304" s="13" t="n">
        <f aca="false">SUM(H304:K304)</f>
        <v>460560</v>
      </c>
      <c r="M304" s="13" t="n">
        <f aca="false">L304*(1+'Engineering Assumptions'!$B$10)</f>
        <v>529644</v>
      </c>
    </row>
    <row r="305" customFormat="false" ht="15" hidden="false" customHeight="true" outlineLevel="0" collapsed="false">
      <c r="A305" s="9" t="n">
        <v>281</v>
      </c>
      <c r="B305" s="43" t="s">
        <v>131</v>
      </c>
      <c r="C305" s="43" t="s">
        <v>2421</v>
      </c>
      <c r="D305" s="43" t="s">
        <v>990</v>
      </c>
      <c r="E305" s="43" t="s">
        <v>991</v>
      </c>
      <c r="F305" s="45" t="s">
        <v>297</v>
      </c>
      <c r="G305" s="9" t="n">
        <v>5</v>
      </c>
      <c r="H305" s="12" t="n">
        <f aca="false">'Engineering Cost'!H305*'Engineering Assumptions'!$B$6</f>
        <v>343800</v>
      </c>
      <c r="I305" s="12" t="n">
        <f aca="false">IF('Engineering Cost'!I305=0,0,MAX('Engineering Cost'!I305*'Engineering Assumptions'!$B$6,'Engineering Assumptions'!$B$9))</f>
        <v>78000</v>
      </c>
      <c r="J305" s="12" t="n">
        <f aca="false">'Engineering Cost'!J305*'Engineering Assumptions'!$B$6</f>
        <v>27600</v>
      </c>
      <c r="K305" s="12" t="n">
        <f aca="false">'Engineering Cost'!K305*'Engineering Assumptions'!$B$6</f>
        <v>11160</v>
      </c>
      <c r="L305" s="13" t="n">
        <f aca="false">SUM(H305:K305)</f>
        <v>460560</v>
      </c>
      <c r="M305" s="13" t="n">
        <f aca="false">L305*(1+'Engineering Assumptions'!$B$10)</f>
        <v>529644</v>
      </c>
    </row>
    <row r="306" customFormat="false" ht="15" hidden="false" customHeight="true" outlineLevel="0" collapsed="false">
      <c r="A306" s="9" t="n">
        <v>282</v>
      </c>
      <c r="B306" s="43" t="s">
        <v>131</v>
      </c>
      <c r="C306" s="43" t="s">
        <v>2421</v>
      </c>
      <c r="D306" s="43" t="s">
        <v>992</v>
      </c>
      <c r="E306" s="43" t="s">
        <v>993</v>
      </c>
      <c r="F306" s="45" t="s">
        <v>297</v>
      </c>
      <c r="G306" s="9" t="n">
        <v>5</v>
      </c>
      <c r="H306" s="12" t="n">
        <f aca="false">'Engineering Cost'!H306*'Engineering Assumptions'!$B$6</f>
        <v>343800</v>
      </c>
      <c r="I306" s="12" t="n">
        <f aca="false">IF('Engineering Cost'!I306=0,0,MAX('Engineering Cost'!I306*'Engineering Assumptions'!$B$6,'Engineering Assumptions'!$B$9))</f>
        <v>78000</v>
      </c>
      <c r="J306" s="12" t="n">
        <f aca="false">'Engineering Cost'!J306*'Engineering Assumptions'!$B$6</f>
        <v>27600</v>
      </c>
      <c r="K306" s="12" t="n">
        <f aca="false">'Engineering Cost'!K306*'Engineering Assumptions'!$B$6</f>
        <v>11160</v>
      </c>
      <c r="L306" s="13" t="n">
        <f aca="false">SUM(H306:K306)</f>
        <v>460560</v>
      </c>
      <c r="M306" s="13" t="n">
        <f aca="false">L306*(1+'Engineering Assumptions'!$B$10)</f>
        <v>529644</v>
      </c>
    </row>
    <row r="307" customFormat="false" ht="15" hidden="false" customHeight="true" outlineLevel="0" collapsed="false">
      <c r="A307" s="9" t="n">
        <v>283</v>
      </c>
      <c r="B307" s="43" t="s">
        <v>131</v>
      </c>
      <c r="C307" s="43" t="s">
        <v>2421</v>
      </c>
      <c r="D307" s="43" t="s">
        <v>994</v>
      </c>
      <c r="E307" s="43" t="s">
        <v>995</v>
      </c>
      <c r="F307" s="45" t="s">
        <v>297</v>
      </c>
      <c r="G307" s="9" t="n">
        <v>5</v>
      </c>
      <c r="H307" s="12" t="n">
        <f aca="false">'Engineering Cost'!H307*'Engineering Assumptions'!$B$6</f>
        <v>343800</v>
      </c>
      <c r="I307" s="12" t="n">
        <f aca="false">IF('Engineering Cost'!I307=0,0,MAX('Engineering Cost'!I307*'Engineering Assumptions'!$B$6,'Engineering Assumptions'!$B$9))</f>
        <v>78000</v>
      </c>
      <c r="J307" s="12" t="n">
        <f aca="false">'Engineering Cost'!J307*'Engineering Assumptions'!$B$6</f>
        <v>27600</v>
      </c>
      <c r="K307" s="12" t="n">
        <f aca="false">'Engineering Cost'!K307*'Engineering Assumptions'!$B$6</f>
        <v>11160</v>
      </c>
      <c r="L307" s="13" t="n">
        <f aca="false">SUM(H307:K307)</f>
        <v>460560</v>
      </c>
      <c r="M307" s="13" t="n">
        <f aca="false">L307*(1+'Engineering Assumptions'!$B$10)</f>
        <v>529644</v>
      </c>
    </row>
    <row r="308" customFormat="false" ht="15" hidden="false" customHeight="true" outlineLevel="0" collapsed="false">
      <c r="A308" s="9" t="n">
        <v>284</v>
      </c>
      <c r="B308" s="43" t="s">
        <v>131</v>
      </c>
      <c r="C308" s="43" t="s">
        <v>2421</v>
      </c>
      <c r="D308" s="43" t="s">
        <v>996</v>
      </c>
      <c r="E308" s="43" t="s">
        <v>997</v>
      </c>
      <c r="F308" s="45" t="s">
        <v>297</v>
      </c>
      <c r="G308" s="9" t="n">
        <v>5</v>
      </c>
      <c r="H308" s="12" t="n">
        <f aca="false">'Engineering Cost'!H308*'Engineering Assumptions'!$B$6</f>
        <v>343800</v>
      </c>
      <c r="I308" s="12" t="n">
        <f aca="false">IF('Engineering Cost'!I308=0,0,MAX('Engineering Cost'!I308*'Engineering Assumptions'!$B$6,'Engineering Assumptions'!$B$9))</f>
        <v>78000</v>
      </c>
      <c r="J308" s="12" t="n">
        <f aca="false">'Engineering Cost'!J308*'Engineering Assumptions'!$B$6</f>
        <v>27600</v>
      </c>
      <c r="K308" s="12" t="n">
        <f aca="false">'Engineering Cost'!K308*'Engineering Assumptions'!$B$6</f>
        <v>11160</v>
      </c>
      <c r="L308" s="13" t="n">
        <f aca="false">SUM(H308:K308)</f>
        <v>460560</v>
      </c>
      <c r="M308" s="13" t="n">
        <f aca="false">L308*(1+'Engineering Assumptions'!$B$10)</f>
        <v>529644</v>
      </c>
    </row>
    <row r="309" customFormat="false" ht="15" hidden="false" customHeight="true" outlineLevel="0" collapsed="false">
      <c r="A309" s="9" t="n">
        <v>285</v>
      </c>
      <c r="B309" s="43" t="s">
        <v>131</v>
      </c>
      <c r="C309" s="43" t="s">
        <v>2421</v>
      </c>
      <c r="D309" s="43" t="s">
        <v>998</v>
      </c>
      <c r="E309" s="43" t="s">
        <v>999</v>
      </c>
      <c r="F309" s="45" t="s">
        <v>297</v>
      </c>
      <c r="G309" s="9" t="n">
        <v>5</v>
      </c>
      <c r="H309" s="12" t="n">
        <f aca="false">'Engineering Cost'!H309*'Engineering Assumptions'!$B$6</f>
        <v>343800</v>
      </c>
      <c r="I309" s="12" t="n">
        <f aca="false">IF('Engineering Cost'!I309=0,0,MAX('Engineering Cost'!I309*'Engineering Assumptions'!$B$6,'Engineering Assumptions'!$B$9))</f>
        <v>78000</v>
      </c>
      <c r="J309" s="12" t="n">
        <f aca="false">'Engineering Cost'!J309*'Engineering Assumptions'!$B$6</f>
        <v>27600</v>
      </c>
      <c r="K309" s="12" t="n">
        <f aca="false">'Engineering Cost'!K309*'Engineering Assumptions'!$B$6</f>
        <v>11160</v>
      </c>
      <c r="L309" s="13" t="n">
        <f aca="false">SUM(H309:K309)</f>
        <v>460560</v>
      </c>
      <c r="M309" s="13" t="n">
        <f aca="false">L309*(1+'Engineering Assumptions'!$B$10)</f>
        <v>529644</v>
      </c>
    </row>
    <row r="310" customFormat="false" ht="15" hidden="false" customHeight="true" outlineLevel="0" collapsed="false">
      <c r="A310" s="9" t="n">
        <v>286</v>
      </c>
      <c r="B310" s="43" t="s">
        <v>131</v>
      </c>
      <c r="C310" s="43" t="s">
        <v>2421</v>
      </c>
      <c r="D310" s="43" t="s">
        <v>1000</v>
      </c>
      <c r="E310" s="43" t="s">
        <v>1001</v>
      </c>
      <c r="F310" s="45" t="s">
        <v>297</v>
      </c>
      <c r="G310" s="9" t="n">
        <v>5</v>
      </c>
      <c r="H310" s="12" t="n">
        <f aca="false">'Engineering Cost'!H310*'Engineering Assumptions'!$B$6</f>
        <v>343800</v>
      </c>
      <c r="I310" s="12" t="n">
        <f aca="false">IF('Engineering Cost'!I310=0,0,MAX('Engineering Cost'!I310*'Engineering Assumptions'!$B$6,'Engineering Assumptions'!$B$9))</f>
        <v>78000</v>
      </c>
      <c r="J310" s="12" t="n">
        <f aca="false">'Engineering Cost'!J310*'Engineering Assumptions'!$B$6</f>
        <v>27600</v>
      </c>
      <c r="K310" s="12" t="n">
        <f aca="false">'Engineering Cost'!K310*'Engineering Assumptions'!$B$6</f>
        <v>11160</v>
      </c>
      <c r="L310" s="13" t="n">
        <f aca="false">SUM(H310:K310)</f>
        <v>460560</v>
      </c>
      <c r="M310" s="13" t="n">
        <f aca="false">L310*(1+'Engineering Assumptions'!$B$10)</f>
        <v>529644</v>
      </c>
    </row>
    <row r="311" customFormat="false" ht="15" hidden="false" customHeight="true" outlineLevel="0" collapsed="false">
      <c r="A311" s="9" t="n">
        <v>287</v>
      </c>
      <c r="B311" s="43" t="s">
        <v>131</v>
      </c>
      <c r="C311" s="43" t="s">
        <v>2421</v>
      </c>
      <c r="D311" s="43" t="s">
        <v>1002</v>
      </c>
      <c r="E311" s="43" t="s">
        <v>1003</v>
      </c>
      <c r="F311" s="45" t="s">
        <v>297</v>
      </c>
      <c r="G311" s="9" t="n">
        <v>5</v>
      </c>
      <c r="H311" s="12" t="n">
        <f aca="false">'Engineering Cost'!H311*'Engineering Assumptions'!$B$6</f>
        <v>343800</v>
      </c>
      <c r="I311" s="12" t="n">
        <f aca="false">IF('Engineering Cost'!I311=0,0,MAX('Engineering Cost'!I311*'Engineering Assumptions'!$B$6,'Engineering Assumptions'!$B$9))</f>
        <v>78000</v>
      </c>
      <c r="J311" s="12" t="n">
        <f aca="false">'Engineering Cost'!J311*'Engineering Assumptions'!$B$6</f>
        <v>27600</v>
      </c>
      <c r="K311" s="12" t="n">
        <f aca="false">'Engineering Cost'!K311*'Engineering Assumptions'!$B$6</f>
        <v>11160</v>
      </c>
      <c r="L311" s="13" t="n">
        <f aca="false">SUM(H311:K311)</f>
        <v>460560</v>
      </c>
      <c r="M311" s="13" t="n">
        <f aca="false">L311*(1+'Engineering Assumptions'!$B$10)</f>
        <v>529644</v>
      </c>
    </row>
    <row r="312" customFormat="false" ht="15" hidden="false" customHeight="true" outlineLevel="0" collapsed="false">
      <c r="A312" s="9" t="n">
        <v>288</v>
      </c>
      <c r="B312" s="43" t="s">
        <v>131</v>
      </c>
      <c r="C312" s="43" t="s">
        <v>2421</v>
      </c>
      <c r="D312" s="43" t="s">
        <v>1004</v>
      </c>
      <c r="E312" s="43" t="s">
        <v>1005</v>
      </c>
      <c r="F312" s="45" t="s">
        <v>297</v>
      </c>
      <c r="G312" s="9" t="n">
        <v>5</v>
      </c>
      <c r="H312" s="12" t="n">
        <f aca="false">'Engineering Cost'!H312*'Engineering Assumptions'!$B$6</f>
        <v>343800</v>
      </c>
      <c r="I312" s="12" t="n">
        <f aca="false">IF('Engineering Cost'!I312=0,0,MAX('Engineering Cost'!I312*'Engineering Assumptions'!$B$6,'Engineering Assumptions'!$B$9))</f>
        <v>78000</v>
      </c>
      <c r="J312" s="12" t="n">
        <f aca="false">'Engineering Cost'!J312*'Engineering Assumptions'!$B$6</f>
        <v>27600</v>
      </c>
      <c r="K312" s="12" t="n">
        <f aca="false">'Engineering Cost'!K312*'Engineering Assumptions'!$B$6</f>
        <v>11160</v>
      </c>
      <c r="L312" s="13" t="n">
        <f aca="false">SUM(H312:K312)</f>
        <v>460560</v>
      </c>
      <c r="M312" s="13" t="n">
        <f aca="false">L312*(1+'Engineering Assumptions'!$B$10)</f>
        <v>529644</v>
      </c>
    </row>
    <row r="313" customFormat="false" ht="15" hidden="false" customHeight="true" outlineLevel="0" collapsed="false">
      <c r="A313" s="9" t="n">
        <v>289</v>
      </c>
      <c r="B313" s="43" t="s">
        <v>131</v>
      </c>
      <c r="C313" s="43" t="s">
        <v>2421</v>
      </c>
      <c r="D313" s="43" t="s">
        <v>1006</v>
      </c>
      <c r="E313" s="43" t="s">
        <v>1007</v>
      </c>
      <c r="F313" s="45" t="s">
        <v>297</v>
      </c>
      <c r="G313" s="9" t="n">
        <v>5</v>
      </c>
      <c r="H313" s="12" t="n">
        <f aca="false">'Engineering Cost'!H313*'Engineering Assumptions'!$B$6</f>
        <v>343800</v>
      </c>
      <c r="I313" s="12" t="n">
        <f aca="false">IF('Engineering Cost'!I313=0,0,MAX('Engineering Cost'!I313*'Engineering Assumptions'!$B$6,'Engineering Assumptions'!$B$9))</f>
        <v>78000</v>
      </c>
      <c r="J313" s="12" t="n">
        <f aca="false">'Engineering Cost'!J313*'Engineering Assumptions'!$B$6</f>
        <v>27600</v>
      </c>
      <c r="K313" s="12" t="n">
        <f aca="false">'Engineering Cost'!K313*'Engineering Assumptions'!$B$6</f>
        <v>11160</v>
      </c>
      <c r="L313" s="13" t="n">
        <f aca="false">SUM(H313:K313)</f>
        <v>460560</v>
      </c>
      <c r="M313" s="13" t="n">
        <f aca="false">L313*(1+'Engineering Assumptions'!$B$10)</f>
        <v>529644</v>
      </c>
    </row>
    <row r="314" customFormat="false" ht="15" hidden="false" customHeight="true" outlineLevel="0" collapsed="false">
      <c r="A314" s="9" t="n">
        <v>290</v>
      </c>
      <c r="B314" s="43" t="s">
        <v>131</v>
      </c>
      <c r="C314" s="43" t="s">
        <v>2421</v>
      </c>
      <c r="D314" s="43" t="s">
        <v>1014</v>
      </c>
      <c r="E314" s="43" t="s">
        <v>1015</v>
      </c>
      <c r="F314" s="45" t="s">
        <v>297</v>
      </c>
      <c r="G314" s="9" t="n">
        <v>5</v>
      </c>
      <c r="H314" s="12" t="n">
        <f aca="false">'Engineering Cost'!H314*'Engineering Assumptions'!$B$6</f>
        <v>343800</v>
      </c>
      <c r="I314" s="12" t="n">
        <f aca="false">IF('Engineering Cost'!I314=0,0,MAX('Engineering Cost'!I314*'Engineering Assumptions'!$B$6,'Engineering Assumptions'!$B$9))</f>
        <v>78000</v>
      </c>
      <c r="J314" s="12" t="n">
        <f aca="false">'Engineering Cost'!J314*'Engineering Assumptions'!$B$6</f>
        <v>27600</v>
      </c>
      <c r="K314" s="12" t="n">
        <f aca="false">'Engineering Cost'!K314*'Engineering Assumptions'!$B$6</f>
        <v>11160</v>
      </c>
      <c r="L314" s="13" t="n">
        <f aca="false">SUM(H314:K314)</f>
        <v>460560</v>
      </c>
      <c r="M314" s="13" t="n">
        <f aca="false">L314*(1+'Engineering Assumptions'!$B$10)</f>
        <v>529644</v>
      </c>
    </row>
    <row r="315" customFormat="false" ht="15" hidden="false" customHeight="true" outlineLevel="0" collapsed="false">
      <c r="A315" s="9" t="n">
        <v>291</v>
      </c>
      <c r="B315" s="43" t="s">
        <v>131</v>
      </c>
      <c r="C315" s="43" t="s">
        <v>2421</v>
      </c>
      <c r="D315" s="43" t="s">
        <v>1016</v>
      </c>
      <c r="E315" s="43" t="s">
        <v>1017</v>
      </c>
      <c r="F315" s="45" t="s">
        <v>297</v>
      </c>
      <c r="G315" s="9" t="n">
        <v>5</v>
      </c>
      <c r="H315" s="12" t="n">
        <f aca="false">'Engineering Cost'!H315*'Engineering Assumptions'!$B$6</f>
        <v>343800</v>
      </c>
      <c r="I315" s="12" t="n">
        <f aca="false">IF('Engineering Cost'!I315=0,0,MAX('Engineering Cost'!I315*'Engineering Assumptions'!$B$6,'Engineering Assumptions'!$B$9))</f>
        <v>78000</v>
      </c>
      <c r="J315" s="12" t="n">
        <f aca="false">'Engineering Cost'!J315*'Engineering Assumptions'!$B$6</f>
        <v>27600</v>
      </c>
      <c r="K315" s="12" t="n">
        <f aca="false">'Engineering Cost'!K315*'Engineering Assumptions'!$B$6</f>
        <v>11160</v>
      </c>
      <c r="L315" s="13" t="n">
        <f aca="false">SUM(H315:K315)</f>
        <v>460560</v>
      </c>
      <c r="M315" s="13" t="n">
        <f aca="false">L315*(1+'Engineering Assumptions'!$B$10)</f>
        <v>529644</v>
      </c>
    </row>
    <row r="316" customFormat="false" ht="15" hidden="false" customHeight="true" outlineLevel="0" collapsed="false">
      <c r="A316" s="9" t="n">
        <v>292</v>
      </c>
      <c r="B316" s="43" t="s">
        <v>131</v>
      </c>
      <c r="C316" s="43" t="s">
        <v>2421</v>
      </c>
      <c r="D316" s="43" t="s">
        <v>1018</v>
      </c>
      <c r="E316" s="43" t="s">
        <v>1019</v>
      </c>
      <c r="F316" s="45" t="s">
        <v>297</v>
      </c>
      <c r="G316" s="9" t="n">
        <v>5</v>
      </c>
      <c r="H316" s="12" t="n">
        <f aca="false">'Engineering Cost'!H316*'Engineering Assumptions'!$B$6</f>
        <v>343800</v>
      </c>
      <c r="I316" s="12" t="n">
        <f aca="false">IF('Engineering Cost'!I316=0,0,MAX('Engineering Cost'!I316*'Engineering Assumptions'!$B$6,'Engineering Assumptions'!$B$9))</f>
        <v>78000</v>
      </c>
      <c r="J316" s="12" t="n">
        <f aca="false">'Engineering Cost'!J316*'Engineering Assumptions'!$B$6</f>
        <v>27600</v>
      </c>
      <c r="K316" s="12" t="n">
        <f aca="false">'Engineering Cost'!K316*'Engineering Assumptions'!$B$6</f>
        <v>11160</v>
      </c>
      <c r="L316" s="13" t="n">
        <f aca="false">SUM(H316:K316)</f>
        <v>460560</v>
      </c>
      <c r="M316" s="13" t="n">
        <f aca="false">L316*(1+'Engineering Assumptions'!$B$10)</f>
        <v>529644</v>
      </c>
    </row>
    <row r="317" customFormat="false" ht="15" hidden="false" customHeight="true" outlineLevel="0" collapsed="false">
      <c r="A317" s="9" t="n">
        <v>293</v>
      </c>
      <c r="B317" s="43" t="s">
        <v>131</v>
      </c>
      <c r="C317" s="43" t="s">
        <v>2421</v>
      </c>
      <c r="D317" s="43" t="s">
        <v>1020</v>
      </c>
      <c r="E317" s="43" t="s">
        <v>1021</v>
      </c>
      <c r="F317" s="45" t="s">
        <v>297</v>
      </c>
      <c r="G317" s="9" t="n">
        <v>5</v>
      </c>
      <c r="H317" s="12" t="n">
        <f aca="false">'Engineering Cost'!H317*'Engineering Assumptions'!$B$6</f>
        <v>343800</v>
      </c>
      <c r="I317" s="12" t="n">
        <f aca="false">IF('Engineering Cost'!I317=0,0,MAX('Engineering Cost'!I317*'Engineering Assumptions'!$B$6,'Engineering Assumptions'!$B$9))</f>
        <v>78000</v>
      </c>
      <c r="J317" s="12" t="n">
        <f aca="false">'Engineering Cost'!J317*'Engineering Assumptions'!$B$6</f>
        <v>27600</v>
      </c>
      <c r="K317" s="12" t="n">
        <f aca="false">'Engineering Cost'!K317*'Engineering Assumptions'!$B$6</f>
        <v>11160</v>
      </c>
      <c r="L317" s="13" t="n">
        <f aca="false">SUM(H317:K317)</f>
        <v>460560</v>
      </c>
      <c r="M317" s="13" t="n">
        <f aca="false">L317*(1+'Engineering Assumptions'!$B$10)</f>
        <v>529644</v>
      </c>
    </row>
    <row r="318" customFormat="false" ht="15" hidden="false" customHeight="true" outlineLevel="0" collapsed="false">
      <c r="A318" s="9" t="n">
        <v>294</v>
      </c>
      <c r="B318" s="43" t="s">
        <v>131</v>
      </c>
      <c r="C318" s="43" t="s">
        <v>2421</v>
      </c>
      <c r="D318" s="43" t="s">
        <v>1022</v>
      </c>
      <c r="E318" s="43" t="s">
        <v>1023</v>
      </c>
      <c r="F318" s="45" t="s">
        <v>297</v>
      </c>
      <c r="G318" s="9" t="n">
        <v>5</v>
      </c>
      <c r="H318" s="12" t="n">
        <f aca="false">'Engineering Cost'!H318*'Engineering Assumptions'!$B$6</f>
        <v>343800</v>
      </c>
      <c r="I318" s="12" t="n">
        <f aca="false">IF('Engineering Cost'!I318=0,0,MAX('Engineering Cost'!I318*'Engineering Assumptions'!$B$6,'Engineering Assumptions'!$B$9))</f>
        <v>78000</v>
      </c>
      <c r="J318" s="12" t="n">
        <f aca="false">'Engineering Cost'!J318*'Engineering Assumptions'!$B$6</f>
        <v>27600</v>
      </c>
      <c r="K318" s="12" t="n">
        <f aca="false">'Engineering Cost'!K318*'Engineering Assumptions'!$B$6</f>
        <v>11160</v>
      </c>
      <c r="L318" s="13" t="n">
        <f aca="false">SUM(H318:K318)</f>
        <v>460560</v>
      </c>
      <c r="M318" s="13" t="n">
        <f aca="false">L318*(1+'Engineering Assumptions'!$B$10)</f>
        <v>529644</v>
      </c>
    </row>
    <row r="319" customFormat="false" ht="15" hidden="false" customHeight="true" outlineLevel="0" collapsed="false">
      <c r="A319" s="9" t="n">
        <v>295</v>
      </c>
      <c r="B319" s="43" t="s">
        <v>131</v>
      </c>
      <c r="C319" s="43" t="s">
        <v>2421</v>
      </c>
      <c r="D319" s="43" t="s">
        <v>1024</v>
      </c>
      <c r="E319" s="43" t="s">
        <v>1025</v>
      </c>
      <c r="F319" s="45" t="s">
        <v>297</v>
      </c>
      <c r="G319" s="9" t="n">
        <v>5</v>
      </c>
      <c r="H319" s="12" t="n">
        <f aca="false">'Engineering Cost'!H319*'Engineering Assumptions'!$B$6</f>
        <v>343800</v>
      </c>
      <c r="I319" s="12" t="n">
        <f aca="false">IF('Engineering Cost'!I319=0,0,MAX('Engineering Cost'!I319*'Engineering Assumptions'!$B$6,'Engineering Assumptions'!$B$9))</f>
        <v>78000</v>
      </c>
      <c r="J319" s="12" t="n">
        <f aca="false">'Engineering Cost'!J319*'Engineering Assumptions'!$B$6</f>
        <v>27600</v>
      </c>
      <c r="K319" s="12" t="n">
        <f aca="false">'Engineering Cost'!K319*'Engineering Assumptions'!$B$6</f>
        <v>11160</v>
      </c>
      <c r="L319" s="13" t="n">
        <f aca="false">SUM(H319:K319)</f>
        <v>460560</v>
      </c>
      <c r="M319" s="13" t="n">
        <f aca="false">L319*(1+'Engineering Assumptions'!$B$10)</f>
        <v>529644</v>
      </c>
    </row>
    <row r="320" customFormat="false" ht="15" hidden="false" customHeight="true" outlineLevel="0" collapsed="false">
      <c r="A320" s="9" t="n">
        <v>296</v>
      </c>
      <c r="B320" s="43" t="s">
        <v>131</v>
      </c>
      <c r="C320" s="43" t="s">
        <v>2421</v>
      </c>
      <c r="D320" s="43" t="s">
        <v>1026</v>
      </c>
      <c r="E320" s="43" t="s">
        <v>1027</v>
      </c>
      <c r="F320" s="45" t="s">
        <v>297</v>
      </c>
      <c r="G320" s="9" t="n">
        <v>5</v>
      </c>
      <c r="H320" s="12" t="n">
        <f aca="false">'Engineering Cost'!H320*'Engineering Assumptions'!$B$6</f>
        <v>343800</v>
      </c>
      <c r="I320" s="12" t="n">
        <f aca="false">IF('Engineering Cost'!I320=0,0,MAX('Engineering Cost'!I320*'Engineering Assumptions'!$B$6,'Engineering Assumptions'!$B$9))</f>
        <v>78000</v>
      </c>
      <c r="J320" s="12" t="n">
        <f aca="false">'Engineering Cost'!J320*'Engineering Assumptions'!$B$6</f>
        <v>27600</v>
      </c>
      <c r="K320" s="12" t="n">
        <f aca="false">'Engineering Cost'!K320*'Engineering Assumptions'!$B$6</f>
        <v>11160</v>
      </c>
      <c r="L320" s="13" t="n">
        <f aca="false">SUM(H320:K320)</f>
        <v>460560</v>
      </c>
      <c r="M320" s="13" t="n">
        <f aca="false">L320*(1+'Engineering Assumptions'!$B$10)</f>
        <v>529644</v>
      </c>
    </row>
    <row r="321" customFormat="false" ht="15" hidden="false" customHeight="true" outlineLevel="0" collapsed="false">
      <c r="A321" s="9" t="n">
        <v>297</v>
      </c>
      <c r="B321" s="43" t="s">
        <v>131</v>
      </c>
      <c r="C321" s="43" t="s">
        <v>2421</v>
      </c>
      <c r="D321" s="43" t="s">
        <v>1028</v>
      </c>
      <c r="E321" s="43" t="s">
        <v>1029</v>
      </c>
      <c r="F321" s="45" t="s">
        <v>297</v>
      </c>
      <c r="G321" s="9" t="n">
        <v>5</v>
      </c>
      <c r="H321" s="12" t="n">
        <f aca="false">'Engineering Cost'!H321*'Engineering Assumptions'!$B$6</f>
        <v>343800</v>
      </c>
      <c r="I321" s="12" t="n">
        <f aca="false">IF('Engineering Cost'!I321=0,0,MAX('Engineering Cost'!I321*'Engineering Assumptions'!$B$6,'Engineering Assumptions'!$B$9))</f>
        <v>78000</v>
      </c>
      <c r="J321" s="12" t="n">
        <f aca="false">'Engineering Cost'!J321*'Engineering Assumptions'!$B$6</f>
        <v>27600</v>
      </c>
      <c r="K321" s="12" t="n">
        <f aca="false">'Engineering Cost'!K321*'Engineering Assumptions'!$B$6</f>
        <v>11160</v>
      </c>
      <c r="L321" s="13" t="n">
        <f aca="false">SUM(H321:K321)</f>
        <v>460560</v>
      </c>
      <c r="M321" s="13" t="n">
        <f aca="false">L321*(1+'Engineering Assumptions'!$B$10)</f>
        <v>529644</v>
      </c>
    </row>
    <row r="322" customFormat="false" ht="15" hidden="false" customHeight="true" outlineLevel="0" collapsed="false">
      <c r="A322" s="9" t="n">
        <v>298</v>
      </c>
      <c r="B322" s="43" t="s">
        <v>131</v>
      </c>
      <c r="C322" s="43" t="s">
        <v>2421</v>
      </c>
      <c r="D322" s="43" t="s">
        <v>1030</v>
      </c>
      <c r="E322" s="43" t="s">
        <v>1031</v>
      </c>
      <c r="F322" s="45" t="s">
        <v>297</v>
      </c>
      <c r="G322" s="9" t="n">
        <v>5</v>
      </c>
      <c r="H322" s="12" t="n">
        <f aca="false">'Engineering Cost'!H322*'Engineering Assumptions'!$B$6</f>
        <v>343800</v>
      </c>
      <c r="I322" s="12" t="n">
        <f aca="false">IF('Engineering Cost'!I322=0,0,MAX('Engineering Cost'!I322*'Engineering Assumptions'!$B$6,'Engineering Assumptions'!$B$9))</f>
        <v>78000</v>
      </c>
      <c r="J322" s="12" t="n">
        <f aca="false">'Engineering Cost'!J322*'Engineering Assumptions'!$B$6</f>
        <v>27600</v>
      </c>
      <c r="K322" s="12" t="n">
        <f aca="false">'Engineering Cost'!K322*'Engineering Assumptions'!$B$6</f>
        <v>11160</v>
      </c>
      <c r="L322" s="13" t="n">
        <f aca="false">SUM(H322:K322)</f>
        <v>460560</v>
      </c>
      <c r="M322" s="13" t="n">
        <f aca="false">L322*(1+'Engineering Assumptions'!$B$10)</f>
        <v>529644</v>
      </c>
    </row>
    <row r="323" customFormat="false" ht="15" hidden="false" customHeight="true" outlineLevel="0" collapsed="false">
      <c r="A323" s="9" t="n">
        <v>299</v>
      </c>
      <c r="B323" s="43" t="s">
        <v>131</v>
      </c>
      <c r="C323" s="43" t="s">
        <v>2421</v>
      </c>
      <c r="D323" s="43" t="s">
        <v>1034</v>
      </c>
      <c r="E323" s="43" t="s">
        <v>1035</v>
      </c>
      <c r="F323" s="45" t="s">
        <v>297</v>
      </c>
      <c r="G323" s="9" t="n">
        <v>5</v>
      </c>
      <c r="H323" s="12" t="n">
        <f aca="false">'Engineering Cost'!H323*'Engineering Assumptions'!$B$6</f>
        <v>343800</v>
      </c>
      <c r="I323" s="12" t="n">
        <f aca="false">IF('Engineering Cost'!I323=0,0,MAX('Engineering Cost'!I323*'Engineering Assumptions'!$B$6,'Engineering Assumptions'!$B$9))</f>
        <v>78000</v>
      </c>
      <c r="J323" s="12" t="n">
        <f aca="false">'Engineering Cost'!J323*'Engineering Assumptions'!$B$6</f>
        <v>27600</v>
      </c>
      <c r="K323" s="12" t="n">
        <f aca="false">'Engineering Cost'!K323*'Engineering Assumptions'!$B$6</f>
        <v>11160</v>
      </c>
      <c r="L323" s="13" t="n">
        <f aca="false">SUM(H323:K323)</f>
        <v>460560</v>
      </c>
      <c r="M323" s="13" t="n">
        <f aca="false">L323*(1+'Engineering Assumptions'!$B$10)</f>
        <v>529644</v>
      </c>
    </row>
    <row r="324" customFormat="false" ht="15" hidden="false" customHeight="true" outlineLevel="0" collapsed="false">
      <c r="A324" s="9" t="n">
        <v>300</v>
      </c>
      <c r="B324" s="43" t="s">
        <v>131</v>
      </c>
      <c r="C324" s="43" t="s">
        <v>2421</v>
      </c>
      <c r="D324" s="43" t="s">
        <v>1036</v>
      </c>
      <c r="E324" s="43" t="s">
        <v>1037</v>
      </c>
      <c r="F324" s="45" t="s">
        <v>297</v>
      </c>
      <c r="G324" s="9" t="n">
        <v>5</v>
      </c>
      <c r="H324" s="12" t="n">
        <f aca="false">'Engineering Cost'!H324*'Engineering Assumptions'!$B$6</f>
        <v>343800</v>
      </c>
      <c r="I324" s="12" t="n">
        <f aca="false">IF('Engineering Cost'!I324=0,0,MAX('Engineering Cost'!I324*'Engineering Assumptions'!$B$6,'Engineering Assumptions'!$B$9))</f>
        <v>78000</v>
      </c>
      <c r="J324" s="12" t="n">
        <f aca="false">'Engineering Cost'!J324*'Engineering Assumptions'!$B$6</f>
        <v>27600</v>
      </c>
      <c r="K324" s="12" t="n">
        <f aca="false">'Engineering Cost'!K324*'Engineering Assumptions'!$B$6</f>
        <v>11160</v>
      </c>
      <c r="L324" s="13" t="n">
        <f aca="false">SUM(H324:K324)</f>
        <v>460560</v>
      </c>
      <c r="M324" s="13" t="n">
        <f aca="false">L324*(1+'Engineering Assumptions'!$B$10)</f>
        <v>529644</v>
      </c>
    </row>
    <row r="325" customFormat="false" ht="15" hidden="false" customHeight="true" outlineLevel="0" collapsed="false">
      <c r="A325" s="9" t="n">
        <v>301</v>
      </c>
      <c r="B325" s="43" t="s">
        <v>131</v>
      </c>
      <c r="C325" s="43" t="s">
        <v>2421</v>
      </c>
      <c r="D325" s="43" t="s">
        <v>1057</v>
      </c>
      <c r="E325" s="43" t="s">
        <v>1058</v>
      </c>
      <c r="F325" s="45" t="s">
        <v>297</v>
      </c>
      <c r="G325" s="9" t="n">
        <v>5</v>
      </c>
      <c r="H325" s="12" t="n">
        <f aca="false">'Engineering Cost'!H325*'Engineering Assumptions'!$B$6</f>
        <v>343800</v>
      </c>
      <c r="I325" s="12" t="n">
        <f aca="false">IF('Engineering Cost'!I325=0,0,MAX('Engineering Cost'!I325*'Engineering Assumptions'!$B$6,'Engineering Assumptions'!$B$9))</f>
        <v>78000</v>
      </c>
      <c r="J325" s="12" t="n">
        <f aca="false">'Engineering Cost'!J325*'Engineering Assumptions'!$B$6</f>
        <v>27600</v>
      </c>
      <c r="K325" s="12" t="n">
        <f aca="false">'Engineering Cost'!K325*'Engineering Assumptions'!$B$6</f>
        <v>11160</v>
      </c>
      <c r="L325" s="13" t="n">
        <f aca="false">SUM(H325:K325)</f>
        <v>460560</v>
      </c>
      <c r="M325" s="13" t="n">
        <f aca="false">L325*(1+'Engineering Assumptions'!$B$10)</f>
        <v>529644</v>
      </c>
    </row>
    <row r="326" customFormat="false" ht="15" hidden="false" customHeight="true" outlineLevel="0" collapsed="false">
      <c r="A326" s="9" t="n">
        <v>302</v>
      </c>
      <c r="B326" s="43" t="s">
        <v>131</v>
      </c>
      <c r="C326" s="43" t="s">
        <v>2421</v>
      </c>
      <c r="D326" s="43" t="s">
        <v>1062</v>
      </c>
      <c r="E326" s="43" t="s">
        <v>1063</v>
      </c>
      <c r="F326" s="45" t="s">
        <v>297</v>
      </c>
      <c r="G326" s="9" t="n">
        <v>5</v>
      </c>
      <c r="H326" s="12" t="n">
        <f aca="false">'Engineering Cost'!H326*'Engineering Assumptions'!$B$6</f>
        <v>343800</v>
      </c>
      <c r="I326" s="12" t="n">
        <f aca="false">IF('Engineering Cost'!I326=0,0,MAX('Engineering Cost'!I326*'Engineering Assumptions'!$B$6,'Engineering Assumptions'!$B$9))</f>
        <v>78000</v>
      </c>
      <c r="J326" s="12" t="n">
        <f aca="false">'Engineering Cost'!J326*'Engineering Assumptions'!$B$6</f>
        <v>27600</v>
      </c>
      <c r="K326" s="12" t="n">
        <f aca="false">'Engineering Cost'!K326*'Engineering Assumptions'!$B$6</f>
        <v>11160</v>
      </c>
      <c r="L326" s="13" t="n">
        <f aca="false">SUM(H326:K326)</f>
        <v>460560</v>
      </c>
      <c r="M326" s="13" t="n">
        <f aca="false">L326*(1+'Engineering Assumptions'!$B$10)</f>
        <v>529644</v>
      </c>
    </row>
    <row r="327" customFormat="false" ht="15" hidden="false" customHeight="true" outlineLevel="0" collapsed="false">
      <c r="A327" s="9" t="n">
        <v>303</v>
      </c>
      <c r="B327" s="43" t="s">
        <v>131</v>
      </c>
      <c r="C327" s="43" t="s">
        <v>2421</v>
      </c>
      <c r="D327" s="43" t="s">
        <v>975</v>
      </c>
      <c r="E327" s="43" t="s">
        <v>976</v>
      </c>
      <c r="F327" s="45" t="s">
        <v>297</v>
      </c>
      <c r="G327" s="9" t="n">
        <v>5</v>
      </c>
      <c r="H327" s="12" t="n">
        <f aca="false">'Engineering Cost'!H327*'Engineering Assumptions'!$B$6</f>
        <v>343800</v>
      </c>
      <c r="I327" s="12" t="n">
        <f aca="false">IF('Engineering Cost'!I327=0,0,MAX('Engineering Cost'!I327*'Engineering Assumptions'!$B$6,'Engineering Assumptions'!$B$9))</f>
        <v>78000</v>
      </c>
      <c r="J327" s="12" t="n">
        <f aca="false">'Engineering Cost'!J327*'Engineering Assumptions'!$B$6</f>
        <v>27600</v>
      </c>
      <c r="K327" s="12" t="n">
        <f aca="false">'Engineering Cost'!K327*'Engineering Assumptions'!$B$6</f>
        <v>11160</v>
      </c>
      <c r="L327" s="13" t="n">
        <f aca="false">SUM(H327:K327)</f>
        <v>460560</v>
      </c>
      <c r="M327" s="13" t="n">
        <f aca="false">L327*(1+'Engineering Assumptions'!$B$10)</f>
        <v>529644</v>
      </c>
    </row>
    <row r="328" customFormat="false" ht="15" hidden="false" customHeight="true" outlineLevel="0" collapsed="false">
      <c r="A328" s="9" t="n">
        <v>304</v>
      </c>
      <c r="B328" s="43" t="s">
        <v>131</v>
      </c>
      <c r="C328" s="43" t="s">
        <v>2421</v>
      </c>
      <c r="D328" s="43" t="s">
        <v>951</v>
      </c>
      <c r="E328" s="43" t="s">
        <v>952</v>
      </c>
      <c r="F328" s="45" t="s">
        <v>297</v>
      </c>
      <c r="G328" s="9" t="n">
        <v>5</v>
      </c>
      <c r="H328" s="12" t="n">
        <f aca="false">'Engineering Cost'!H328*'Engineering Assumptions'!$B$6</f>
        <v>343800</v>
      </c>
      <c r="I328" s="12" t="n">
        <f aca="false">IF('Engineering Cost'!I328=0,0,MAX('Engineering Cost'!I328*'Engineering Assumptions'!$B$6,'Engineering Assumptions'!$B$9))</f>
        <v>78000</v>
      </c>
      <c r="J328" s="12" t="n">
        <f aca="false">'Engineering Cost'!J328*'Engineering Assumptions'!$B$6</f>
        <v>27600</v>
      </c>
      <c r="K328" s="12" t="n">
        <f aca="false">'Engineering Cost'!K328*'Engineering Assumptions'!$B$6</f>
        <v>11160</v>
      </c>
      <c r="L328" s="13" t="n">
        <f aca="false">SUM(H328:K328)</f>
        <v>460560</v>
      </c>
      <c r="M328" s="13" t="n">
        <f aca="false">L328*(1+'Engineering Assumptions'!$B$10)</f>
        <v>529644</v>
      </c>
    </row>
    <row r="329" customFormat="false" ht="15" hidden="false" customHeight="true" outlineLevel="0" collapsed="false">
      <c r="A329" s="9" t="n">
        <v>305</v>
      </c>
      <c r="B329" s="43" t="s">
        <v>131</v>
      </c>
      <c r="C329" s="43" t="s">
        <v>2421</v>
      </c>
      <c r="D329" s="43" t="s">
        <v>953</v>
      </c>
      <c r="E329" s="43" t="s">
        <v>954</v>
      </c>
      <c r="F329" s="45" t="s">
        <v>297</v>
      </c>
      <c r="G329" s="9" t="n">
        <v>5</v>
      </c>
      <c r="H329" s="12" t="n">
        <f aca="false">'Engineering Cost'!H329*'Engineering Assumptions'!$B$6</f>
        <v>343800</v>
      </c>
      <c r="I329" s="12" t="n">
        <f aca="false">IF('Engineering Cost'!I329=0,0,MAX('Engineering Cost'!I329*'Engineering Assumptions'!$B$6,'Engineering Assumptions'!$B$9))</f>
        <v>78000</v>
      </c>
      <c r="J329" s="12" t="n">
        <f aca="false">'Engineering Cost'!J329*'Engineering Assumptions'!$B$6</f>
        <v>27600</v>
      </c>
      <c r="K329" s="12" t="n">
        <f aca="false">'Engineering Cost'!K329*'Engineering Assumptions'!$B$6</f>
        <v>11160</v>
      </c>
      <c r="L329" s="13" t="n">
        <f aca="false">SUM(H329:K329)</f>
        <v>460560</v>
      </c>
      <c r="M329" s="13" t="n">
        <f aca="false">L329*(1+'Engineering Assumptions'!$B$10)</f>
        <v>529644</v>
      </c>
    </row>
    <row r="330" customFormat="false" ht="15" hidden="false" customHeight="true" outlineLevel="0" collapsed="false">
      <c r="A330" s="9" t="n">
        <v>306</v>
      </c>
      <c r="B330" s="43" t="s">
        <v>131</v>
      </c>
      <c r="C330" s="43" t="s">
        <v>2293</v>
      </c>
      <c r="D330" s="43" t="s">
        <v>955</v>
      </c>
      <c r="E330" s="43" t="s">
        <v>956</v>
      </c>
      <c r="F330" s="45" t="s">
        <v>450</v>
      </c>
      <c r="G330" s="9" t="n">
        <v>8</v>
      </c>
      <c r="H330" s="12" t="n">
        <f aca="false">'Engineering Cost'!H330*'Engineering Assumptions'!$B$6</f>
        <v>343800</v>
      </c>
      <c r="I330" s="12" t="n">
        <f aca="false">IF('Engineering Cost'!I330=0,0,MAX('Engineering Cost'!I330*'Engineering Assumptions'!$B$6,'Engineering Assumptions'!$B$9))</f>
        <v>78000</v>
      </c>
      <c r="J330" s="12" t="n">
        <f aca="false">'Engineering Cost'!J330*'Engineering Assumptions'!$B$6</f>
        <v>34500</v>
      </c>
      <c r="K330" s="12" t="n">
        <f aca="false">'Engineering Cost'!K330*'Engineering Assumptions'!$B$6</f>
        <v>27900</v>
      </c>
      <c r="L330" s="13" t="n">
        <f aca="false">SUM(H330:K330)</f>
        <v>484200</v>
      </c>
      <c r="M330" s="13" t="n">
        <f aca="false">L330*(1+'Engineering Assumptions'!$B$10)</f>
        <v>556830</v>
      </c>
    </row>
    <row r="331" customFormat="false" ht="15" hidden="false" customHeight="true" outlineLevel="0" collapsed="false">
      <c r="A331" s="9" t="n">
        <v>307</v>
      </c>
      <c r="B331" s="43" t="s">
        <v>131</v>
      </c>
      <c r="C331" s="43" t="s">
        <v>2293</v>
      </c>
      <c r="D331" s="43" t="s">
        <v>983</v>
      </c>
      <c r="E331" s="43" t="s">
        <v>984</v>
      </c>
      <c r="F331" s="45" t="s">
        <v>450</v>
      </c>
      <c r="G331" s="9" t="n">
        <v>8</v>
      </c>
      <c r="H331" s="12" t="n">
        <f aca="false">'Engineering Cost'!H331*'Engineering Assumptions'!$B$6</f>
        <v>343800</v>
      </c>
      <c r="I331" s="12" t="n">
        <f aca="false">IF('Engineering Cost'!I331=0,0,MAX('Engineering Cost'!I331*'Engineering Assumptions'!$B$6,'Engineering Assumptions'!$B$9))</f>
        <v>78000</v>
      </c>
      <c r="J331" s="12" t="n">
        <f aca="false">'Engineering Cost'!J331*'Engineering Assumptions'!$B$6</f>
        <v>34500</v>
      </c>
      <c r="K331" s="12" t="n">
        <f aca="false">'Engineering Cost'!K331*'Engineering Assumptions'!$B$6</f>
        <v>27900</v>
      </c>
      <c r="L331" s="13" t="n">
        <f aca="false">SUM(H331:K331)</f>
        <v>484200</v>
      </c>
      <c r="M331" s="13" t="n">
        <f aca="false">L331*(1+'Engineering Assumptions'!$B$10)</f>
        <v>556830</v>
      </c>
    </row>
    <row r="332" customFormat="false" ht="15" hidden="false" customHeight="true" outlineLevel="0" collapsed="false">
      <c r="A332" s="9" t="n">
        <v>308</v>
      </c>
      <c r="B332" s="43" t="s">
        <v>131</v>
      </c>
      <c r="C332" s="43" t="s">
        <v>2293</v>
      </c>
      <c r="D332" s="43" t="s">
        <v>985</v>
      </c>
      <c r="E332" s="43" t="s">
        <v>987</v>
      </c>
      <c r="F332" s="45" t="s">
        <v>450</v>
      </c>
      <c r="G332" s="9" t="n">
        <v>8</v>
      </c>
      <c r="H332" s="12" t="n">
        <f aca="false">'Engineering Cost'!H332*'Engineering Assumptions'!$B$6</f>
        <v>343800</v>
      </c>
      <c r="I332" s="12" t="n">
        <f aca="false">IF('Engineering Cost'!I332=0,0,MAX('Engineering Cost'!I332*'Engineering Assumptions'!$B$6,'Engineering Assumptions'!$B$9))</f>
        <v>78000</v>
      </c>
      <c r="J332" s="12" t="n">
        <f aca="false">'Engineering Cost'!J332*'Engineering Assumptions'!$B$6</f>
        <v>34500</v>
      </c>
      <c r="K332" s="12" t="n">
        <f aca="false">'Engineering Cost'!K332*'Engineering Assumptions'!$B$6</f>
        <v>27900</v>
      </c>
      <c r="L332" s="13" t="n">
        <f aca="false">SUM(H332:K332)</f>
        <v>484200</v>
      </c>
      <c r="M332" s="13" t="n">
        <f aca="false">L332*(1+'Engineering Assumptions'!$B$10)</f>
        <v>556830</v>
      </c>
    </row>
    <row r="333" customFormat="false" ht="15" hidden="false" customHeight="true" outlineLevel="0" collapsed="false">
      <c r="A333" s="9" t="n">
        <v>309</v>
      </c>
      <c r="B333" s="43" t="s">
        <v>131</v>
      </c>
      <c r="C333" s="43" t="s">
        <v>2293</v>
      </c>
      <c r="D333" s="43" t="s">
        <v>961</v>
      </c>
      <c r="E333" s="43" t="s">
        <v>962</v>
      </c>
      <c r="F333" s="45" t="s">
        <v>450</v>
      </c>
      <c r="G333" s="9" t="n">
        <v>8</v>
      </c>
      <c r="H333" s="12" t="n">
        <f aca="false">'Engineering Cost'!H333*'Engineering Assumptions'!$B$6</f>
        <v>343800</v>
      </c>
      <c r="I333" s="12" t="n">
        <f aca="false">IF('Engineering Cost'!I333=0,0,MAX('Engineering Cost'!I333*'Engineering Assumptions'!$B$6,'Engineering Assumptions'!$B$9))</f>
        <v>78000</v>
      </c>
      <c r="J333" s="12" t="n">
        <f aca="false">'Engineering Cost'!J333*'Engineering Assumptions'!$B$6</f>
        <v>34500</v>
      </c>
      <c r="K333" s="12" t="n">
        <f aca="false">'Engineering Cost'!K333*'Engineering Assumptions'!$B$6</f>
        <v>27900</v>
      </c>
      <c r="L333" s="13" t="n">
        <f aca="false">SUM(H333:K333)</f>
        <v>484200</v>
      </c>
      <c r="M333" s="13" t="n">
        <f aca="false">L333*(1+'Engineering Assumptions'!$B$10)</f>
        <v>556830</v>
      </c>
    </row>
    <row r="334" customFormat="false" ht="15" hidden="false" customHeight="true" outlineLevel="0" collapsed="false">
      <c r="A334" s="9" t="n">
        <v>310</v>
      </c>
      <c r="B334" s="43" t="s">
        <v>131</v>
      </c>
      <c r="C334" s="43" t="s">
        <v>2421</v>
      </c>
      <c r="D334" s="43" t="s">
        <v>963</v>
      </c>
      <c r="E334" s="43" t="s">
        <v>964</v>
      </c>
      <c r="F334" s="45" t="s">
        <v>450</v>
      </c>
      <c r="G334" s="9" t="n">
        <v>8</v>
      </c>
      <c r="H334" s="12" t="n">
        <f aca="false">'Engineering Cost'!H334*'Engineering Assumptions'!$B$6</f>
        <v>343800</v>
      </c>
      <c r="I334" s="12" t="n">
        <f aca="false">IF('Engineering Cost'!I334=0,0,MAX('Engineering Cost'!I334*'Engineering Assumptions'!$B$6,'Engineering Assumptions'!$B$9))</f>
        <v>78000</v>
      </c>
      <c r="J334" s="12" t="n">
        <f aca="false">'Engineering Cost'!J334*'Engineering Assumptions'!$B$6</f>
        <v>34500</v>
      </c>
      <c r="K334" s="12" t="n">
        <f aca="false">'Engineering Cost'!K334*'Engineering Assumptions'!$B$6</f>
        <v>27900</v>
      </c>
      <c r="L334" s="13" t="n">
        <f aca="false">SUM(H334:K334)</f>
        <v>484200</v>
      </c>
      <c r="M334" s="13" t="n">
        <f aca="false">L334*(1+'Engineering Assumptions'!$B$10)</f>
        <v>556830</v>
      </c>
    </row>
    <row r="335" customFormat="false" ht="15" hidden="false" customHeight="true" outlineLevel="0" collapsed="false">
      <c r="A335" s="9" t="n">
        <v>311</v>
      </c>
      <c r="B335" s="43" t="s">
        <v>131</v>
      </c>
      <c r="C335" s="43" t="s">
        <v>2422</v>
      </c>
      <c r="D335" s="43" t="s">
        <v>965</v>
      </c>
      <c r="E335" s="43" t="s">
        <v>966</v>
      </c>
      <c r="F335" s="45" t="s">
        <v>450</v>
      </c>
      <c r="G335" s="9" t="n">
        <v>8</v>
      </c>
      <c r="H335" s="12" t="n">
        <f aca="false">'Engineering Cost'!H335*'Engineering Assumptions'!$B$6</f>
        <v>343800</v>
      </c>
      <c r="I335" s="12" t="n">
        <f aca="false">IF('Engineering Cost'!I335=0,0,MAX('Engineering Cost'!I335*'Engineering Assumptions'!$B$6,'Engineering Assumptions'!$B$9))</f>
        <v>78000</v>
      </c>
      <c r="J335" s="12" t="n">
        <f aca="false">'Engineering Cost'!J335*'Engineering Assumptions'!$B$6</f>
        <v>34500</v>
      </c>
      <c r="K335" s="12" t="n">
        <f aca="false">'Engineering Cost'!K335*'Engineering Assumptions'!$B$6</f>
        <v>27900</v>
      </c>
      <c r="L335" s="13" t="n">
        <f aca="false">SUM(H335:K335)</f>
        <v>484200</v>
      </c>
      <c r="M335" s="13" t="n">
        <f aca="false">L335*(1+'Engineering Assumptions'!$B$10)</f>
        <v>556830</v>
      </c>
    </row>
    <row r="336" customFormat="false" ht="15" hidden="false" customHeight="true" outlineLevel="0" collapsed="false">
      <c r="A336" s="9" t="n">
        <v>312</v>
      </c>
      <c r="B336" s="43" t="s">
        <v>131</v>
      </c>
      <c r="C336" s="43" t="s">
        <v>2422</v>
      </c>
      <c r="D336" s="43" t="s">
        <v>967</v>
      </c>
      <c r="E336" s="43" t="s">
        <v>968</v>
      </c>
      <c r="F336" s="45" t="s">
        <v>450</v>
      </c>
      <c r="G336" s="9" t="n">
        <v>8</v>
      </c>
      <c r="H336" s="12" t="n">
        <f aca="false">'Engineering Cost'!H336*'Engineering Assumptions'!$B$6</f>
        <v>343800</v>
      </c>
      <c r="I336" s="12" t="n">
        <f aca="false">IF('Engineering Cost'!I336=0,0,MAX('Engineering Cost'!I336*'Engineering Assumptions'!$B$6,'Engineering Assumptions'!$B$9))</f>
        <v>78000</v>
      </c>
      <c r="J336" s="12" t="n">
        <f aca="false">'Engineering Cost'!J336*'Engineering Assumptions'!$B$6</f>
        <v>34500</v>
      </c>
      <c r="K336" s="12" t="n">
        <f aca="false">'Engineering Cost'!K336*'Engineering Assumptions'!$B$6</f>
        <v>27900</v>
      </c>
      <c r="L336" s="13" t="n">
        <f aca="false">SUM(H336:K336)</f>
        <v>484200</v>
      </c>
      <c r="M336" s="13" t="n">
        <f aca="false">L336*(1+'Engineering Assumptions'!$B$10)</f>
        <v>556830</v>
      </c>
    </row>
    <row r="337" customFormat="false" ht="15" hidden="false" customHeight="true" outlineLevel="0" collapsed="false">
      <c r="A337" s="9" t="n">
        <v>313</v>
      </c>
      <c r="B337" s="43" t="s">
        <v>131</v>
      </c>
      <c r="C337" s="43" t="s">
        <v>2422</v>
      </c>
      <c r="D337" s="43" t="s">
        <v>969</v>
      </c>
      <c r="E337" s="43" t="s">
        <v>970</v>
      </c>
      <c r="F337" s="45" t="s">
        <v>450</v>
      </c>
      <c r="G337" s="9" t="n">
        <v>8</v>
      </c>
      <c r="H337" s="12" t="n">
        <f aca="false">'Engineering Cost'!H337*'Engineering Assumptions'!$B$6</f>
        <v>343800</v>
      </c>
      <c r="I337" s="12" t="n">
        <f aca="false">IF('Engineering Cost'!I337=0,0,MAX('Engineering Cost'!I337*'Engineering Assumptions'!$B$6,'Engineering Assumptions'!$B$9))</f>
        <v>78000</v>
      </c>
      <c r="J337" s="12" t="n">
        <f aca="false">'Engineering Cost'!J337*'Engineering Assumptions'!$B$6</f>
        <v>34500</v>
      </c>
      <c r="K337" s="12" t="n">
        <f aca="false">'Engineering Cost'!K337*'Engineering Assumptions'!$B$6</f>
        <v>27900</v>
      </c>
      <c r="L337" s="13" t="n">
        <f aca="false">SUM(H337:K337)</f>
        <v>484200</v>
      </c>
      <c r="M337" s="13" t="n">
        <f aca="false">L337*(1+'Engineering Assumptions'!$B$10)</f>
        <v>556830</v>
      </c>
    </row>
    <row r="338" customFormat="false" ht="15" hidden="false" customHeight="true" outlineLevel="0" collapsed="false">
      <c r="A338" s="9" t="n">
        <v>314</v>
      </c>
      <c r="B338" s="43" t="s">
        <v>131</v>
      </c>
      <c r="C338" s="43" t="s">
        <v>2422</v>
      </c>
      <c r="D338" s="43" t="s">
        <v>971</v>
      </c>
      <c r="E338" s="43" t="s">
        <v>972</v>
      </c>
      <c r="F338" s="45" t="s">
        <v>450</v>
      </c>
      <c r="G338" s="9" t="n">
        <v>8</v>
      </c>
      <c r="H338" s="12" t="n">
        <f aca="false">'Engineering Cost'!H338*'Engineering Assumptions'!$B$6</f>
        <v>343800</v>
      </c>
      <c r="I338" s="12" t="n">
        <f aca="false">IF('Engineering Cost'!I338=0,0,MAX('Engineering Cost'!I338*'Engineering Assumptions'!$B$6,'Engineering Assumptions'!$B$9))</f>
        <v>78000</v>
      </c>
      <c r="J338" s="12" t="n">
        <f aca="false">'Engineering Cost'!J338*'Engineering Assumptions'!$B$6</f>
        <v>34500</v>
      </c>
      <c r="K338" s="12" t="n">
        <f aca="false">'Engineering Cost'!K338*'Engineering Assumptions'!$B$6</f>
        <v>27900</v>
      </c>
      <c r="L338" s="13" t="n">
        <f aca="false">SUM(H338:K338)</f>
        <v>484200</v>
      </c>
      <c r="M338" s="13" t="n">
        <f aca="false">L338*(1+'Engineering Assumptions'!$B$10)</f>
        <v>556830</v>
      </c>
    </row>
    <row r="339" customFormat="false" ht="15" hidden="false" customHeight="true" outlineLevel="0" collapsed="false">
      <c r="A339" s="9" t="n">
        <v>315</v>
      </c>
      <c r="B339" s="43" t="s">
        <v>131</v>
      </c>
      <c r="C339" s="43" t="s">
        <v>2422</v>
      </c>
      <c r="D339" s="43" t="s">
        <v>973</v>
      </c>
      <c r="E339" s="43" t="s">
        <v>974</v>
      </c>
      <c r="F339" s="45" t="s">
        <v>450</v>
      </c>
      <c r="G339" s="9" t="n">
        <v>8</v>
      </c>
      <c r="H339" s="12" t="n">
        <f aca="false">'Engineering Cost'!H339*'Engineering Assumptions'!$B$6</f>
        <v>343800</v>
      </c>
      <c r="I339" s="12" t="n">
        <f aca="false">IF('Engineering Cost'!I339=0,0,MAX('Engineering Cost'!I339*'Engineering Assumptions'!$B$6,'Engineering Assumptions'!$B$9))</f>
        <v>78000</v>
      </c>
      <c r="J339" s="12" t="n">
        <f aca="false">'Engineering Cost'!J339*'Engineering Assumptions'!$B$6</f>
        <v>34500</v>
      </c>
      <c r="K339" s="12" t="n">
        <f aca="false">'Engineering Cost'!K339*'Engineering Assumptions'!$B$6</f>
        <v>27900</v>
      </c>
      <c r="L339" s="13" t="n">
        <f aca="false">SUM(H339:K339)</f>
        <v>484200</v>
      </c>
      <c r="M339" s="13" t="n">
        <f aca="false">L339*(1+'Engineering Assumptions'!$B$10)</f>
        <v>556830</v>
      </c>
    </row>
    <row r="340" customFormat="false" ht="15" hidden="false" customHeight="true" outlineLevel="0" collapsed="false">
      <c r="A340" s="9" t="n">
        <v>316</v>
      </c>
      <c r="B340" s="43" t="s">
        <v>131</v>
      </c>
      <c r="C340" s="43" t="s">
        <v>2422</v>
      </c>
      <c r="D340" s="43" t="s">
        <v>977</v>
      </c>
      <c r="E340" s="43" t="s">
        <v>978</v>
      </c>
      <c r="F340" s="45" t="s">
        <v>450</v>
      </c>
      <c r="G340" s="9" t="n">
        <v>8</v>
      </c>
      <c r="H340" s="12" t="n">
        <f aca="false">'Engineering Cost'!H340*'Engineering Assumptions'!$B$6</f>
        <v>343800</v>
      </c>
      <c r="I340" s="12" t="n">
        <f aca="false">IF('Engineering Cost'!I340=0,0,MAX('Engineering Cost'!I340*'Engineering Assumptions'!$B$6,'Engineering Assumptions'!$B$9))</f>
        <v>78000</v>
      </c>
      <c r="J340" s="12" t="n">
        <f aca="false">'Engineering Cost'!J340*'Engineering Assumptions'!$B$6</f>
        <v>34500</v>
      </c>
      <c r="K340" s="12" t="n">
        <f aca="false">'Engineering Cost'!K340*'Engineering Assumptions'!$B$6</f>
        <v>27900</v>
      </c>
      <c r="L340" s="13" t="n">
        <f aca="false">SUM(H340:K340)</f>
        <v>484200</v>
      </c>
      <c r="M340" s="13" t="n">
        <f aca="false">L340*(1+'Engineering Assumptions'!$B$10)</f>
        <v>556830</v>
      </c>
    </row>
    <row r="341" customFormat="false" ht="15" hidden="false" customHeight="true" outlineLevel="0" collapsed="false">
      <c r="A341" s="9" t="n">
        <v>317</v>
      </c>
      <c r="B341" s="43" t="s">
        <v>131</v>
      </c>
      <c r="C341" s="43" t="s">
        <v>2422</v>
      </c>
      <c r="D341" s="43" t="s">
        <v>979</v>
      </c>
      <c r="E341" s="43" t="s">
        <v>980</v>
      </c>
      <c r="F341" s="45" t="s">
        <v>450</v>
      </c>
      <c r="G341" s="9" t="n">
        <v>8</v>
      </c>
      <c r="H341" s="12" t="n">
        <f aca="false">'Engineering Cost'!H341*'Engineering Assumptions'!$B$6</f>
        <v>343800</v>
      </c>
      <c r="I341" s="12" t="n">
        <f aca="false">IF('Engineering Cost'!I341=0,0,MAX('Engineering Cost'!I341*'Engineering Assumptions'!$B$6,'Engineering Assumptions'!$B$9))</f>
        <v>78000</v>
      </c>
      <c r="J341" s="12" t="n">
        <f aca="false">'Engineering Cost'!J341*'Engineering Assumptions'!$B$6</f>
        <v>34500</v>
      </c>
      <c r="K341" s="12" t="n">
        <f aca="false">'Engineering Cost'!K341*'Engineering Assumptions'!$B$6</f>
        <v>27900</v>
      </c>
      <c r="L341" s="13" t="n">
        <f aca="false">SUM(H341:K341)</f>
        <v>484200</v>
      </c>
      <c r="M341" s="13" t="n">
        <f aca="false">L341*(1+'Engineering Assumptions'!$B$10)</f>
        <v>556830</v>
      </c>
    </row>
    <row r="342" customFormat="false" ht="15" hidden="false" customHeight="true" outlineLevel="0" collapsed="false">
      <c r="A342" s="9" t="n">
        <v>318</v>
      </c>
      <c r="B342" s="43" t="s">
        <v>131</v>
      </c>
      <c r="C342" s="43" t="s">
        <v>2422</v>
      </c>
      <c r="D342" s="43" t="s">
        <v>1032</v>
      </c>
      <c r="E342" s="43" t="s">
        <v>1033</v>
      </c>
      <c r="F342" s="45" t="s">
        <v>450</v>
      </c>
      <c r="G342" s="9" t="n">
        <v>8</v>
      </c>
      <c r="H342" s="12" t="n">
        <f aca="false">'Engineering Cost'!H342*'Engineering Assumptions'!$B$6</f>
        <v>343800</v>
      </c>
      <c r="I342" s="12" t="n">
        <f aca="false">IF('Engineering Cost'!I342=0,0,MAX('Engineering Cost'!I342*'Engineering Assumptions'!$B$6,'Engineering Assumptions'!$B$9))</f>
        <v>78000</v>
      </c>
      <c r="J342" s="12" t="n">
        <f aca="false">'Engineering Cost'!J342*'Engineering Assumptions'!$B$6</f>
        <v>34500</v>
      </c>
      <c r="K342" s="12" t="n">
        <f aca="false">'Engineering Cost'!K342*'Engineering Assumptions'!$B$6</f>
        <v>27900</v>
      </c>
      <c r="L342" s="13" t="n">
        <f aca="false">SUM(H342:K342)</f>
        <v>484200</v>
      </c>
      <c r="M342" s="13" t="n">
        <f aca="false">L342*(1+'Engineering Assumptions'!$B$10)</f>
        <v>556830</v>
      </c>
    </row>
    <row r="343" customFormat="false" ht="15" hidden="false" customHeight="true" outlineLevel="0" collapsed="false">
      <c r="A343" s="9" t="n">
        <v>319</v>
      </c>
      <c r="B343" s="43" t="s">
        <v>131</v>
      </c>
      <c r="C343" s="43" t="s">
        <v>2422</v>
      </c>
      <c r="D343" s="43" t="s">
        <v>957</v>
      </c>
      <c r="E343" s="43" t="s">
        <v>958</v>
      </c>
      <c r="F343" s="45" t="s">
        <v>450</v>
      </c>
      <c r="G343" s="9" t="n">
        <v>8</v>
      </c>
      <c r="H343" s="12" t="n">
        <f aca="false">'Engineering Cost'!H343*'Engineering Assumptions'!$B$6</f>
        <v>343800</v>
      </c>
      <c r="I343" s="12" t="n">
        <f aca="false">IF('Engineering Cost'!I343=0,0,MAX('Engineering Cost'!I343*'Engineering Assumptions'!$B$6,'Engineering Assumptions'!$B$9))</f>
        <v>78000</v>
      </c>
      <c r="J343" s="12" t="n">
        <f aca="false">'Engineering Cost'!J343*'Engineering Assumptions'!$B$6</f>
        <v>34500</v>
      </c>
      <c r="K343" s="12" t="n">
        <f aca="false">'Engineering Cost'!K343*'Engineering Assumptions'!$B$6</f>
        <v>27900</v>
      </c>
      <c r="L343" s="13" t="n">
        <f aca="false">SUM(H343:K343)</f>
        <v>484200</v>
      </c>
      <c r="M343" s="13" t="n">
        <f aca="false">L343*(1+'Engineering Assumptions'!$B$10)</f>
        <v>556830</v>
      </c>
    </row>
    <row r="344" customFormat="false" ht="15" hidden="false" customHeight="true" outlineLevel="0" collapsed="false">
      <c r="A344" s="9" t="n">
        <v>320</v>
      </c>
      <c r="B344" s="43" t="s">
        <v>131</v>
      </c>
      <c r="C344" s="43" t="s">
        <v>2422</v>
      </c>
      <c r="D344" s="43" t="s">
        <v>959</v>
      </c>
      <c r="E344" s="43" t="s">
        <v>960</v>
      </c>
      <c r="F344" s="45" t="s">
        <v>450</v>
      </c>
      <c r="G344" s="9" t="n">
        <v>8</v>
      </c>
      <c r="H344" s="12" t="n">
        <f aca="false">'Engineering Cost'!H344*'Engineering Assumptions'!$B$6</f>
        <v>343800</v>
      </c>
      <c r="I344" s="12" t="n">
        <f aca="false">IF('Engineering Cost'!I344=0,0,MAX('Engineering Cost'!I344*'Engineering Assumptions'!$B$6,'Engineering Assumptions'!$B$9))</f>
        <v>78000</v>
      </c>
      <c r="J344" s="12" t="n">
        <f aca="false">'Engineering Cost'!J344*'Engineering Assumptions'!$B$6</f>
        <v>34500</v>
      </c>
      <c r="K344" s="12" t="n">
        <f aca="false">'Engineering Cost'!K344*'Engineering Assumptions'!$B$6</f>
        <v>27900</v>
      </c>
      <c r="L344" s="13" t="n">
        <f aca="false">SUM(H344:K344)</f>
        <v>484200</v>
      </c>
      <c r="M344" s="13" t="n">
        <f aca="false">L344*(1+'Engineering Assumptions'!$B$10)</f>
        <v>556830</v>
      </c>
    </row>
    <row r="345" customFormat="false" ht="15" hidden="false" customHeight="true" outlineLevel="0" collapsed="false">
      <c r="A345" s="9" t="n">
        <v>321</v>
      </c>
      <c r="B345" s="43" t="s">
        <v>131</v>
      </c>
      <c r="C345" s="43" t="s">
        <v>2422</v>
      </c>
      <c r="D345" s="43" t="s">
        <v>1041</v>
      </c>
      <c r="E345" s="43" t="s">
        <v>1042</v>
      </c>
      <c r="F345" s="45" t="s">
        <v>450</v>
      </c>
      <c r="G345" s="9" t="n">
        <v>8</v>
      </c>
      <c r="H345" s="12" t="n">
        <f aca="false">'Engineering Cost'!H345*'Engineering Assumptions'!$B$6</f>
        <v>343800</v>
      </c>
      <c r="I345" s="12" t="n">
        <f aca="false">IF('Engineering Cost'!I345=0,0,MAX('Engineering Cost'!I345*'Engineering Assumptions'!$B$6,'Engineering Assumptions'!$B$9))</f>
        <v>78000</v>
      </c>
      <c r="J345" s="12" t="n">
        <f aca="false">'Engineering Cost'!J345*'Engineering Assumptions'!$B$6</f>
        <v>34500</v>
      </c>
      <c r="K345" s="12" t="n">
        <f aca="false">'Engineering Cost'!K345*'Engineering Assumptions'!$B$6</f>
        <v>27900</v>
      </c>
      <c r="L345" s="13" t="n">
        <f aca="false">SUM(H345:K345)</f>
        <v>484200</v>
      </c>
      <c r="M345" s="13" t="n">
        <f aca="false">L345*(1+'Engineering Assumptions'!$B$10)</f>
        <v>556830</v>
      </c>
    </row>
    <row r="346" customFormat="false" ht="15" hidden="false" customHeight="true" outlineLevel="0" collapsed="false">
      <c r="A346" s="9" t="n">
        <v>322</v>
      </c>
      <c r="B346" s="43" t="s">
        <v>131</v>
      </c>
      <c r="C346" s="43" t="s">
        <v>2423</v>
      </c>
      <c r="D346" s="43" t="s">
        <v>1008</v>
      </c>
      <c r="E346" s="43" t="s">
        <v>1010</v>
      </c>
      <c r="F346" s="45" t="s">
        <v>397</v>
      </c>
      <c r="G346" s="9" t="n">
        <v>9</v>
      </c>
      <c r="H346" s="12" t="n">
        <f aca="false">'Engineering Cost'!H346*'Engineering Assumptions'!$B$6</f>
        <v>343800</v>
      </c>
      <c r="I346" s="12" t="n">
        <f aca="false">IF('Engineering Cost'!I346=0,0,MAX('Engineering Cost'!I346*'Engineering Assumptions'!$B$6,'Engineering Assumptions'!$B$9))</f>
        <v>78000</v>
      </c>
      <c r="J346" s="12" t="n">
        <f aca="false">'Engineering Cost'!J346*'Engineering Assumptions'!$B$6</f>
        <v>34500</v>
      </c>
      <c r="K346" s="12" t="n">
        <f aca="false">'Engineering Cost'!K346*'Engineering Assumptions'!$B$6</f>
        <v>27900</v>
      </c>
      <c r="L346" s="13" t="n">
        <f aca="false">SUM(H346:K346)</f>
        <v>484200</v>
      </c>
      <c r="M346" s="13" t="n">
        <f aca="false">L346*(1+'Engineering Assumptions'!$B$10)</f>
        <v>556830</v>
      </c>
    </row>
    <row r="347" customFormat="false" ht="15" hidden="false" customHeight="true" outlineLevel="0" collapsed="false">
      <c r="A347" s="9" t="n">
        <v>323</v>
      </c>
      <c r="B347" s="43" t="s">
        <v>131</v>
      </c>
      <c r="C347" s="43" t="s">
        <v>2424</v>
      </c>
      <c r="D347" s="43" t="s">
        <v>1011</v>
      </c>
      <c r="E347" s="43" t="s">
        <v>1013</v>
      </c>
      <c r="F347" s="45" t="s">
        <v>318</v>
      </c>
      <c r="G347" s="9" t="n">
        <v>10</v>
      </c>
      <c r="H347" s="12" t="n">
        <f aca="false">'Engineering Cost'!H347*'Engineering Assumptions'!$B$6</f>
        <v>343800</v>
      </c>
      <c r="I347" s="12" t="n">
        <f aca="false">IF('Engineering Cost'!I347=0,0,MAX('Engineering Cost'!I347*'Engineering Assumptions'!$B$6,'Engineering Assumptions'!$B$9))</f>
        <v>78000</v>
      </c>
      <c r="J347" s="12" t="n">
        <f aca="false">'Engineering Cost'!J347*'Engineering Assumptions'!$B$6</f>
        <v>34500</v>
      </c>
      <c r="K347" s="12" t="n">
        <f aca="false">'Engineering Cost'!K347*'Engineering Assumptions'!$B$6</f>
        <v>27900</v>
      </c>
      <c r="L347" s="13" t="n">
        <f aca="false">SUM(H347:K347)</f>
        <v>484200</v>
      </c>
      <c r="M347" s="13" t="n">
        <f aca="false">L347*(1+'Engineering Assumptions'!$B$10)</f>
        <v>556830</v>
      </c>
    </row>
    <row r="348" customFormat="false" ht="15" hidden="false" customHeight="true" outlineLevel="0" collapsed="false">
      <c r="A348" s="9" t="n">
        <v>324</v>
      </c>
      <c r="B348" s="43" t="s">
        <v>131</v>
      </c>
      <c r="C348" s="43" t="s">
        <v>2424</v>
      </c>
      <c r="D348" s="43" t="s">
        <v>929</v>
      </c>
      <c r="E348" s="43" t="s">
        <v>930</v>
      </c>
      <c r="F348" s="45" t="s">
        <v>318</v>
      </c>
      <c r="G348" s="9" t="n">
        <v>10</v>
      </c>
      <c r="H348" s="12" t="n">
        <f aca="false">'Engineering Cost'!H348*'Engineering Assumptions'!$B$6</f>
        <v>343800</v>
      </c>
      <c r="I348" s="12" t="n">
        <f aca="false">IF('Engineering Cost'!I348=0,0,MAX('Engineering Cost'!I348*'Engineering Assumptions'!$B$6,'Engineering Assumptions'!$B$9))</f>
        <v>78000</v>
      </c>
      <c r="J348" s="12" t="n">
        <f aca="false">'Engineering Cost'!J348*'Engineering Assumptions'!$B$6</f>
        <v>34500</v>
      </c>
      <c r="K348" s="12" t="n">
        <f aca="false">'Engineering Cost'!K348*'Engineering Assumptions'!$B$6</f>
        <v>27900</v>
      </c>
      <c r="L348" s="13" t="n">
        <f aca="false">SUM(H348:K348)</f>
        <v>484200</v>
      </c>
      <c r="M348" s="13" t="n">
        <f aca="false">L348*(1+'Engineering Assumptions'!$B$10)</f>
        <v>556830</v>
      </c>
    </row>
    <row r="349" customFormat="false" ht="15" hidden="false" customHeight="true" outlineLevel="0" collapsed="false">
      <c r="A349" s="9" t="n">
        <v>325</v>
      </c>
      <c r="B349" s="43" t="s">
        <v>131</v>
      </c>
      <c r="C349" s="43" t="s">
        <v>2424</v>
      </c>
      <c r="D349" s="43" t="s">
        <v>935</v>
      </c>
      <c r="E349" s="43" t="s">
        <v>936</v>
      </c>
      <c r="F349" s="45" t="s">
        <v>318</v>
      </c>
      <c r="G349" s="9" t="n">
        <v>10</v>
      </c>
      <c r="H349" s="12" t="n">
        <f aca="false">'Engineering Cost'!H349*'Engineering Assumptions'!$B$6</f>
        <v>343800</v>
      </c>
      <c r="I349" s="12" t="n">
        <f aca="false">IF('Engineering Cost'!I349=0,0,MAX('Engineering Cost'!I349*'Engineering Assumptions'!$B$6,'Engineering Assumptions'!$B$9))</f>
        <v>78000</v>
      </c>
      <c r="J349" s="12" t="n">
        <f aca="false">'Engineering Cost'!J349*'Engineering Assumptions'!$B$6</f>
        <v>34500</v>
      </c>
      <c r="K349" s="12" t="n">
        <f aca="false">'Engineering Cost'!K349*'Engineering Assumptions'!$B$6</f>
        <v>27900</v>
      </c>
      <c r="L349" s="13" t="n">
        <f aca="false">SUM(H349:K349)</f>
        <v>484200</v>
      </c>
      <c r="M349" s="13" t="n">
        <f aca="false">L349*(1+'Engineering Assumptions'!$B$10)</f>
        <v>556830</v>
      </c>
    </row>
    <row r="350" customFormat="false" ht="15" hidden="false" customHeight="true" outlineLevel="0" collapsed="false">
      <c r="A350" s="9" t="n">
        <v>326</v>
      </c>
      <c r="B350" s="43" t="s">
        <v>131</v>
      </c>
      <c r="C350" s="43" t="s">
        <v>2424</v>
      </c>
      <c r="D350" s="43" t="s">
        <v>937</v>
      </c>
      <c r="E350" s="43" t="s">
        <v>938</v>
      </c>
      <c r="F350" s="45" t="s">
        <v>318</v>
      </c>
      <c r="G350" s="9" t="n">
        <v>10</v>
      </c>
      <c r="H350" s="12" t="n">
        <f aca="false">'Engineering Cost'!H350*'Engineering Assumptions'!$B$6</f>
        <v>343800</v>
      </c>
      <c r="I350" s="12" t="n">
        <f aca="false">IF('Engineering Cost'!I350=0,0,MAX('Engineering Cost'!I350*'Engineering Assumptions'!$B$6,'Engineering Assumptions'!$B$9))</f>
        <v>78000</v>
      </c>
      <c r="J350" s="12" t="n">
        <f aca="false">'Engineering Cost'!J350*'Engineering Assumptions'!$B$6</f>
        <v>34500</v>
      </c>
      <c r="K350" s="12" t="n">
        <f aca="false">'Engineering Cost'!K350*'Engineering Assumptions'!$B$6</f>
        <v>27900</v>
      </c>
      <c r="L350" s="13" t="n">
        <f aca="false">SUM(H350:K350)</f>
        <v>484200</v>
      </c>
      <c r="M350" s="13" t="n">
        <f aca="false">L350*(1+'Engineering Assumptions'!$B$10)</f>
        <v>556830</v>
      </c>
    </row>
    <row r="351" customFormat="false" ht="15" hidden="false" customHeight="true" outlineLevel="0" collapsed="false">
      <c r="A351" s="9" t="n">
        <v>327</v>
      </c>
      <c r="B351" s="43" t="s">
        <v>131</v>
      </c>
      <c r="C351" s="43" t="s">
        <v>2424</v>
      </c>
      <c r="D351" s="43" t="s">
        <v>939</v>
      </c>
      <c r="E351" s="43" t="s">
        <v>940</v>
      </c>
      <c r="F351" s="45" t="s">
        <v>318</v>
      </c>
      <c r="G351" s="9" t="n">
        <v>10</v>
      </c>
      <c r="H351" s="12" t="n">
        <f aca="false">'Engineering Cost'!H351*'Engineering Assumptions'!$B$6</f>
        <v>343800</v>
      </c>
      <c r="I351" s="12" t="n">
        <f aca="false">IF('Engineering Cost'!I351=0,0,MAX('Engineering Cost'!I351*'Engineering Assumptions'!$B$6,'Engineering Assumptions'!$B$9))</f>
        <v>78000</v>
      </c>
      <c r="J351" s="12" t="n">
        <f aca="false">'Engineering Cost'!J351*'Engineering Assumptions'!$B$6</f>
        <v>34500</v>
      </c>
      <c r="K351" s="12" t="n">
        <f aca="false">'Engineering Cost'!K351*'Engineering Assumptions'!$B$6</f>
        <v>27900</v>
      </c>
      <c r="L351" s="13" t="n">
        <f aca="false">SUM(H351:K351)</f>
        <v>484200</v>
      </c>
      <c r="M351" s="13" t="n">
        <f aca="false">L351*(1+'Engineering Assumptions'!$B$10)</f>
        <v>556830</v>
      </c>
    </row>
    <row r="352" customFormat="false" ht="15" hidden="false" customHeight="true" outlineLevel="0" collapsed="false">
      <c r="A352" s="9" t="n">
        <v>328</v>
      </c>
      <c r="B352" s="43" t="s">
        <v>131</v>
      </c>
      <c r="C352" s="43" t="s">
        <v>2424</v>
      </c>
      <c r="D352" s="43" t="s">
        <v>941</v>
      </c>
      <c r="E352" s="43" t="s">
        <v>942</v>
      </c>
      <c r="F352" s="45" t="s">
        <v>318</v>
      </c>
      <c r="G352" s="9" t="n">
        <v>10</v>
      </c>
      <c r="H352" s="12" t="n">
        <f aca="false">'Engineering Cost'!H352*'Engineering Assumptions'!$B$6</f>
        <v>343800</v>
      </c>
      <c r="I352" s="12" t="n">
        <f aca="false">IF('Engineering Cost'!I352=0,0,MAX('Engineering Cost'!I352*'Engineering Assumptions'!$B$6,'Engineering Assumptions'!$B$9))</f>
        <v>78000</v>
      </c>
      <c r="J352" s="12" t="n">
        <f aca="false">'Engineering Cost'!J352*'Engineering Assumptions'!$B$6</f>
        <v>34500</v>
      </c>
      <c r="K352" s="12" t="n">
        <f aca="false">'Engineering Cost'!K352*'Engineering Assumptions'!$B$6</f>
        <v>27900</v>
      </c>
      <c r="L352" s="13" t="n">
        <f aca="false">SUM(H352:K352)</f>
        <v>484200</v>
      </c>
      <c r="M352" s="13" t="n">
        <f aca="false">L352*(1+'Engineering Assumptions'!$B$10)</f>
        <v>556830</v>
      </c>
    </row>
    <row r="353" customFormat="false" ht="15" hidden="false" customHeight="true" outlineLevel="0" collapsed="false">
      <c r="A353" s="9" t="n">
        <v>329</v>
      </c>
      <c r="B353" s="43" t="s">
        <v>131</v>
      </c>
      <c r="C353" s="43" t="s">
        <v>2424</v>
      </c>
      <c r="D353" s="43" t="s">
        <v>943</v>
      </c>
      <c r="E353" s="43" t="s">
        <v>944</v>
      </c>
      <c r="F353" s="45" t="s">
        <v>318</v>
      </c>
      <c r="G353" s="9" t="n">
        <v>10</v>
      </c>
      <c r="H353" s="12" t="n">
        <f aca="false">'Engineering Cost'!H353*'Engineering Assumptions'!$B$6</f>
        <v>343800</v>
      </c>
      <c r="I353" s="12" t="n">
        <f aca="false">IF('Engineering Cost'!I353=0,0,MAX('Engineering Cost'!I353*'Engineering Assumptions'!$B$6,'Engineering Assumptions'!$B$9))</f>
        <v>78000</v>
      </c>
      <c r="J353" s="12" t="n">
        <f aca="false">'Engineering Cost'!J353*'Engineering Assumptions'!$B$6</f>
        <v>34500</v>
      </c>
      <c r="K353" s="12" t="n">
        <f aca="false">'Engineering Cost'!K353*'Engineering Assumptions'!$B$6</f>
        <v>27900</v>
      </c>
      <c r="L353" s="13" t="n">
        <f aca="false">SUM(H353:K353)</f>
        <v>484200</v>
      </c>
      <c r="M353" s="13" t="n">
        <f aca="false">L353*(1+'Engineering Assumptions'!$B$10)</f>
        <v>556830</v>
      </c>
    </row>
    <row r="354" customFormat="false" ht="15" hidden="false" customHeight="true" outlineLevel="0" collapsed="false">
      <c r="A354" s="9" t="n">
        <v>330</v>
      </c>
      <c r="B354" s="43" t="s">
        <v>131</v>
      </c>
      <c r="C354" s="43" t="s">
        <v>2424</v>
      </c>
      <c r="D354" s="43" t="s">
        <v>945</v>
      </c>
      <c r="E354" s="43" t="s">
        <v>946</v>
      </c>
      <c r="F354" s="45" t="s">
        <v>318</v>
      </c>
      <c r="G354" s="9" t="n">
        <v>10</v>
      </c>
      <c r="H354" s="12" t="n">
        <f aca="false">'Engineering Cost'!H354*'Engineering Assumptions'!$B$6</f>
        <v>343800</v>
      </c>
      <c r="I354" s="12" t="n">
        <f aca="false">IF('Engineering Cost'!I354=0,0,MAX('Engineering Cost'!I354*'Engineering Assumptions'!$B$6,'Engineering Assumptions'!$B$9))</f>
        <v>78000</v>
      </c>
      <c r="J354" s="12" t="n">
        <f aca="false">'Engineering Cost'!J354*'Engineering Assumptions'!$B$6</f>
        <v>34500</v>
      </c>
      <c r="K354" s="12" t="n">
        <f aca="false">'Engineering Cost'!K354*'Engineering Assumptions'!$B$6</f>
        <v>27900</v>
      </c>
      <c r="L354" s="13" t="n">
        <f aca="false">SUM(H354:K354)</f>
        <v>484200</v>
      </c>
      <c r="M354" s="13" t="n">
        <f aca="false">L354*(1+'Engineering Assumptions'!$B$10)</f>
        <v>556830</v>
      </c>
    </row>
    <row r="355" customFormat="false" ht="15" hidden="false" customHeight="true" outlineLevel="0" collapsed="false">
      <c r="A355" s="9" t="n">
        <v>331</v>
      </c>
      <c r="B355" s="43" t="s">
        <v>131</v>
      </c>
      <c r="C355" s="43" t="s">
        <v>2424</v>
      </c>
      <c r="D355" s="43" t="s">
        <v>947</v>
      </c>
      <c r="E355" s="43" t="s">
        <v>948</v>
      </c>
      <c r="F355" s="45" t="s">
        <v>318</v>
      </c>
      <c r="G355" s="9" t="n">
        <v>10</v>
      </c>
      <c r="H355" s="12" t="n">
        <f aca="false">'Engineering Cost'!H355*'Engineering Assumptions'!$B$6</f>
        <v>343800</v>
      </c>
      <c r="I355" s="12" t="n">
        <f aca="false">IF('Engineering Cost'!I355=0,0,MAX('Engineering Cost'!I355*'Engineering Assumptions'!$B$6,'Engineering Assumptions'!$B$9))</f>
        <v>78000</v>
      </c>
      <c r="J355" s="12" t="n">
        <f aca="false">'Engineering Cost'!J355*'Engineering Assumptions'!$B$6</f>
        <v>34500</v>
      </c>
      <c r="K355" s="12" t="n">
        <f aca="false">'Engineering Cost'!K355*'Engineering Assumptions'!$B$6</f>
        <v>27900</v>
      </c>
      <c r="L355" s="13" t="n">
        <f aca="false">SUM(H355:K355)</f>
        <v>484200</v>
      </c>
      <c r="M355" s="13" t="n">
        <f aca="false">L355*(1+'Engineering Assumptions'!$B$10)</f>
        <v>556830</v>
      </c>
    </row>
    <row r="356" customFormat="false" ht="15" hidden="false" customHeight="true" outlineLevel="0" collapsed="false">
      <c r="A356" s="9" t="n">
        <v>332</v>
      </c>
      <c r="B356" s="43" t="s">
        <v>131</v>
      </c>
      <c r="C356" s="43" t="s">
        <v>2424</v>
      </c>
      <c r="D356" s="43" t="s">
        <v>949</v>
      </c>
      <c r="E356" s="43" t="s">
        <v>950</v>
      </c>
      <c r="F356" s="45" t="s">
        <v>318</v>
      </c>
      <c r="G356" s="9" t="n">
        <v>10</v>
      </c>
      <c r="H356" s="12" t="n">
        <f aca="false">'Engineering Cost'!H356*'Engineering Assumptions'!$B$6</f>
        <v>343800</v>
      </c>
      <c r="I356" s="12" t="n">
        <f aca="false">IF('Engineering Cost'!I356=0,0,MAX('Engineering Cost'!I356*'Engineering Assumptions'!$B$6,'Engineering Assumptions'!$B$9))</f>
        <v>78000</v>
      </c>
      <c r="J356" s="12" t="n">
        <f aca="false">'Engineering Cost'!J356*'Engineering Assumptions'!$B$6</f>
        <v>34500</v>
      </c>
      <c r="K356" s="12" t="n">
        <f aca="false">'Engineering Cost'!K356*'Engineering Assumptions'!$B$6</f>
        <v>27900</v>
      </c>
      <c r="L356" s="13" t="n">
        <f aca="false">SUM(H356:K356)</f>
        <v>484200</v>
      </c>
      <c r="M356" s="13" t="n">
        <f aca="false">L356*(1+'Engineering Assumptions'!$B$10)</f>
        <v>556830</v>
      </c>
    </row>
    <row r="357" customFormat="false" ht="15" hidden="false" customHeight="true" outlineLevel="0" collapsed="false">
      <c r="A357" s="9" t="n">
        <v>333</v>
      </c>
      <c r="B357" s="43" t="s">
        <v>131</v>
      </c>
      <c r="C357" s="43" t="s">
        <v>2422</v>
      </c>
      <c r="D357" s="43" t="s">
        <v>1077</v>
      </c>
      <c r="E357" s="43" t="s">
        <v>1078</v>
      </c>
      <c r="F357" s="45" t="s">
        <v>318</v>
      </c>
      <c r="G357" s="9" t="n">
        <v>10</v>
      </c>
      <c r="H357" s="12" t="n">
        <f aca="false">'Engineering Cost'!H357*'Engineering Assumptions'!$B$6</f>
        <v>343800</v>
      </c>
      <c r="I357" s="12" t="n">
        <f aca="false">IF('Engineering Cost'!I357=0,0,MAX('Engineering Cost'!I357*'Engineering Assumptions'!$B$6,'Engineering Assumptions'!$B$9))</f>
        <v>78000</v>
      </c>
      <c r="J357" s="12" t="n">
        <f aca="false">'Engineering Cost'!J357*'Engineering Assumptions'!$B$6</f>
        <v>34500</v>
      </c>
      <c r="K357" s="12" t="n">
        <f aca="false">'Engineering Cost'!K357*'Engineering Assumptions'!$B$6</f>
        <v>27900</v>
      </c>
      <c r="L357" s="13" t="n">
        <f aca="false">SUM(H357:K357)</f>
        <v>484200</v>
      </c>
      <c r="M357" s="13" t="n">
        <f aca="false">L357*(1+'Engineering Assumptions'!$B$10)</f>
        <v>556830</v>
      </c>
    </row>
    <row r="358" customFormat="false" ht="15" hidden="false" customHeight="true" outlineLevel="0" collapsed="false">
      <c r="A358" s="9" t="n">
        <v>334</v>
      </c>
      <c r="B358" s="43" t="s">
        <v>131</v>
      </c>
      <c r="C358" s="43" t="s">
        <v>2422</v>
      </c>
      <c r="D358" s="43" t="s">
        <v>921</v>
      </c>
      <c r="E358" s="43" t="s">
        <v>922</v>
      </c>
      <c r="F358" s="45" t="s">
        <v>318</v>
      </c>
      <c r="G358" s="9" t="n">
        <v>10</v>
      </c>
      <c r="H358" s="12" t="n">
        <f aca="false">'Engineering Cost'!H358*'Engineering Assumptions'!$B$6</f>
        <v>343800</v>
      </c>
      <c r="I358" s="12" t="n">
        <f aca="false">IF('Engineering Cost'!I358=0,0,MAX('Engineering Cost'!I358*'Engineering Assumptions'!$B$6,'Engineering Assumptions'!$B$9))</f>
        <v>78000</v>
      </c>
      <c r="J358" s="12" t="n">
        <f aca="false">'Engineering Cost'!J358*'Engineering Assumptions'!$B$6</f>
        <v>34500</v>
      </c>
      <c r="K358" s="12" t="n">
        <f aca="false">'Engineering Cost'!K358*'Engineering Assumptions'!$B$6</f>
        <v>27900</v>
      </c>
      <c r="L358" s="13" t="n">
        <f aca="false">SUM(H358:K358)</f>
        <v>484200</v>
      </c>
      <c r="M358" s="13" t="n">
        <f aca="false">L358*(1+'Engineering Assumptions'!$B$10)</f>
        <v>556830</v>
      </c>
    </row>
    <row r="359" customFormat="false" ht="15" hidden="false" customHeight="true" outlineLevel="0" collapsed="false">
      <c r="A359" s="9" t="n">
        <v>335</v>
      </c>
      <c r="B359" s="43" t="s">
        <v>131</v>
      </c>
      <c r="C359" s="43" t="s">
        <v>2422</v>
      </c>
      <c r="D359" s="43" t="s">
        <v>923</v>
      </c>
      <c r="E359" s="43" t="s">
        <v>924</v>
      </c>
      <c r="F359" s="45" t="s">
        <v>318</v>
      </c>
      <c r="G359" s="9" t="n">
        <v>10</v>
      </c>
      <c r="H359" s="12" t="n">
        <f aca="false">'Engineering Cost'!H359*'Engineering Assumptions'!$B$6</f>
        <v>343800</v>
      </c>
      <c r="I359" s="12" t="n">
        <f aca="false">IF('Engineering Cost'!I359=0,0,MAX('Engineering Cost'!I359*'Engineering Assumptions'!$B$6,'Engineering Assumptions'!$B$9))</f>
        <v>78000</v>
      </c>
      <c r="J359" s="12" t="n">
        <f aca="false">'Engineering Cost'!J359*'Engineering Assumptions'!$B$6</f>
        <v>34500</v>
      </c>
      <c r="K359" s="12" t="n">
        <f aca="false">'Engineering Cost'!K359*'Engineering Assumptions'!$B$6</f>
        <v>27900</v>
      </c>
      <c r="L359" s="13" t="n">
        <f aca="false">SUM(H359:K359)</f>
        <v>484200</v>
      </c>
      <c r="M359" s="13" t="n">
        <f aca="false">L359*(1+'Engineering Assumptions'!$B$10)</f>
        <v>556830</v>
      </c>
    </row>
    <row r="360" customFormat="false" ht="15" hidden="false" customHeight="true" outlineLevel="0" collapsed="false">
      <c r="A360" s="9" t="n">
        <v>336</v>
      </c>
      <c r="B360" s="43" t="s">
        <v>131</v>
      </c>
      <c r="C360" s="43" t="s">
        <v>2425</v>
      </c>
      <c r="D360" s="43" t="s">
        <v>1038</v>
      </c>
      <c r="E360" s="43" t="s">
        <v>1040</v>
      </c>
      <c r="F360" s="45" t="s">
        <v>380</v>
      </c>
      <c r="G360" s="9" t="n">
        <v>13</v>
      </c>
      <c r="H360" s="12" t="n">
        <f aca="false">'Engineering Cost'!H360*'Engineering Assumptions'!$B$6</f>
        <v>343800</v>
      </c>
      <c r="I360" s="12" t="n">
        <f aca="false">IF('Engineering Cost'!I360=0,0,MAX('Engineering Cost'!I360*'Engineering Assumptions'!$B$6,'Engineering Assumptions'!$B$9))</f>
        <v>78000</v>
      </c>
      <c r="J360" s="12" t="n">
        <f aca="false">'Engineering Cost'!J360*'Engineering Assumptions'!$B$6</f>
        <v>42780</v>
      </c>
      <c r="K360" s="12" t="n">
        <f aca="false">'Engineering Cost'!K360*'Engineering Assumptions'!$B$6</f>
        <v>50220</v>
      </c>
      <c r="L360" s="13" t="n">
        <f aca="false">SUM(H360:K360)</f>
        <v>514800</v>
      </c>
      <c r="M360" s="13" t="n">
        <f aca="false">L360*(1+'Engineering Assumptions'!$B$10)</f>
        <v>592020</v>
      </c>
    </row>
    <row r="361" customFormat="false" ht="15" hidden="false" customHeight="true" outlineLevel="0" collapsed="false">
      <c r="A361" s="9" t="n">
        <v>337</v>
      </c>
      <c r="B361" s="43" t="s">
        <v>131</v>
      </c>
      <c r="C361" s="43" t="s">
        <v>2426</v>
      </c>
      <c r="D361" s="43" t="s">
        <v>1055</v>
      </c>
      <c r="E361" s="43" t="s">
        <v>1056</v>
      </c>
      <c r="F361" s="45" t="s">
        <v>380</v>
      </c>
      <c r="G361" s="9" t="n">
        <v>13</v>
      </c>
      <c r="H361" s="12" t="n">
        <f aca="false">'Engineering Cost'!H361*'Engineering Assumptions'!$B$6</f>
        <v>343800</v>
      </c>
      <c r="I361" s="12" t="n">
        <f aca="false">IF('Engineering Cost'!I361=0,0,MAX('Engineering Cost'!I361*'Engineering Assumptions'!$B$6,'Engineering Assumptions'!$B$9))</f>
        <v>78000</v>
      </c>
      <c r="J361" s="12" t="n">
        <f aca="false">'Engineering Cost'!J361*'Engineering Assumptions'!$B$6</f>
        <v>42780</v>
      </c>
      <c r="K361" s="12" t="n">
        <f aca="false">'Engineering Cost'!K361*'Engineering Assumptions'!$B$6</f>
        <v>50220</v>
      </c>
      <c r="L361" s="13" t="n">
        <f aca="false">SUM(H361:K361)</f>
        <v>514800</v>
      </c>
      <c r="M361" s="13" t="n">
        <f aca="false">L361*(1+'Engineering Assumptions'!$B$10)</f>
        <v>592020</v>
      </c>
    </row>
    <row r="362" customFormat="false" ht="27.75" hidden="false" customHeight="true" outlineLevel="0" collapsed="false">
      <c r="A362" s="9" t="n">
        <v>338</v>
      </c>
      <c r="B362" s="43" t="s">
        <v>131</v>
      </c>
      <c r="C362" s="43" t="s">
        <v>2427</v>
      </c>
      <c r="D362" s="43" t="s">
        <v>1043</v>
      </c>
      <c r="E362" s="43" t="s">
        <v>1045</v>
      </c>
      <c r="F362" s="45" t="s">
        <v>310</v>
      </c>
      <c r="G362" s="9" t="n">
        <v>14</v>
      </c>
      <c r="H362" s="12" t="n">
        <f aca="false">'Engineering Cost'!H362*'Engineering Assumptions'!$B$6</f>
        <v>343800</v>
      </c>
      <c r="I362" s="12" t="n">
        <f aca="false">IF('Engineering Cost'!I362=0,0,MAX('Engineering Cost'!I362*'Engineering Assumptions'!$B$6,'Engineering Assumptions'!$B$9))</f>
        <v>78000</v>
      </c>
      <c r="J362" s="12" t="n">
        <f aca="false">'Engineering Cost'!J362*'Engineering Assumptions'!$B$6</f>
        <v>42780</v>
      </c>
      <c r="K362" s="12" t="n">
        <f aca="false">'Engineering Cost'!K362*'Engineering Assumptions'!$B$6</f>
        <v>50220</v>
      </c>
      <c r="L362" s="13" t="n">
        <f aca="false">SUM(H362:K362)</f>
        <v>514800</v>
      </c>
      <c r="M362" s="13" t="n">
        <f aca="false">L362*(1+'Engineering Assumptions'!$B$10)</f>
        <v>592020</v>
      </c>
    </row>
    <row r="363" customFormat="false" ht="27.75" hidden="false" customHeight="true" outlineLevel="0" collapsed="false">
      <c r="A363" s="9" t="n">
        <v>339</v>
      </c>
      <c r="B363" s="43" t="s">
        <v>131</v>
      </c>
      <c r="C363" s="43" t="s">
        <v>2427</v>
      </c>
      <c r="D363" s="43" t="s">
        <v>1048</v>
      </c>
      <c r="E363" s="43" t="s">
        <v>1049</v>
      </c>
      <c r="F363" s="45" t="s">
        <v>310</v>
      </c>
      <c r="G363" s="9" t="n">
        <v>14</v>
      </c>
      <c r="H363" s="12" t="n">
        <f aca="false">'Engineering Cost'!H363*'Engineering Assumptions'!$B$6</f>
        <v>343800</v>
      </c>
      <c r="I363" s="12" t="n">
        <f aca="false">IF('Engineering Cost'!I363=0,0,MAX('Engineering Cost'!I363*'Engineering Assumptions'!$B$6,'Engineering Assumptions'!$B$9))</f>
        <v>78000</v>
      </c>
      <c r="J363" s="12" t="n">
        <f aca="false">'Engineering Cost'!J363*'Engineering Assumptions'!$B$6</f>
        <v>42780</v>
      </c>
      <c r="K363" s="12" t="n">
        <f aca="false">'Engineering Cost'!K363*'Engineering Assumptions'!$B$6</f>
        <v>50220</v>
      </c>
      <c r="L363" s="13" t="n">
        <f aca="false">SUM(H363:K363)</f>
        <v>514800</v>
      </c>
      <c r="M363" s="13" t="n">
        <f aca="false">L363*(1+'Engineering Assumptions'!$B$10)</f>
        <v>592020</v>
      </c>
    </row>
    <row r="364" customFormat="false" ht="27.75" hidden="false" customHeight="true" outlineLevel="0" collapsed="false">
      <c r="A364" s="9" t="n">
        <v>340</v>
      </c>
      <c r="B364" s="43" t="s">
        <v>131</v>
      </c>
      <c r="C364" s="43" t="s">
        <v>2427</v>
      </c>
      <c r="D364" s="43" t="s">
        <v>1053</v>
      </c>
      <c r="E364" s="43" t="s">
        <v>1054</v>
      </c>
      <c r="F364" s="45" t="s">
        <v>310</v>
      </c>
      <c r="G364" s="9" t="n">
        <v>14</v>
      </c>
      <c r="H364" s="12" t="n">
        <f aca="false">'Engineering Cost'!H364*'Engineering Assumptions'!$B$6</f>
        <v>343800</v>
      </c>
      <c r="I364" s="12" t="n">
        <f aca="false">IF('Engineering Cost'!I364=0,0,MAX('Engineering Cost'!I364*'Engineering Assumptions'!$B$6,'Engineering Assumptions'!$B$9))</f>
        <v>78000</v>
      </c>
      <c r="J364" s="12" t="n">
        <f aca="false">'Engineering Cost'!J364*'Engineering Assumptions'!$B$6</f>
        <v>42780</v>
      </c>
      <c r="K364" s="12" t="n">
        <f aca="false">'Engineering Cost'!K364*'Engineering Assumptions'!$B$6</f>
        <v>50220</v>
      </c>
      <c r="L364" s="13" t="n">
        <f aca="false">SUM(H364:K364)</f>
        <v>514800</v>
      </c>
      <c r="M364" s="13" t="n">
        <f aca="false">L364*(1+'Engineering Assumptions'!$B$10)</f>
        <v>592020</v>
      </c>
    </row>
    <row r="365" customFormat="false" ht="15" hidden="false" customHeight="true" outlineLevel="0" collapsed="false">
      <c r="A365" s="9" t="n">
        <v>341</v>
      </c>
      <c r="B365" s="43" t="s">
        <v>131</v>
      </c>
      <c r="C365" s="43" t="s">
        <v>2428</v>
      </c>
      <c r="D365" s="43" t="s">
        <v>1050</v>
      </c>
      <c r="E365" s="43" t="s">
        <v>1052</v>
      </c>
      <c r="F365" s="45" t="s">
        <v>310</v>
      </c>
      <c r="G365" s="9" t="n">
        <v>14</v>
      </c>
      <c r="H365" s="12" t="n">
        <f aca="false">'Engineering Cost'!H365*'Engineering Assumptions'!$B$6</f>
        <v>343800</v>
      </c>
      <c r="I365" s="12" t="n">
        <f aca="false">IF('Engineering Cost'!I365=0,0,MAX('Engineering Cost'!I365*'Engineering Assumptions'!$B$6,'Engineering Assumptions'!$B$9))</f>
        <v>78000</v>
      </c>
      <c r="J365" s="12" t="n">
        <f aca="false">'Engineering Cost'!J365*'Engineering Assumptions'!$B$6</f>
        <v>42780</v>
      </c>
      <c r="K365" s="12" t="n">
        <f aca="false">'Engineering Cost'!K365*'Engineering Assumptions'!$B$6</f>
        <v>50220</v>
      </c>
      <c r="L365" s="13" t="n">
        <f aca="false">SUM(H365:K365)</f>
        <v>514800</v>
      </c>
      <c r="M365" s="13" t="n">
        <f aca="false">L365*(1+'Engineering Assumptions'!$B$10)</f>
        <v>592020</v>
      </c>
    </row>
    <row r="366" customFormat="false" ht="15" hidden="false" customHeight="true" outlineLevel="0" collapsed="false">
      <c r="A366" s="9" t="n">
        <v>342</v>
      </c>
      <c r="B366" s="43" t="s">
        <v>131</v>
      </c>
      <c r="C366" s="43" t="s">
        <v>2428</v>
      </c>
      <c r="D366" s="43" t="s">
        <v>1094</v>
      </c>
      <c r="E366" s="43" t="s">
        <v>1095</v>
      </c>
      <c r="F366" s="45" t="s">
        <v>310</v>
      </c>
      <c r="G366" s="9" t="n">
        <v>14</v>
      </c>
      <c r="H366" s="12" t="n">
        <f aca="false">'Engineering Cost'!H366*'Engineering Assumptions'!$B$6</f>
        <v>343800</v>
      </c>
      <c r="I366" s="12" t="n">
        <f aca="false">IF('Engineering Cost'!I366=0,0,MAX('Engineering Cost'!I366*'Engineering Assumptions'!$B$6,'Engineering Assumptions'!$B$9))</f>
        <v>78000</v>
      </c>
      <c r="J366" s="12" t="n">
        <f aca="false">'Engineering Cost'!J366*'Engineering Assumptions'!$B$6</f>
        <v>42780</v>
      </c>
      <c r="K366" s="12" t="n">
        <f aca="false">'Engineering Cost'!K366*'Engineering Assumptions'!$B$6</f>
        <v>50220</v>
      </c>
      <c r="L366" s="13" t="n">
        <f aca="false">SUM(H366:K366)</f>
        <v>514800</v>
      </c>
      <c r="M366" s="13" t="n">
        <f aca="false">L366*(1+'Engineering Assumptions'!$B$10)</f>
        <v>592020</v>
      </c>
    </row>
    <row r="367" customFormat="false" ht="15" hidden="false" customHeight="true" outlineLevel="0" collapsed="false">
      <c r="A367" s="9" t="n">
        <v>343</v>
      </c>
      <c r="B367" s="43" t="s">
        <v>131</v>
      </c>
      <c r="C367" s="43" t="s">
        <v>2426</v>
      </c>
      <c r="D367" s="43" t="s">
        <v>925</v>
      </c>
      <c r="E367" s="43" t="s">
        <v>926</v>
      </c>
      <c r="F367" s="45" t="s">
        <v>310</v>
      </c>
      <c r="G367" s="9" t="n">
        <v>14</v>
      </c>
      <c r="H367" s="12" t="n">
        <f aca="false">'Engineering Cost'!H367*'Engineering Assumptions'!$B$6</f>
        <v>343800</v>
      </c>
      <c r="I367" s="12" t="n">
        <f aca="false">IF('Engineering Cost'!I367=0,0,MAX('Engineering Cost'!I367*'Engineering Assumptions'!$B$6,'Engineering Assumptions'!$B$9))</f>
        <v>78000</v>
      </c>
      <c r="J367" s="12" t="n">
        <f aca="false">'Engineering Cost'!J367*'Engineering Assumptions'!$B$6</f>
        <v>42780</v>
      </c>
      <c r="K367" s="12" t="n">
        <f aca="false">'Engineering Cost'!K367*'Engineering Assumptions'!$B$6</f>
        <v>50220</v>
      </c>
      <c r="L367" s="13" t="n">
        <f aca="false">SUM(H367:K367)</f>
        <v>514800</v>
      </c>
      <c r="M367" s="13" t="n">
        <f aca="false">L367*(1+'Engineering Assumptions'!$B$10)</f>
        <v>592020</v>
      </c>
    </row>
    <row r="368" customFormat="false" ht="15" hidden="false" customHeight="true" outlineLevel="0" collapsed="false">
      <c r="A368" s="9" t="n">
        <v>344</v>
      </c>
      <c r="B368" s="43" t="s">
        <v>131</v>
      </c>
      <c r="C368" s="43" t="s">
        <v>2426</v>
      </c>
      <c r="D368" s="43" t="s">
        <v>1059</v>
      </c>
      <c r="E368" s="43" t="s">
        <v>1061</v>
      </c>
      <c r="F368" s="45" t="s">
        <v>310</v>
      </c>
      <c r="G368" s="9" t="n">
        <v>14</v>
      </c>
      <c r="H368" s="12" t="n">
        <f aca="false">'Engineering Cost'!H368*'Engineering Assumptions'!$B$6</f>
        <v>343800</v>
      </c>
      <c r="I368" s="12" t="n">
        <f aca="false">IF('Engineering Cost'!I368=0,0,MAX('Engineering Cost'!I368*'Engineering Assumptions'!$B$6,'Engineering Assumptions'!$B$9))</f>
        <v>78000</v>
      </c>
      <c r="J368" s="12" t="n">
        <f aca="false">'Engineering Cost'!J368*'Engineering Assumptions'!$B$6</f>
        <v>42780</v>
      </c>
      <c r="K368" s="12" t="n">
        <f aca="false">'Engineering Cost'!K368*'Engineering Assumptions'!$B$6</f>
        <v>50220</v>
      </c>
      <c r="L368" s="13" t="n">
        <f aca="false">SUM(H368:K368)</f>
        <v>514800</v>
      </c>
      <c r="M368" s="13" t="n">
        <f aca="false">L368*(1+'Engineering Assumptions'!$B$10)</f>
        <v>592020</v>
      </c>
    </row>
    <row r="369" customFormat="false" ht="15" hidden="false" customHeight="true" outlineLevel="0" collapsed="false">
      <c r="A369" s="9" t="n">
        <v>345</v>
      </c>
      <c r="B369" s="43" t="s">
        <v>131</v>
      </c>
      <c r="C369" s="43" t="s">
        <v>2429</v>
      </c>
      <c r="D369" s="43" t="s">
        <v>927</v>
      </c>
      <c r="E369" s="43" t="s">
        <v>928</v>
      </c>
      <c r="F369" s="45" t="s">
        <v>310</v>
      </c>
      <c r="G369" s="9" t="n">
        <v>14</v>
      </c>
      <c r="H369" s="12" t="n">
        <f aca="false">'Engineering Cost'!H369*'Engineering Assumptions'!$B$6</f>
        <v>343800</v>
      </c>
      <c r="I369" s="12" t="n">
        <f aca="false">IF('Engineering Cost'!I369=0,0,MAX('Engineering Cost'!I369*'Engineering Assumptions'!$B$6,'Engineering Assumptions'!$B$9))</f>
        <v>78000</v>
      </c>
      <c r="J369" s="12" t="n">
        <f aca="false">'Engineering Cost'!J369*'Engineering Assumptions'!$B$6</f>
        <v>42780</v>
      </c>
      <c r="K369" s="12" t="n">
        <f aca="false">'Engineering Cost'!K369*'Engineering Assumptions'!$B$6</f>
        <v>50220</v>
      </c>
      <c r="L369" s="13" t="n">
        <f aca="false">SUM(H369:K369)</f>
        <v>514800</v>
      </c>
      <c r="M369" s="13" t="n">
        <f aca="false">L369*(1+'Engineering Assumptions'!$B$10)</f>
        <v>592020</v>
      </c>
    </row>
    <row r="370" customFormat="false" ht="15" hidden="false" customHeight="true" outlineLevel="0" collapsed="false">
      <c r="A370" s="9" t="n">
        <v>346</v>
      </c>
      <c r="B370" s="43" t="s">
        <v>131</v>
      </c>
      <c r="C370" s="43" t="s">
        <v>2429</v>
      </c>
      <c r="D370" s="43" t="s">
        <v>1064</v>
      </c>
      <c r="E370" s="43" t="s">
        <v>1065</v>
      </c>
      <c r="F370" s="45" t="s">
        <v>310</v>
      </c>
      <c r="G370" s="9" t="n">
        <v>14</v>
      </c>
      <c r="H370" s="12" t="n">
        <f aca="false">'Engineering Cost'!H370*'Engineering Assumptions'!$B$6</f>
        <v>343800</v>
      </c>
      <c r="I370" s="12" t="n">
        <f aca="false">IF('Engineering Cost'!I370=0,0,MAX('Engineering Cost'!I370*'Engineering Assumptions'!$B$6,'Engineering Assumptions'!$B$9))</f>
        <v>78000</v>
      </c>
      <c r="J370" s="12" t="n">
        <f aca="false">'Engineering Cost'!J370*'Engineering Assumptions'!$B$6</f>
        <v>42780</v>
      </c>
      <c r="K370" s="12" t="n">
        <f aca="false">'Engineering Cost'!K370*'Engineering Assumptions'!$B$6</f>
        <v>50220</v>
      </c>
      <c r="L370" s="13" t="n">
        <f aca="false">SUM(H370:K370)</f>
        <v>514800</v>
      </c>
      <c r="M370" s="13" t="n">
        <f aca="false">L370*(1+'Engineering Assumptions'!$B$10)</f>
        <v>592020</v>
      </c>
    </row>
    <row r="371" customFormat="false" ht="15" hidden="false" customHeight="true" outlineLevel="0" collapsed="false">
      <c r="A371" s="9" t="n">
        <v>347</v>
      </c>
      <c r="B371" s="43" t="s">
        <v>131</v>
      </c>
      <c r="C371" s="43" t="s">
        <v>2424</v>
      </c>
      <c r="D371" s="43" t="s">
        <v>931</v>
      </c>
      <c r="E371" s="43" t="s">
        <v>932</v>
      </c>
      <c r="F371" s="45" t="s">
        <v>310</v>
      </c>
      <c r="G371" s="9" t="n">
        <v>14</v>
      </c>
      <c r="H371" s="12" t="n">
        <f aca="false">'Engineering Cost'!H371*'Engineering Assumptions'!$B$6</f>
        <v>343800</v>
      </c>
      <c r="I371" s="12" t="n">
        <f aca="false">IF('Engineering Cost'!I371=0,0,MAX('Engineering Cost'!I371*'Engineering Assumptions'!$B$6,'Engineering Assumptions'!$B$9))</f>
        <v>78000</v>
      </c>
      <c r="J371" s="12" t="n">
        <f aca="false">'Engineering Cost'!J371*'Engineering Assumptions'!$B$6</f>
        <v>42780</v>
      </c>
      <c r="K371" s="12" t="n">
        <f aca="false">'Engineering Cost'!K371*'Engineering Assumptions'!$B$6</f>
        <v>50220</v>
      </c>
      <c r="L371" s="13" t="n">
        <f aca="false">SUM(H371:K371)</f>
        <v>514800</v>
      </c>
      <c r="M371" s="13" t="n">
        <f aca="false">L371*(1+'Engineering Assumptions'!$B$10)</f>
        <v>592020</v>
      </c>
    </row>
    <row r="372" customFormat="false" ht="15" hidden="false" customHeight="true" outlineLevel="0" collapsed="false">
      <c r="A372" s="9" t="n">
        <v>348</v>
      </c>
      <c r="B372" s="43" t="s">
        <v>131</v>
      </c>
      <c r="C372" s="43" t="s">
        <v>2424</v>
      </c>
      <c r="D372" s="43" t="s">
        <v>933</v>
      </c>
      <c r="E372" s="43" t="s">
        <v>934</v>
      </c>
      <c r="F372" s="45" t="s">
        <v>310</v>
      </c>
      <c r="G372" s="9" t="n">
        <v>14</v>
      </c>
      <c r="H372" s="12" t="n">
        <f aca="false">'Engineering Cost'!H372*'Engineering Assumptions'!$B$6</f>
        <v>343800</v>
      </c>
      <c r="I372" s="12" t="n">
        <f aca="false">IF('Engineering Cost'!I372=0,0,MAX('Engineering Cost'!I372*'Engineering Assumptions'!$B$6,'Engineering Assumptions'!$B$9))</f>
        <v>78000</v>
      </c>
      <c r="J372" s="12" t="n">
        <f aca="false">'Engineering Cost'!J372*'Engineering Assumptions'!$B$6</f>
        <v>42780</v>
      </c>
      <c r="K372" s="12" t="n">
        <f aca="false">'Engineering Cost'!K372*'Engineering Assumptions'!$B$6</f>
        <v>50220</v>
      </c>
      <c r="L372" s="13" t="n">
        <f aca="false">SUM(H372:K372)</f>
        <v>514800</v>
      </c>
      <c r="M372" s="13" t="n">
        <f aca="false">L372*(1+'Engineering Assumptions'!$B$10)</f>
        <v>592020</v>
      </c>
    </row>
    <row r="373" customFormat="false" ht="15" hidden="false" customHeight="true" outlineLevel="0" collapsed="false">
      <c r="A373" s="9" t="n">
        <v>349</v>
      </c>
      <c r="B373" s="43" t="s">
        <v>131</v>
      </c>
      <c r="C373" s="43" t="s">
        <v>2428</v>
      </c>
      <c r="D373" s="43" t="s">
        <v>1066</v>
      </c>
      <c r="E373" s="43" t="s">
        <v>1067</v>
      </c>
      <c r="F373" s="45" t="s">
        <v>748</v>
      </c>
      <c r="G373" s="9" t="n">
        <v>15</v>
      </c>
      <c r="H373" s="12" t="n">
        <f aca="false">'Engineering Cost'!H373*'Engineering Assumptions'!$B$6</f>
        <v>343800</v>
      </c>
      <c r="I373" s="12" t="n">
        <f aca="false">IF('Engineering Cost'!I373=0,0,MAX('Engineering Cost'!I373*'Engineering Assumptions'!$B$6,'Engineering Assumptions'!$B$9))</f>
        <v>78000</v>
      </c>
      <c r="J373" s="12" t="n">
        <f aca="false">'Engineering Cost'!J373*'Engineering Assumptions'!$B$6</f>
        <v>42780</v>
      </c>
      <c r="K373" s="12" t="n">
        <f aca="false">'Engineering Cost'!K373*'Engineering Assumptions'!$B$6</f>
        <v>50220</v>
      </c>
      <c r="L373" s="13" t="n">
        <f aca="false">SUM(H373:K373)</f>
        <v>514800</v>
      </c>
      <c r="M373" s="13" t="n">
        <f aca="false">L373*(1+'Engineering Assumptions'!$B$10)</f>
        <v>592020</v>
      </c>
    </row>
    <row r="374" customFormat="false" ht="15" hidden="false" customHeight="true" outlineLevel="0" collapsed="false">
      <c r="A374" s="9" t="n">
        <v>350</v>
      </c>
      <c r="B374" s="43" t="s">
        <v>131</v>
      </c>
      <c r="C374" s="43" t="s">
        <v>2430</v>
      </c>
      <c r="D374" s="43" t="s">
        <v>1068</v>
      </c>
      <c r="E374" s="43" t="s">
        <v>1070</v>
      </c>
      <c r="F374" s="45" t="s">
        <v>748</v>
      </c>
      <c r="G374" s="9" t="n">
        <v>15</v>
      </c>
      <c r="H374" s="12" t="n">
        <f aca="false">'Engineering Cost'!H374*'Engineering Assumptions'!$B$6</f>
        <v>343800</v>
      </c>
      <c r="I374" s="12" t="n">
        <f aca="false">IF('Engineering Cost'!I374=0,0,MAX('Engineering Cost'!I374*'Engineering Assumptions'!$B$6,'Engineering Assumptions'!$B$9))</f>
        <v>78000</v>
      </c>
      <c r="J374" s="12" t="n">
        <f aca="false">'Engineering Cost'!J374*'Engineering Assumptions'!$B$6</f>
        <v>42780</v>
      </c>
      <c r="K374" s="12" t="n">
        <f aca="false">'Engineering Cost'!K374*'Engineering Assumptions'!$B$6</f>
        <v>50220</v>
      </c>
      <c r="L374" s="13" t="n">
        <f aca="false">SUM(H374:K374)</f>
        <v>514800</v>
      </c>
      <c r="M374" s="13" t="n">
        <f aca="false">L374*(1+'Engineering Assumptions'!$B$10)</f>
        <v>592020</v>
      </c>
    </row>
    <row r="375" customFormat="false" ht="15" hidden="false" customHeight="true" outlineLevel="0" collapsed="false">
      <c r="A375" s="9" t="n">
        <v>351</v>
      </c>
      <c r="B375" s="43" t="s">
        <v>131</v>
      </c>
      <c r="C375" s="43" t="s">
        <v>2430</v>
      </c>
      <c r="D375" s="43" t="s">
        <v>1071</v>
      </c>
      <c r="E375" s="43" t="s">
        <v>1072</v>
      </c>
      <c r="F375" s="45" t="s">
        <v>748</v>
      </c>
      <c r="G375" s="9" t="n">
        <v>15</v>
      </c>
      <c r="H375" s="12" t="n">
        <f aca="false">'Engineering Cost'!H375*'Engineering Assumptions'!$B$6</f>
        <v>343800</v>
      </c>
      <c r="I375" s="12" t="n">
        <f aca="false">IF('Engineering Cost'!I375=0,0,MAX('Engineering Cost'!I375*'Engineering Assumptions'!$B$6,'Engineering Assumptions'!$B$9))</f>
        <v>78000</v>
      </c>
      <c r="J375" s="12" t="n">
        <f aca="false">'Engineering Cost'!J375*'Engineering Assumptions'!$B$6</f>
        <v>42780</v>
      </c>
      <c r="K375" s="12" t="n">
        <f aca="false">'Engineering Cost'!K375*'Engineering Assumptions'!$B$6</f>
        <v>50220</v>
      </c>
      <c r="L375" s="13" t="n">
        <f aca="false">SUM(H375:K375)</f>
        <v>514800</v>
      </c>
      <c r="M375" s="13" t="n">
        <f aca="false">L375*(1+'Engineering Assumptions'!$B$10)</f>
        <v>592020</v>
      </c>
    </row>
    <row r="376" customFormat="false" ht="15" hidden="false" customHeight="true" outlineLevel="0" collapsed="false">
      <c r="A376" s="9" t="n">
        <v>352</v>
      </c>
      <c r="B376" s="43" t="s">
        <v>131</v>
      </c>
      <c r="C376" s="43" t="s">
        <v>2430</v>
      </c>
      <c r="D376" s="43" t="s">
        <v>1073</v>
      </c>
      <c r="E376" s="43" t="s">
        <v>1074</v>
      </c>
      <c r="F376" s="45" t="s">
        <v>748</v>
      </c>
      <c r="G376" s="9" t="n">
        <v>15</v>
      </c>
      <c r="H376" s="12" t="n">
        <f aca="false">'Engineering Cost'!H376*'Engineering Assumptions'!$B$6</f>
        <v>343800</v>
      </c>
      <c r="I376" s="12" t="n">
        <f aca="false">IF('Engineering Cost'!I376=0,0,MAX('Engineering Cost'!I376*'Engineering Assumptions'!$B$6,'Engineering Assumptions'!$B$9))</f>
        <v>78000</v>
      </c>
      <c r="J376" s="12" t="n">
        <f aca="false">'Engineering Cost'!J376*'Engineering Assumptions'!$B$6</f>
        <v>42780</v>
      </c>
      <c r="K376" s="12" t="n">
        <f aca="false">'Engineering Cost'!K376*'Engineering Assumptions'!$B$6</f>
        <v>50220</v>
      </c>
      <c r="L376" s="13" t="n">
        <f aca="false">SUM(H376:K376)</f>
        <v>514800</v>
      </c>
      <c r="M376" s="13" t="n">
        <f aca="false">L376*(1+'Engineering Assumptions'!$B$10)</f>
        <v>592020</v>
      </c>
    </row>
    <row r="377" customFormat="false" ht="15" hidden="false" customHeight="true" outlineLevel="0" collapsed="false">
      <c r="A377" s="9" t="n">
        <v>353</v>
      </c>
      <c r="B377" s="43" t="s">
        <v>131</v>
      </c>
      <c r="C377" s="43" t="s">
        <v>2430</v>
      </c>
      <c r="D377" s="43" t="s">
        <v>1075</v>
      </c>
      <c r="E377" s="43" t="s">
        <v>1076</v>
      </c>
      <c r="F377" s="45" t="s">
        <v>748</v>
      </c>
      <c r="G377" s="9" t="n">
        <v>15</v>
      </c>
      <c r="H377" s="12" t="n">
        <f aca="false">'Engineering Cost'!H377*'Engineering Assumptions'!$B$6</f>
        <v>343800</v>
      </c>
      <c r="I377" s="12" t="n">
        <f aca="false">IF('Engineering Cost'!I377=0,0,MAX('Engineering Cost'!I377*'Engineering Assumptions'!$B$6,'Engineering Assumptions'!$B$9))</f>
        <v>78000</v>
      </c>
      <c r="J377" s="12" t="n">
        <f aca="false">'Engineering Cost'!J377*'Engineering Assumptions'!$B$6</f>
        <v>42780</v>
      </c>
      <c r="K377" s="12" t="n">
        <f aca="false">'Engineering Cost'!K377*'Engineering Assumptions'!$B$6</f>
        <v>50220</v>
      </c>
      <c r="L377" s="13" t="n">
        <f aca="false">SUM(H377:K377)</f>
        <v>514800</v>
      </c>
      <c r="M377" s="13" t="n">
        <f aca="false">L377*(1+'Engineering Assumptions'!$B$10)</f>
        <v>592020</v>
      </c>
    </row>
    <row r="378" customFormat="false" ht="15" hidden="false" customHeight="true" outlineLevel="0" collapsed="false">
      <c r="A378" s="9" t="n">
        <v>354</v>
      </c>
      <c r="B378" s="43" t="s">
        <v>131</v>
      </c>
      <c r="C378" s="43" t="s">
        <v>2424</v>
      </c>
      <c r="D378" s="43" t="s">
        <v>1090</v>
      </c>
      <c r="E378" s="43" t="s">
        <v>1091</v>
      </c>
      <c r="F378" s="45" t="s">
        <v>748</v>
      </c>
      <c r="G378" s="9" t="n">
        <v>15</v>
      </c>
      <c r="H378" s="12" t="n">
        <f aca="false">'Engineering Cost'!H378*'Engineering Assumptions'!$B$6</f>
        <v>343800</v>
      </c>
      <c r="I378" s="12" t="n">
        <f aca="false">IF('Engineering Cost'!I378=0,0,MAX('Engineering Cost'!I378*'Engineering Assumptions'!$B$6,'Engineering Assumptions'!$B$9))</f>
        <v>78000</v>
      </c>
      <c r="J378" s="12" t="n">
        <f aca="false">'Engineering Cost'!J378*'Engineering Assumptions'!$B$6</f>
        <v>42780</v>
      </c>
      <c r="K378" s="12" t="n">
        <f aca="false">'Engineering Cost'!K378*'Engineering Assumptions'!$B$6</f>
        <v>50220</v>
      </c>
      <c r="L378" s="13" t="n">
        <f aca="false">SUM(H378:K378)</f>
        <v>514800</v>
      </c>
      <c r="M378" s="13" t="n">
        <f aca="false">L378*(1+'Engineering Assumptions'!$B$10)</f>
        <v>592020</v>
      </c>
    </row>
    <row r="379" customFormat="false" ht="15" hidden="false" customHeight="true" outlineLevel="0" collapsed="false">
      <c r="A379" s="9" t="n">
        <v>355</v>
      </c>
      <c r="B379" s="43" t="s">
        <v>131</v>
      </c>
      <c r="C379" s="43" t="s">
        <v>2424</v>
      </c>
      <c r="D379" s="43"/>
      <c r="E379" s="43"/>
      <c r="F379" s="45" t="s">
        <v>748</v>
      </c>
      <c r="G379" s="9" t="n">
        <v>15</v>
      </c>
      <c r="H379" s="12" t="n">
        <f aca="false">'Engineering Cost'!H379*'Engineering Assumptions'!$B$6</f>
        <v>343800</v>
      </c>
      <c r="I379" s="12" t="n">
        <f aca="false">IF('Engineering Cost'!I379=0,0,MAX('Engineering Cost'!I379*'Engineering Assumptions'!$B$6,'Engineering Assumptions'!$B$9))</f>
        <v>78000</v>
      </c>
      <c r="J379" s="12" t="n">
        <f aca="false">'Engineering Cost'!J379*'Engineering Assumptions'!$B$6</f>
        <v>42780</v>
      </c>
      <c r="K379" s="12" t="n">
        <f aca="false">'Engineering Cost'!K379*'Engineering Assumptions'!$B$6</f>
        <v>50220</v>
      </c>
      <c r="L379" s="13" t="n">
        <f aca="false">SUM(H379:K379)</f>
        <v>514800</v>
      </c>
      <c r="M379" s="13" t="n">
        <f aca="false">L379*(1+'Engineering Assumptions'!$B$10)</f>
        <v>592020</v>
      </c>
    </row>
    <row r="380" customFormat="false" ht="15" hidden="false" customHeight="true" outlineLevel="0" collapsed="false">
      <c r="A380" s="9" t="n">
        <v>356</v>
      </c>
      <c r="B380" s="43" t="s">
        <v>131</v>
      </c>
      <c r="C380" s="43" t="s">
        <v>2424</v>
      </c>
      <c r="D380" s="43"/>
      <c r="E380" s="43"/>
      <c r="F380" s="45" t="s">
        <v>748</v>
      </c>
      <c r="G380" s="9" t="n">
        <v>15</v>
      </c>
      <c r="H380" s="12" t="n">
        <f aca="false">'Engineering Cost'!H380*'Engineering Assumptions'!$B$6</f>
        <v>343800</v>
      </c>
      <c r="I380" s="12" t="n">
        <f aca="false">IF('Engineering Cost'!I380=0,0,MAX('Engineering Cost'!I380*'Engineering Assumptions'!$B$6,'Engineering Assumptions'!$B$9))</f>
        <v>78000</v>
      </c>
      <c r="J380" s="12" t="n">
        <f aca="false">'Engineering Cost'!J380*'Engineering Assumptions'!$B$6</f>
        <v>42780</v>
      </c>
      <c r="K380" s="12" t="n">
        <f aca="false">'Engineering Cost'!K380*'Engineering Assumptions'!$B$6</f>
        <v>50220</v>
      </c>
      <c r="L380" s="13" t="n">
        <f aca="false">SUM(H380:K380)</f>
        <v>514800</v>
      </c>
      <c r="M380" s="13" t="n">
        <f aca="false">L380*(1+'Engineering Assumptions'!$B$10)</f>
        <v>592020</v>
      </c>
    </row>
    <row r="381" customFormat="false" ht="15" hidden="false" customHeight="true" outlineLevel="0" collapsed="false">
      <c r="A381" s="9" t="n">
        <v>357</v>
      </c>
      <c r="B381" s="43" t="s">
        <v>131</v>
      </c>
      <c r="C381" s="43" t="s">
        <v>2424</v>
      </c>
      <c r="D381" s="43"/>
      <c r="E381" s="43"/>
      <c r="F381" s="45" t="s">
        <v>748</v>
      </c>
      <c r="G381" s="9" t="n">
        <v>15</v>
      </c>
      <c r="H381" s="12" t="n">
        <f aca="false">'Engineering Cost'!H381*'Engineering Assumptions'!$B$6</f>
        <v>343800</v>
      </c>
      <c r="I381" s="12" t="n">
        <f aca="false">IF('Engineering Cost'!I381=0,0,MAX('Engineering Cost'!I381*'Engineering Assumptions'!$B$6,'Engineering Assumptions'!$B$9))</f>
        <v>78000</v>
      </c>
      <c r="J381" s="12" t="n">
        <f aca="false">'Engineering Cost'!J381*'Engineering Assumptions'!$B$6</f>
        <v>42780</v>
      </c>
      <c r="K381" s="12" t="n">
        <f aca="false">'Engineering Cost'!K381*'Engineering Assumptions'!$B$6</f>
        <v>50220</v>
      </c>
      <c r="L381" s="13" t="n">
        <f aca="false">SUM(H381:K381)</f>
        <v>514800</v>
      </c>
      <c r="M381" s="13" t="n">
        <f aca="false">L381*(1+'Engineering Assumptions'!$B$10)</f>
        <v>592020</v>
      </c>
    </row>
    <row r="382" customFormat="false" ht="15" hidden="false" customHeight="true" outlineLevel="0" collapsed="false">
      <c r="A382" s="9" t="n">
        <v>358</v>
      </c>
      <c r="B382" s="43" t="s">
        <v>131</v>
      </c>
      <c r="C382" s="43" t="s">
        <v>2431</v>
      </c>
      <c r="D382" s="43" t="s">
        <v>1079</v>
      </c>
      <c r="E382" s="43" t="s">
        <v>1081</v>
      </c>
      <c r="F382" s="45" t="s">
        <v>389</v>
      </c>
      <c r="G382" s="9" t="n">
        <v>16</v>
      </c>
      <c r="H382" s="12" t="n">
        <f aca="false">'Engineering Cost'!H382*'Engineering Assumptions'!$B$6</f>
        <v>343800</v>
      </c>
      <c r="I382" s="12" t="n">
        <f aca="false">IF('Engineering Cost'!I382=0,0,MAX('Engineering Cost'!I382*'Engineering Assumptions'!$B$6,'Engineering Assumptions'!$B$9))</f>
        <v>78000</v>
      </c>
      <c r="J382" s="12" t="n">
        <f aca="false">'Engineering Cost'!J382*'Engineering Assumptions'!$B$6</f>
        <v>53820</v>
      </c>
      <c r="K382" s="12" t="n">
        <f aca="false">'Engineering Cost'!K382*'Engineering Assumptions'!$B$6</f>
        <v>78120</v>
      </c>
      <c r="L382" s="13" t="n">
        <f aca="false">SUM(H382:K382)</f>
        <v>553740</v>
      </c>
      <c r="M382" s="13" t="n">
        <f aca="false">L382*(1+'Engineering Assumptions'!$B$10)</f>
        <v>636801</v>
      </c>
    </row>
    <row r="383" customFormat="false" ht="15" hidden="false" customHeight="true" outlineLevel="0" collapsed="false">
      <c r="A383" s="9" t="n">
        <v>359</v>
      </c>
      <c r="B383" s="43" t="s">
        <v>131</v>
      </c>
      <c r="C383" s="43" t="s">
        <v>2428</v>
      </c>
      <c r="D383" s="43" t="s">
        <v>1082</v>
      </c>
      <c r="E383" s="43" t="s">
        <v>1083</v>
      </c>
      <c r="F383" s="45" t="s">
        <v>389</v>
      </c>
      <c r="G383" s="9" t="n">
        <v>16</v>
      </c>
      <c r="H383" s="12" t="n">
        <f aca="false">'Engineering Cost'!H383*'Engineering Assumptions'!$B$6</f>
        <v>343800</v>
      </c>
      <c r="I383" s="12" t="n">
        <f aca="false">IF('Engineering Cost'!I383=0,0,MAX('Engineering Cost'!I383*'Engineering Assumptions'!$B$6,'Engineering Assumptions'!$B$9))</f>
        <v>78000</v>
      </c>
      <c r="J383" s="12" t="n">
        <f aca="false">'Engineering Cost'!J383*'Engineering Assumptions'!$B$6</f>
        <v>53820</v>
      </c>
      <c r="K383" s="12" t="n">
        <f aca="false">'Engineering Cost'!K383*'Engineering Assumptions'!$B$6</f>
        <v>78120</v>
      </c>
      <c r="L383" s="13" t="n">
        <f aca="false">SUM(H383:K383)</f>
        <v>553740</v>
      </c>
      <c r="M383" s="13" t="n">
        <f aca="false">L383*(1+'Engineering Assumptions'!$B$10)</f>
        <v>636801</v>
      </c>
    </row>
    <row r="384" customFormat="false" ht="15" hidden="false" customHeight="true" outlineLevel="0" collapsed="false">
      <c r="A384" s="9" t="n">
        <v>360</v>
      </c>
      <c r="B384" s="43" t="s">
        <v>131</v>
      </c>
      <c r="C384" s="43" t="s">
        <v>2432</v>
      </c>
      <c r="D384" s="43" t="s">
        <v>1084</v>
      </c>
      <c r="E384" s="43" t="s">
        <v>1086</v>
      </c>
      <c r="F384" s="45" t="s">
        <v>810</v>
      </c>
      <c r="G384" s="9" t="n">
        <v>19</v>
      </c>
      <c r="H384" s="12" t="n">
        <f aca="false">'Engineering Cost'!H384*'Engineering Assumptions'!$B$6</f>
        <v>343800</v>
      </c>
      <c r="I384" s="12" t="n">
        <f aca="false">IF('Engineering Cost'!I384=0,0,MAX('Engineering Cost'!I384*'Engineering Assumptions'!$B$6,'Engineering Assumptions'!$B$9))</f>
        <v>78000</v>
      </c>
      <c r="J384" s="12" t="n">
        <f aca="false">'Engineering Cost'!J384*'Engineering Assumptions'!$B$6</f>
        <v>53820</v>
      </c>
      <c r="K384" s="12" t="n">
        <f aca="false">'Engineering Cost'!K384*'Engineering Assumptions'!$B$6</f>
        <v>78120</v>
      </c>
      <c r="L384" s="13" t="n">
        <f aca="false">SUM(H384:K384)</f>
        <v>553740</v>
      </c>
      <c r="M384" s="13" t="n">
        <f aca="false">L384*(1+'Engineering Assumptions'!$B$10)</f>
        <v>636801</v>
      </c>
    </row>
    <row r="385" customFormat="false" ht="15" hidden="false" customHeight="true" outlineLevel="0" collapsed="false">
      <c r="A385" s="9" t="n">
        <v>361</v>
      </c>
      <c r="B385" s="43" t="s">
        <v>131</v>
      </c>
      <c r="C385" s="43" t="s">
        <v>2433</v>
      </c>
      <c r="D385" s="43" t="s">
        <v>1087</v>
      </c>
      <c r="E385" s="43" t="s">
        <v>1089</v>
      </c>
      <c r="F385" s="45" t="s">
        <v>348</v>
      </c>
      <c r="G385" s="9" t="n">
        <v>20</v>
      </c>
      <c r="H385" s="12" t="n">
        <f aca="false">'Engineering Cost'!H385*'Engineering Assumptions'!$B$6</f>
        <v>343800</v>
      </c>
      <c r="I385" s="12" t="n">
        <f aca="false">IF('Engineering Cost'!I385=0,0,MAX('Engineering Cost'!I385*'Engineering Assumptions'!$B$6,'Engineering Assumptions'!$B$9))</f>
        <v>78000</v>
      </c>
      <c r="J385" s="12" t="n">
        <f aca="false">'Engineering Cost'!J385*'Engineering Assumptions'!$B$6</f>
        <v>53820</v>
      </c>
      <c r="K385" s="12" t="n">
        <f aca="false">'Engineering Cost'!K385*'Engineering Assumptions'!$B$6</f>
        <v>78120</v>
      </c>
      <c r="L385" s="13" t="n">
        <f aca="false">SUM(H385:K385)</f>
        <v>553740</v>
      </c>
      <c r="M385" s="13" t="n">
        <f aca="false">L385*(1+'Engineering Assumptions'!$B$10)</f>
        <v>636801</v>
      </c>
    </row>
    <row r="386" customFormat="false" ht="15" hidden="false" customHeight="true" outlineLevel="0" collapsed="false">
      <c r="A386" s="9" t="n">
        <v>362</v>
      </c>
      <c r="B386" s="43" t="s">
        <v>131</v>
      </c>
      <c r="C386" s="43" t="s">
        <v>2434</v>
      </c>
      <c r="D386" s="43"/>
      <c r="E386" s="43"/>
      <c r="F386" s="45" t="s">
        <v>729</v>
      </c>
      <c r="G386" s="9" t="n">
        <v>21</v>
      </c>
      <c r="H386" s="12" t="n">
        <f aca="false">'Engineering Cost'!H386*'Engineering Assumptions'!$B$6</f>
        <v>343800</v>
      </c>
      <c r="I386" s="12" t="n">
        <f aca="false">IF('Engineering Cost'!I386=0,0,MAX('Engineering Cost'!I386*'Engineering Assumptions'!$B$6,'Engineering Assumptions'!$B$9))</f>
        <v>78000</v>
      </c>
      <c r="J386" s="12" t="n">
        <f aca="false">'Engineering Cost'!J386*'Engineering Assumptions'!$B$6</f>
        <v>66240</v>
      </c>
      <c r="K386" s="12" t="n">
        <f aca="false">'Engineering Cost'!K386*'Engineering Assumptions'!$B$6</f>
        <v>111600</v>
      </c>
      <c r="L386" s="13" t="n">
        <f aca="false">SUM(H386:K386)</f>
        <v>599640</v>
      </c>
      <c r="M386" s="13" t="n">
        <f aca="false">L386*(1+'Engineering Assumptions'!$B$10)</f>
        <v>689586</v>
      </c>
    </row>
    <row r="387" customFormat="false" ht="15" hidden="false" customHeight="true" outlineLevel="0" collapsed="false">
      <c r="A387" s="9" t="n">
        <v>363</v>
      </c>
      <c r="B387" s="43" t="s">
        <v>131</v>
      </c>
      <c r="C387" s="43" t="s">
        <v>2433</v>
      </c>
      <c r="D387" s="43" t="s">
        <v>1092</v>
      </c>
      <c r="E387" s="43" t="s">
        <v>1093</v>
      </c>
      <c r="F387" s="45" t="s">
        <v>423</v>
      </c>
      <c r="G387" s="9" t="n">
        <v>23</v>
      </c>
      <c r="H387" s="12" t="n">
        <f aca="false">'Engineering Cost'!H387*'Engineering Assumptions'!$B$6</f>
        <v>343800</v>
      </c>
      <c r="I387" s="12" t="n">
        <f aca="false">IF('Engineering Cost'!I387=0,0,MAX('Engineering Cost'!I387*'Engineering Assumptions'!$B$6,'Engineering Assumptions'!$B$9))</f>
        <v>78000</v>
      </c>
      <c r="J387" s="12" t="n">
        <f aca="false">'Engineering Cost'!J387*'Engineering Assumptions'!$B$6</f>
        <v>66240</v>
      </c>
      <c r="K387" s="12" t="n">
        <f aca="false">'Engineering Cost'!K387*'Engineering Assumptions'!$B$6</f>
        <v>111600</v>
      </c>
      <c r="L387" s="13" t="n">
        <f aca="false">SUM(H387:K387)</f>
        <v>599640</v>
      </c>
      <c r="M387" s="13" t="n">
        <f aca="false">L387*(1+'Engineering Assumptions'!$B$10)</f>
        <v>689586</v>
      </c>
    </row>
    <row r="388" customFormat="false" ht="15" hidden="false" customHeight="true" outlineLevel="0" collapsed="false">
      <c r="A388" s="9" t="n">
        <v>364</v>
      </c>
      <c r="B388" s="43" t="s">
        <v>131</v>
      </c>
      <c r="C388" s="43" t="s">
        <v>2433</v>
      </c>
      <c r="D388" s="43" t="s">
        <v>1046</v>
      </c>
      <c r="E388" s="43" t="s">
        <v>1047</v>
      </c>
      <c r="F388" s="45" t="s">
        <v>423</v>
      </c>
      <c r="G388" s="9" t="n">
        <v>23</v>
      </c>
      <c r="H388" s="12" t="n">
        <f aca="false">'Engineering Cost'!H388*'Engineering Assumptions'!$B$6</f>
        <v>343800</v>
      </c>
      <c r="I388" s="12" t="n">
        <f aca="false">IF('Engineering Cost'!I388=0,0,MAX('Engineering Cost'!I388*'Engineering Assumptions'!$B$6,'Engineering Assumptions'!$B$9))</f>
        <v>78000</v>
      </c>
      <c r="J388" s="12" t="n">
        <f aca="false">'Engineering Cost'!J388*'Engineering Assumptions'!$B$6</f>
        <v>66240</v>
      </c>
      <c r="K388" s="12" t="n">
        <f aca="false">'Engineering Cost'!K388*'Engineering Assumptions'!$B$6</f>
        <v>111600</v>
      </c>
      <c r="L388" s="13" t="n">
        <f aca="false">SUM(H388:K388)</f>
        <v>599640</v>
      </c>
      <c r="M388" s="13" t="n">
        <f aca="false">L388*(1+'Engineering Assumptions'!$B$10)</f>
        <v>689586</v>
      </c>
    </row>
    <row r="389" customFormat="false" ht="27.75" hidden="false" customHeight="true" outlineLevel="0" collapsed="false">
      <c r="A389" s="9" t="n">
        <v>365</v>
      </c>
      <c r="B389" s="43" t="s">
        <v>131</v>
      </c>
      <c r="C389" s="43" t="s">
        <v>2427</v>
      </c>
      <c r="D389" s="43" t="s">
        <v>1096</v>
      </c>
      <c r="E389" s="43" t="s">
        <v>1097</v>
      </c>
      <c r="F389" s="45" t="s">
        <v>423</v>
      </c>
      <c r="G389" s="9" t="n">
        <v>23</v>
      </c>
      <c r="H389" s="12" t="n">
        <f aca="false">'Engineering Cost'!H389*'Engineering Assumptions'!$B$6</f>
        <v>343800</v>
      </c>
      <c r="I389" s="12" t="n">
        <f aca="false">IF('Engineering Cost'!I389=0,0,MAX('Engineering Cost'!I389*'Engineering Assumptions'!$B$6,'Engineering Assumptions'!$B$9))</f>
        <v>78000</v>
      </c>
      <c r="J389" s="12" t="n">
        <f aca="false">'Engineering Cost'!J389*'Engineering Assumptions'!$B$6</f>
        <v>66240</v>
      </c>
      <c r="K389" s="12" t="n">
        <f aca="false">'Engineering Cost'!K389*'Engineering Assumptions'!$B$6</f>
        <v>111600</v>
      </c>
      <c r="L389" s="13" t="n">
        <f aca="false">SUM(H389:K389)</f>
        <v>599640</v>
      </c>
      <c r="M389" s="13" t="n">
        <f aca="false">L389*(1+'Engineering Assumptions'!$B$10)</f>
        <v>689586</v>
      </c>
    </row>
    <row r="390" customFormat="false" ht="15" hidden="false" customHeight="true" outlineLevel="0" collapsed="false">
      <c r="A390" s="42" t="s">
        <v>1098</v>
      </c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</row>
    <row r="391" customFormat="false" ht="15" hidden="false" customHeight="true" outlineLevel="0" collapsed="false">
      <c r="A391" s="9" t="n">
        <v>366</v>
      </c>
      <c r="B391" s="43" t="s">
        <v>133</v>
      </c>
      <c r="C391" s="43" t="s">
        <v>2435</v>
      </c>
      <c r="D391" s="43"/>
      <c r="E391" s="43"/>
      <c r="F391" s="45" t="s">
        <v>397</v>
      </c>
      <c r="G391" s="9" t="n">
        <v>9</v>
      </c>
      <c r="H391" s="12" t="n">
        <f aca="false">'Engineering Cost'!H391*'Engineering Assumptions'!$B$6</f>
        <v>0</v>
      </c>
      <c r="I391" s="12" t="n">
        <f aca="false">IF('Engineering Cost'!I391=0,0,MAX('Engineering Cost'!I391*'Engineering Assumptions'!$B$6,'Engineering Assumptions'!$B$9))</f>
        <v>0</v>
      </c>
      <c r="J391" s="12" t="n">
        <f aca="false">'Engineering Cost'!J391*'Engineering Assumptions'!$B$6</f>
        <v>7500</v>
      </c>
      <c r="K391" s="12" t="n">
        <f aca="false">'Engineering Cost'!K391*'Engineering Assumptions'!$B$6</f>
        <v>6300</v>
      </c>
      <c r="L391" s="13" t="n">
        <f aca="false">SUM(H391:K391)</f>
        <v>13800</v>
      </c>
      <c r="M391" s="13" t="n">
        <f aca="false">L391*(1+'Engineering Assumptions'!$B$10)</f>
        <v>15870</v>
      </c>
    </row>
    <row r="392" customFormat="false" ht="15" hidden="false" customHeight="true" outlineLevel="0" collapsed="false">
      <c r="A392" s="9" t="n">
        <v>367</v>
      </c>
      <c r="B392" s="43" t="s">
        <v>133</v>
      </c>
      <c r="C392" s="43" t="s">
        <v>2436</v>
      </c>
      <c r="D392" s="43"/>
      <c r="E392" s="43"/>
      <c r="F392" s="45" t="s">
        <v>397</v>
      </c>
      <c r="G392" s="9" t="n">
        <v>9</v>
      </c>
      <c r="H392" s="12" t="n">
        <f aca="false">'Engineering Cost'!H392*'Engineering Assumptions'!$B$6</f>
        <v>0</v>
      </c>
      <c r="I392" s="12" t="n">
        <f aca="false">IF('Engineering Cost'!I392=0,0,MAX('Engineering Cost'!I392*'Engineering Assumptions'!$B$6,'Engineering Assumptions'!$B$9))</f>
        <v>0</v>
      </c>
      <c r="J392" s="12" t="n">
        <f aca="false">'Engineering Cost'!J392*'Engineering Assumptions'!$B$6</f>
        <v>7500</v>
      </c>
      <c r="K392" s="12" t="n">
        <f aca="false">'Engineering Cost'!K392*'Engineering Assumptions'!$B$6</f>
        <v>6300</v>
      </c>
      <c r="L392" s="13" t="n">
        <f aca="false">SUM(H392:K392)</f>
        <v>13800</v>
      </c>
      <c r="M392" s="13" t="n">
        <f aca="false">L392*(1+'Engineering Assumptions'!$B$10)</f>
        <v>15870</v>
      </c>
    </row>
    <row r="393" customFormat="false" ht="15" hidden="false" customHeight="true" outlineLevel="0" collapsed="false">
      <c r="A393" s="9" t="n">
        <v>368</v>
      </c>
      <c r="B393" s="43" t="s">
        <v>133</v>
      </c>
      <c r="C393" s="43" t="s">
        <v>2436</v>
      </c>
      <c r="D393" s="43"/>
      <c r="E393" s="43"/>
      <c r="F393" s="45" t="s">
        <v>397</v>
      </c>
      <c r="G393" s="9" t="n">
        <v>9</v>
      </c>
      <c r="H393" s="12" t="n">
        <f aca="false">'Engineering Cost'!H393*'Engineering Assumptions'!$B$6</f>
        <v>0</v>
      </c>
      <c r="I393" s="12" t="n">
        <f aca="false">IF('Engineering Cost'!I393=0,0,MAX('Engineering Cost'!I393*'Engineering Assumptions'!$B$6,'Engineering Assumptions'!$B$9))</f>
        <v>0</v>
      </c>
      <c r="J393" s="12" t="n">
        <f aca="false">'Engineering Cost'!J393*'Engineering Assumptions'!$B$6</f>
        <v>7500</v>
      </c>
      <c r="K393" s="12" t="n">
        <f aca="false">'Engineering Cost'!K393*'Engineering Assumptions'!$B$6</f>
        <v>6300</v>
      </c>
      <c r="L393" s="13" t="n">
        <f aca="false">SUM(H393:K393)</f>
        <v>13800</v>
      </c>
      <c r="M393" s="13" t="n">
        <f aca="false">L393*(1+'Engineering Assumptions'!$B$10)</f>
        <v>15870</v>
      </c>
    </row>
    <row r="394" customFormat="false" ht="15" hidden="false" customHeight="true" outlineLevel="0" collapsed="false">
      <c r="A394" s="9" t="n">
        <v>369</v>
      </c>
      <c r="B394" s="43" t="s">
        <v>133</v>
      </c>
      <c r="C394" s="43" t="s">
        <v>2437</v>
      </c>
      <c r="D394" s="43"/>
      <c r="E394" s="43"/>
      <c r="F394" s="45" t="s">
        <v>397</v>
      </c>
      <c r="G394" s="9" t="n">
        <v>9</v>
      </c>
      <c r="H394" s="12" t="n">
        <f aca="false">'Engineering Cost'!H394*'Engineering Assumptions'!$B$6</f>
        <v>0</v>
      </c>
      <c r="I394" s="12" t="n">
        <f aca="false">IF('Engineering Cost'!I394=0,0,MAX('Engineering Cost'!I394*'Engineering Assumptions'!$B$6,'Engineering Assumptions'!$B$9))</f>
        <v>0</v>
      </c>
      <c r="J394" s="12" t="n">
        <f aca="false">'Engineering Cost'!J394*'Engineering Assumptions'!$B$6</f>
        <v>7500</v>
      </c>
      <c r="K394" s="12" t="n">
        <f aca="false">'Engineering Cost'!K394*'Engineering Assumptions'!$B$6</f>
        <v>6300</v>
      </c>
      <c r="L394" s="13" t="n">
        <f aca="false">SUM(H394:K394)</f>
        <v>13800</v>
      </c>
      <c r="M394" s="13" t="n">
        <f aca="false">L394*(1+'Engineering Assumptions'!$B$10)</f>
        <v>15870</v>
      </c>
    </row>
    <row r="395" customFormat="false" ht="15" hidden="false" customHeight="true" outlineLevel="0" collapsed="false">
      <c r="A395" s="9" t="n">
        <v>370</v>
      </c>
      <c r="B395" s="43" t="s">
        <v>133</v>
      </c>
      <c r="C395" s="43" t="s">
        <v>2435</v>
      </c>
      <c r="D395" s="43"/>
      <c r="E395" s="43"/>
      <c r="F395" s="45" t="s">
        <v>348</v>
      </c>
      <c r="G395" s="9" t="n">
        <v>20</v>
      </c>
      <c r="H395" s="12" t="n">
        <f aca="false">'Engineering Cost'!H395*'Engineering Assumptions'!$B$6</f>
        <v>0</v>
      </c>
      <c r="I395" s="12" t="n">
        <f aca="false">IF('Engineering Cost'!I395=0,0,MAX('Engineering Cost'!I395*'Engineering Assumptions'!$B$6,'Engineering Assumptions'!$B$9))</f>
        <v>0</v>
      </c>
      <c r="J395" s="12" t="n">
        <f aca="false">'Engineering Cost'!J395*'Engineering Assumptions'!$B$6</f>
        <v>11700</v>
      </c>
      <c r="K395" s="12" t="n">
        <f aca="false">'Engineering Cost'!K395*'Engineering Assumptions'!$B$6</f>
        <v>17640</v>
      </c>
      <c r="L395" s="13" t="n">
        <f aca="false">SUM(H395:K395)</f>
        <v>29340</v>
      </c>
      <c r="M395" s="13" t="n">
        <f aca="false">L395*(1+'Engineering Assumptions'!$B$10)</f>
        <v>33741</v>
      </c>
    </row>
    <row r="396" customFormat="false" ht="15" hidden="false" customHeight="true" outlineLevel="0" collapsed="false">
      <c r="A396" s="9" t="n">
        <v>371</v>
      </c>
      <c r="B396" s="43" t="s">
        <v>133</v>
      </c>
      <c r="C396" s="43" t="s">
        <v>2435</v>
      </c>
      <c r="D396" s="43"/>
      <c r="E396" s="43"/>
      <c r="F396" s="45" t="s">
        <v>348</v>
      </c>
      <c r="G396" s="9" t="n">
        <v>20</v>
      </c>
      <c r="H396" s="12" t="n">
        <f aca="false">'Engineering Cost'!H396*'Engineering Assumptions'!$B$6</f>
        <v>0</v>
      </c>
      <c r="I396" s="12" t="n">
        <f aca="false">IF('Engineering Cost'!I396=0,0,MAX('Engineering Cost'!I396*'Engineering Assumptions'!$B$6,'Engineering Assumptions'!$B$9))</f>
        <v>0</v>
      </c>
      <c r="J396" s="12" t="n">
        <f aca="false">'Engineering Cost'!J396*'Engineering Assumptions'!$B$6</f>
        <v>11700</v>
      </c>
      <c r="K396" s="12" t="n">
        <f aca="false">'Engineering Cost'!K396*'Engineering Assumptions'!$B$6</f>
        <v>17640</v>
      </c>
      <c r="L396" s="13" t="n">
        <f aca="false">SUM(H396:K396)</f>
        <v>29340</v>
      </c>
      <c r="M396" s="13" t="n">
        <f aca="false">L396*(1+'Engineering Assumptions'!$B$10)</f>
        <v>33741</v>
      </c>
    </row>
    <row r="397" customFormat="false" ht="15" hidden="false" customHeight="true" outlineLevel="0" collapsed="false">
      <c r="A397" s="42" t="s">
        <v>1106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</row>
    <row r="398" customFormat="false" ht="15" hidden="false" customHeight="true" outlineLevel="0" collapsed="false">
      <c r="A398" s="9" t="n">
        <v>372</v>
      </c>
      <c r="B398" s="43" t="s">
        <v>135</v>
      </c>
      <c r="C398" s="43" t="s">
        <v>2438</v>
      </c>
      <c r="D398" s="43"/>
      <c r="E398" s="43"/>
      <c r="F398" s="45" t="s">
        <v>748</v>
      </c>
      <c r="G398" s="9" t="n">
        <v>15</v>
      </c>
      <c r="H398" s="12" t="n">
        <f aca="false">'Engineering Cost'!H398*'Engineering Assumptions'!$B$6</f>
        <v>0</v>
      </c>
      <c r="I398" s="12" t="n">
        <f aca="false">IF('Engineering Cost'!I398=0,0,MAX('Engineering Cost'!I398*'Engineering Assumptions'!$B$6,'Engineering Assumptions'!$B$9))</f>
        <v>0</v>
      </c>
      <c r="J398" s="12" t="n">
        <f aca="false">'Engineering Cost'!J398*'Engineering Assumptions'!$B$6</f>
        <v>11160</v>
      </c>
      <c r="K398" s="12" t="n">
        <f aca="false">'Engineering Cost'!K398*'Engineering Assumptions'!$B$6</f>
        <v>12960</v>
      </c>
      <c r="L398" s="13" t="n">
        <f aca="false">SUM(H398:K398)</f>
        <v>24120</v>
      </c>
      <c r="M398" s="13" t="n">
        <f aca="false">L398*(1+'Engineering Assumptions'!$B$10)</f>
        <v>27738</v>
      </c>
    </row>
    <row r="399" customFormat="false" ht="15" hidden="false" customHeight="true" outlineLevel="0" collapsed="false">
      <c r="A399" s="9" t="n">
        <v>373</v>
      </c>
      <c r="B399" s="43" t="s">
        <v>135</v>
      </c>
      <c r="C399" s="43" t="s">
        <v>2439</v>
      </c>
      <c r="D399" s="43"/>
      <c r="E399" s="43"/>
      <c r="F399" s="45" t="s">
        <v>423</v>
      </c>
      <c r="G399" s="9" t="n">
        <v>23</v>
      </c>
      <c r="H399" s="12" t="n">
        <f aca="false">'Engineering Cost'!H399*'Engineering Assumptions'!$B$6</f>
        <v>0</v>
      </c>
      <c r="I399" s="12" t="n">
        <f aca="false">IF('Engineering Cost'!I399=0,0,MAX('Engineering Cost'!I399*'Engineering Assumptions'!$B$6,'Engineering Assumptions'!$B$9))</f>
        <v>0</v>
      </c>
      <c r="J399" s="12" t="n">
        <f aca="false">'Engineering Cost'!J399*'Engineering Assumptions'!$B$6</f>
        <v>17280</v>
      </c>
      <c r="K399" s="12" t="n">
        <f aca="false">'Engineering Cost'!K399*'Engineering Assumptions'!$B$6</f>
        <v>28800</v>
      </c>
      <c r="L399" s="13" t="n">
        <f aca="false">SUM(H399:K399)</f>
        <v>46080</v>
      </c>
      <c r="M399" s="13" t="n">
        <f aca="false">L399*(1+'Engineering Assumptions'!$B$10)</f>
        <v>52992</v>
      </c>
    </row>
    <row r="400" customFormat="false" ht="15" hidden="false" customHeight="true" outlineLevel="0" collapsed="false">
      <c r="A400" s="9" t="n">
        <v>374</v>
      </c>
      <c r="B400" s="43" t="s">
        <v>135</v>
      </c>
      <c r="C400" s="43" t="s">
        <v>2313</v>
      </c>
      <c r="D400" s="43"/>
      <c r="E400" s="43"/>
      <c r="F400" s="45" t="s">
        <v>472</v>
      </c>
      <c r="G400" s="9" t="n">
        <v>30</v>
      </c>
      <c r="H400" s="12" t="n">
        <f aca="false">'Engineering Cost'!H400*'Engineering Assumptions'!$B$6</f>
        <v>0</v>
      </c>
      <c r="I400" s="12" t="n">
        <f aca="false">IF('Engineering Cost'!I400=0,0,MAX('Engineering Cost'!I400*'Engineering Assumptions'!$B$6,'Engineering Assumptions'!$B$9))</f>
        <v>0</v>
      </c>
      <c r="J400" s="12" t="n">
        <f aca="false">'Engineering Cost'!J400*'Engineering Assumptions'!$B$6</f>
        <v>17280</v>
      </c>
      <c r="K400" s="12" t="n">
        <f aca="false">'Engineering Cost'!K400*'Engineering Assumptions'!$B$6</f>
        <v>28800</v>
      </c>
      <c r="L400" s="13" t="n">
        <f aca="false">SUM(H400:K400)</f>
        <v>46080</v>
      </c>
      <c r="M400" s="13" t="n">
        <f aca="false">L400*(1+'Engineering Assumptions'!$B$10)</f>
        <v>52992</v>
      </c>
    </row>
    <row r="401" customFormat="false" ht="15" hidden="false" customHeight="true" outlineLevel="0" collapsed="false">
      <c r="A401" s="42" t="s">
        <v>1113</v>
      </c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</row>
    <row r="402" customFormat="false" ht="15" hidden="false" customHeight="true" outlineLevel="0" collapsed="false">
      <c r="A402" s="9" t="n">
        <v>375</v>
      </c>
      <c r="B402" s="43" t="s">
        <v>137</v>
      </c>
      <c r="C402" s="43" t="s">
        <v>2440</v>
      </c>
      <c r="D402" s="43" t="s">
        <v>1114</v>
      </c>
      <c r="E402" s="43" t="s">
        <v>1115</v>
      </c>
      <c r="F402" s="45" t="s">
        <v>729</v>
      </c>
      <c r="G402" s="9" t="n">
        <v>21</v>
      </c>
      <c r="H402" s="12" t="n">
        <f aca="false">'Engineering Cost'!H402*'Engineering Assumptions'!$B$6</f>
        <v>160440</v>
      </c>
      <c r="I402" s="12" t="n">
        <f aca="false">IF('Engineering Cost'!I402=0,0,MAX('Engineering Cost'!I402*'Engineering Assumptions'!$B$6,'Engineering Assumptions'!$B$9))</f>
        <v>78000</v>
      </c>
      <c r="J402" s="12" t="n">
        <f aca="false">'Engineering Cost'!J402*'Engineering Assumptions'!$B$6</f>
        <v>31680</v>
      </c>
      <c r="K402" s="12" t="n">
        <f aca="false">'Engineering Cost'!K402*'Engineering Assumptions'!$B$6</f>
        <v>50400</v>
      </c>
      <c r="L402" s="13" t="n">
        <f aca="false">SUM(H402:K402)</f>
        <v>320520</v>
      </c>
      <c r="M402" s="13" t="n">
        <f aca="false">L402*(1+'Engineering Assumptions'!$B$10)</f>
        <v>368598</v>
      </c>
    </row>
    <row r="403" customFormat="false" ht="15" hidden="false" customHeight="true" outlineLevel="0" collapsed="false">
      <c r="A403" s="9" t="n">
        <v>376</v>
      </c>
      <c r="B403" s="43" t="s">
        <v>137</v>
      </c>
      <c r="C403" s="43" t="s">
        <v>2419</v>
      </c>
      <c r="D403" s="43" t="s">
        <v>1116</v>
      </c>
      <c r="E403" s="43" t="s">
        <v>1117</v>
      </c>
      <c r="F403" s="45" t="s">
        <v>729</v>
      </c>
      <c r="G403" s="9" t="n">
        <v>21</v>
      </c>
      <c r="H403" s="12" t="n">
        <f aca="false">'Engineering Cost'!H403*'Engineering Assumptions'!$B$6</f>
        <v>160440</v>
      </c>
      <c r="I403" s="12" t="n">
        <f aca="false">IF('Engineering Cost'!I403=0,0,MAX('Engineering Cost'!I403*'Engineering Assumptions'!$B$6,'Engineering Assumptions'!$B$9))</f>
        <v>78000</v>
      </c>
      <c r="J403" s="12" t="n">
        <f aca="false">'Engineering Cost'!J403*'Engineering Assumptions'!$B$6</f>
        <v>31680</v>
      </c>
      <c r="K403" s="12" t="n">
        <f aca="false">'Engineering Cost'!K403*'Engineering Assumptions'!$B$6</f>
        <v>50400</v>
      </c>
      <c r="L403" s="13" t="n">
        <f aca="false">SUM(H403:K403)</f>
        <v>320520</v>
      </c>
      <c r="M403" s="13" t="n">
        <f aca="false">L403*(1+'Engineering Assumptions'!$B$10)</f>
        <v>368598</v>
      </c>
    </row>
    <row r="404" customFormat="false" ht="15" hidden="false" customHeight="true" outlineLevel="0" collapsed="false">
      <c r="A404" s="9" t="n">
        <v>377</v>
      </c>
      <c r="B404" s="43" t="s">
        <v>137</v>
      </c>
      <c r="C404" s="43" t="s">
        <v>2440</v>
      </c>
      <c r="D404" s="43" t="s">
        <v>1120</v>
      </c>
      <c r="E404" s="43" t="s">
        <v>1121</v>
      </c>
      <c r="F404" s="45" t="s">
        <v>602</v>
      </c>
      <c r="G404" s="9" t="n">
        <v>36</v>
      </c>
      <c r="H404" s="12" t="n">
        <f aca="false">'Engineering Cost'!H404*'Engineering Assumptions'!$B$6</f>
        <v>160440</v>
      </c>
      <c r="I404" s="12" t="n">
        <f aca="false">IF('Engineering Cost'!I404=0,0,MAX('Engineering Cost'!I404*'Engineering Assumptions'!$B$6,'Engineering Assumptions'!$B$9))</f>
        <v>78000</v>
      </c>
      <c r="J404" s="12" t="n">
        <f aca="false">'Engineering Cost'!J404*'Engineering Assumptions'!$B$6</f>
        <v>31680</v>
      </c>
      <c r="K404" s="12" t="n">
        <f aca="false">'Engineering Cost'!K404*'Engineering Assumptions'!$B$6</f>
        <v>50400</v>
      </c>
      <c r="L404" s="13" t="n">
        <f aca="false">SUM(H404:K404)</f>
        <v>320520</v>
      </c>
      <c r="M404" s="13" t="n">
        <f aca="false">L404*(1+'Engineering Assumptions'!$B$10)</f>
        <v>368598</v>
      </c>
    </row>
    <row r="405" customFormat="false" ht="15" hidden="false" customHeight="true" outlineLevel="0" collapsed="false">
      <c r="A405" s="9" t="n">
        <v>378</v>
      </c>
      <c r="B405" s="43" t="s">
        <v>137</v>
      </c>
      <c r="C405" s="43" t="s">
        <v>2441</v>
      </c>
      <c r="D405" s="43"/>
      <c r="E405" s="43"/>
      <c r="F405" s="45" t="s">
        <v>602</v>
      </c>
      <c r="G405" s="9" t="n">
        <v>36</v>
      </c>
      <c r="H405" s="12" t="n">
        <f aca="false">'Engineering Cost'!H405*'Engineering Assumptions'!$B$6</f>
        <v>160440</v>
      </c>
      <c r="I405" s="12" t="n">
        <f aca="false">IF('Engineering Cost'!I405=0,0,MAX('Engineering Cost'!I405*'Engineering Assumptions'!$B$6,'Engineering Assumptions'!$B$9))</f>
        <v>78000</v>
      </c>
      <c r="J405" s="12" t="n">
        <f aca="false">'Engineering Cost'!J405*'Engineering Assumptions'!$B$6</f>
        <v>31680</v>
      </c>
      <c r="K405" s="12" t="n">
        <f aca="false">'Engineering Cost'!K405*'Engineering Assumptions'!$B$6</f>
        <v>50400</v>
      </c>
      <c r="L405" s="13" t="n">
        <f aca="false">SUM(H405:K405)</f>
        <v>320520</v>
      </c>
      <c r="M405" s="13" t="n">
        <f aca="false">L405*(1+'Engineering Assumptions'!$B$10)</f>
        <v>368598</v>
      </c>
    </row>
    <row r="406" customFormat="false" ht="15" hidden="false" customHeight="true" outlineLevel="0" collapsed="false">
      <c r="A406" s="9" t="n">
        <v>379</v>
      </c>
      <c r="B406" s="43" t="s">
        <v>137</v>
      </c>
      <c r="C406" s="43" t="s">
        <v>2442</v>
      </c>
      <c r="D406" s="43" t="s">
        <v>1123</v>
      </c>
      <c r="E406" s="43" t="s">
        <v>1124</v>
      </c>
      <c r="F406" s="45" t="s">
        <v>472</v>
      </c>
      <c r="G406" s="9" t="n">
        <v>30</v>
      </c>
      <c r="H406" s="12" t="n">
        <f aca="false">'Engineering Cost'!H406*'Engineering Assumptions'!$B$6</f>
        <v>160440</v>
      </c>
      <c r="I406" s="12" t="n">
        <f aca="false">IF('Engineering Cost'!I406=0,0,MAX('Engineering Cost'!I406*'Engineering Assumptions'!$B$6,'Engineering Assumptions'!$B$9))</f>
        <v>78000</v>
      </c>
      <c r="J406" s="12" t="n">
        <f aca="false">'Engineering Cost'!J406*'Engineering Assumptions'!$B$6</f>
        <v>31680</v>
      </c>
      <c r="K406" s="12" t="n">
        <f aca="false">'Engineering Cost'!K406*'Engineering Assumptions'!$B$6</f>
        <v>50400</v>
      </c>
      <c r="L406" s="13" t="n">
        <f aca="false">SUM(H406:K406)</f>
        <v>320520</v>
      </c>
      <c r="M406" s="13" t="n">
        <f aca="false">L406*(1+'Engineering Assumptions'!$B$10)</f>
        <v>368598</v>
      </c>
    </row>
    <row r="407" customFormat="false" ht="15" hidden="false" customHeight="true" outlineLevel="0" collapsed="false">
      <c r="A407" s="9" t="n">
        <v>380</v>
      </c>
      <c r="B407" s="43" t="s">
        <v>137</v>
      </c>
      <c r="C407" s="43" t="s">
        <v>2443</v>
      </c>
      <c r="D407" s="43" t="s">
        <v>1118</v>
      </c>
      <c r="E407" s="43" t="s">
        <v>1119</v>
      </c>
      <c r="F407" s="45" t="s">
        <v>472</v>
      </c>
      <c r="G407" s="9" t="n">
        <v>30</v>
      </c>
      <c r="H407" s="12" t="n">
        <f aca="false">'Engineering Cost'!H407*'Engineering Assumptions'!$B$6</f>
        <v>160440</v>
      </c>
      <c r="I407" s="12" t="n">
        <f aca="false">IF('Engineering Cost'!I407=0,0,MAX('Engineering Cost'!I407*'Engineering Assumptions'!$B$6,'Engineering Assumptions'!$B$9))</f>
        <v>78000</v>
      </c>
      <c r="J407" s="12" t="n">
        <f aca="false">'Engineering Cost'!J407*'Engineering Assumptions'!$B$6</f>
        <v>31680</v>
      </c>
      <c r="K407" s="12" t="n">
        <f aca="false">'Engineering Cost'!K407*'Engineering Assumptions'!$B$6</f>
        <v>50400</v>
      </c>
      <c r="L407" s="13" t="n">
        <f aca="false">SUM(H407:K407)</f>
        <v>320520</v>
      </c>
      <c r="M407" s="13" t="n">
        <f aca="false">L407*(1+'Engineering Assumptions'!$B$10)</f>
        <v>368598</v>
      </c>
    </row>
    <row r="408" customFormat="false" ht="15" hidden="false" customHeight="true" outlineLevel="0" collapsed="false">
      <c r="A408" s="42" t="s">
        <v>1125</v>
      </c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</row>
    <row r="409" customFormat="false" ht="15" hidden="false" customHeight="true" outlineLevel="0" collapsed="false">
      <c r="A409" s="9" t="n">
        <v>381</v>
      </c>
      <c r="B409" s="43" t="s">
        <v>139</v>
      </c>
      <c r="C409" s="43" t="s">
        <v>2444</v>
      </c>
      <c r="D409" s="43" t="s">
        <v>1126</v>
      </c>
      <c r="E409" s="43"/>
      <c r="F409" s="45" t="s">
        <v>297</v>
      </c>
      <c r="G409" s="9" t="n">
        <v>5</v>
      </c>
      <c r="H409" s="12" t="n">
        <f aca="false">'Engineering Cost'!H409*'Engineering Assumptions'!$B$6</f>
        <v>756360</v>
      </c>
      <c r="I409" s="12" t="n">
        <f aca="false">IF('Engineering Cost'!I409=0,0,MAX('Engineering Cost'!I409*'Engineering Assumptions'!$B$6,'Engineering Assumptions'!$B$9))</f>
        <v>78000</v>
      </c>
      <c r="J409" s="12" t="n">
        <f aca="false">'Engineering Cost'!J409*'Engineering Assumptions'!$B$6</f>
        <v>50160</v>
      </c>
      <c r="K409" s="12" t="n">
        <f aca="false">'Engineering Cost'!K409*'Engineering Assumptions'!$B$6</f>
        <v>20592</v>
      </c>
      <c r="L409" s="13" t="n">
        <f aca="false">SUM(H409:K409)</f>
        <v>905112</v>
      </c>
      <c r="M409" s="13" t="n">
        <f aca="false">L409*(1+'Engineering Assumptions'!$B$10)</f>
        <v>1040878.8</v>
      </c>
    </row>
    <row r="410" customFormat="false" ht="15" hidden="false" customHeight="true" outlineLevel="0" collapsed="false">
      <c r="A410" s="9" t="n">
        <v>382</v>
      </c>
      <c r="B410" s="43" t="s">
        <v>139</v>
      </c>
      <c r="C410" s="43" t="s">
        <v>2444</v>
      </c>
      <c r="D410" s="43" t="s">
        <v>1129</v>
      </c>
      <c r="E410" s="43"/>
      <c r="F410" s="45" t="s">
        <v>297</v>
      </c>
      <c r="G410" s="9" t="n">
        <v>5</v>
      </c>
      <c r="H410" s="12" t="n">
        <f aca="false">'Engineering Cost'!H410*'Engineering Assumptions'!$B$6</f>
        <v>756360</v>
      </c>
      <c r="I410" s="12" t="n">
        <f aca="false">IF('Engineering Cost'!I410=0,0,MAX('Engineering Cost'!I410*'Engineering Assumptions'!$B$6,'Engineering Assumptions'!$B$9))</f>
        <v>78000</v>
      </c>
      <c r="J410" s="12" t="n">
        <f aca="false">'Engineering Cost'!J410*'Engineering Assumptions'!$B$6</f>
        <v>50160</v>
      </c>
      <c r="K410" s="12" t="n">
        <f aca="false">'Engineering Cost'!K410*'Engineering Assumptions'!$B$6</f>
        <v>20592</v>
      </c>
      <c r="L410" s="13" t="n">
        <f aca="false">SUM(H410:K410)</f>
        <v>905112</v>
      </c>
      <c r="M410" s="13" t="n">
        <f aca="false">L410*(1+'Engineering Assumptions'!$B$10)</f>
        <v>1040878.8</v>
      </c>
    </row>
    <row r="411" customFormat="false" ht="15" hidden="false" customHeight="true" outlineLevel="0" collapsed="false">
      <c r="A411" s="9" t="n">
        <v>383</v>
      </c>
      <c r="B411" s="43" t="s">
        <v>139</v>
      </c>
      <c r="C411" s="43" t="s">
        <v>2444</v>
      </c>
      <c r="D411" s="43" t="s">
        <v>1130</v>
      </c>
      <c r="E411" s="43"/>
      <c r="F411" s="45" t="s">
        <v>297</v>
      </c>
      <c r="G411" s="9" t="n">
        <v>5</v>
      </c>
      <c r="H411" s="12" t="n">
        <f aca="false">'Engineering Cost'!H411*'Engineering Assumptions'!$B$6</f>
        <v>756360</v>
      </c>
      <c r="I411" s="12" t="n">
        <f aca="false">IF('Engineering Cost'!I411=0,0,MAX('Engineering Cost'!I411*'Engineering Assumptions'!$B$6,'Engineering Assumptions'!$B$9))</f>
        <v>78000</v>
      </c>
      <c r="J411" s="12" t="n">
        <f aca="false">'Engineering Cost'!J411*'Engineering Assumptions'!$B$6</f>
        <v>50160</v>
      </c>
      <c r="K411" s="12" t="n">
        <f aca="false">'Engineering Cost'!K411*'Engineering Assumptions'!$B$6</f>
        <v>20592</v>
      </c>
      <c r="L411" s="13" t="n">
        <f aca="false">SUM(H411:K411)</f>
        <v>905112</v>
      </c>
      <c r="M411" s="13" t="n">
        <f aca="false">L411*(1+'Engineering Assumptions'!$B$10)</f>
        <v>1040878.8</v>
      </c>
    </row>
    <row r="412" customFormat="false" ht="15" hidden="false" customHeight="true" outlineLevel="0" collapsed="false">
      <c r="A412" s="9" t="n">
        <v>384</v>
      </c>
      <c r="B412" s="43" t="s">
        <v>139</v>
      </c>
      <c r="C412" s="43" t="s">
        <v>2444</v>
      </c>
      <c r="D412" s="43" t="s">
        <v>1131</v>
      </c>
      <c r="E412" s="43"/>
      <c r="F412" s="45" t="s">
        <v>297</v>
      </c>
      <c r="G412" s="9" t="n">
        <v>5</v>
      </c>
      <c r="H412" s="12" t="n">
        <f aca="false">'Engineering Cost'!H412*'Engineering Assumptions'!$B$6</f>
        <v>756360</v>
      </c>
      <c r="I412" s="12" t="n">
        <f aca="false">IF('Engineering Cost'!I412=0,0,MAX('Engineering Cost'!I412*'Engineering Assumptions'!$B$6,'Engineering Assumptions'!$B$9))</f>
        <v>78000</v>
      </c>
      <c r="J412" s="12" t="n">
        <f aca="false">'Engineering Cost'!J412*'Engineering Assumptions'!$B$6</f>
        <v>50160</v>
      </c>
      <c r="K412" s="12" t="n">
        <f aca="false">'Engineering Cost'!K412*'Engineering Assumptions'!$B$6</f>
        <v>20592</v>
      </c>
      <c r="L412" s="13" t="n">
        <f aca="false">SUM(H412:K412)</f>
        <v>905112</v>
      </c>
      <c r="M412" s="13" t="n">
        <f aca="false">L412*(1+'Engineering Assumptions'!$B$10)</f>
        <v>1040878.8</v>
      </c>
    </row>
    <row r="413" customFormat="false" ht="15" hidden="false" customHeight="true" outlineLevel="0" collapsed="false">
      <c r="A413" s="9" t="n">
        <v>385</v>
      </c>
      <c r="B413" s="43" t="s">
        <v>139</v>
      </c>
      <c r="C413" s="43" t="s">
        <v>2445</v>
      </c>
      <c r="D413" s="43" t="s">
        <v>1133</v>
      </c>
      <c r="E413" s="43"/>
      <c r="F413" s="45" t="s">
        <v>450</v>
      </c>
      <c r="G413" s="9" t="n">
        <v>8</v>
      </c>
      <c r="H413" s="12" t="n">
        <f aca="false">'Engineering Cost'!H413*'Engineering Assumptions'!$B$6</f>
        <v>446940</v>
      </c>
      <c r="I413" s="12" t="n">
        <f aca="false">IF('Engineering Cost'!I413=0,0,MAX('Engineering Cost'!I413*'Engineering Assumptions'!$B$6,'Engineering Assumptions'!$B$9))</f>
        <v>78000</v>
      </c>
      <c r="J413" s="12" t="n">
        <f aca="false">'Engineering Cost'!J413*'Engineering Assumptions'!$B$6</f>
        <v>37050</v>
      </c>
      <c r="K413" s="12" t="n">
        <f aca="false">'Engineering Cost'!K413*'Engineering Assumptions'!$B$6</f>
        <v>30420</v>
      </c>
      <c r="L413" s="13" t="n">
        <f aca="false">SUM(H413:K413)</f>
        <v>592410</v>
      </c>
      <c r="M413" s="13" t="n">
        <f aca="false">L413*(1+'Engineering Assumptions'!$B$10)</f>
        <v>681271.5</v>
      </c>
    </row>
    <row r="414" customFormat="false" ht="15" hidden="false" customHeight="true" outlineLevel="0" collapsed="false">
      <c r="A414" s="9" t="n">
        <v>386</v>
      </c>
      <c r="B414" s="43" t="s">
        <v>139</v>
      </c>
      <c r="C414" s="43" t="s">
        <v>2446</v>
      </c>
      <c r="D414" s="43" t="s">
        <v>1136</v>
      </c>
      <c r="E414" s="43" t="n">
        <v>14160</v>
      </c>
      <c r="F414" s="45" t="s">
        <v>397</v>
      </c>
      <c r="G414" s="9" t="n">
        <v>9</v>
      </c>
      <c r="H414" s="12" t="n">
        <f aca="false">'Engineering Cost'!H414*'Engineering Assumptions'!$B$6</f>
        <v>790740</v>
      </c>
      <c r="I414" s="12" t="n">
        <f aca="false">IF('Engineering Cost'!I414=0,0,MAX('Engineering Cost'!I414*'Engineering Assumptions'!$B$6,'Engineering Assumptions'!$B$9))</f>
        <v>78000</v>
      </c>
      <c r="J414" s="12" t="n">
        <f aca="false">'Engineering Cost'!J414*'Engineering Assumptions'!$B$6</f>
        <v>65550</v>
      </c>
      <c r="K414" s="12" t="n">
        <f aca="false">'Engineering Cost'!K414*'Engineering Assumptions'!$B$6</f>
        <v>53820</v>
      </c>
      <c r="L414" s="13" t="n">
        <f aca="false">SUM(H414:K414)</f>
        <v>988110</v>
      </c>
      <c r="M414" s="13" t="n">
        <f aca="false">L414*(1+'Engineering Assumptions'!$B$10)</f>
        <v>1136326.5</v>
      </c>
    </row>
    <row r="415" customFormat="false" ht="15" hidden="false" customHeight="true" outlineLevel="0" collapsed="false">
      <c r="A415" s="9" t="n">
        <v>387</v>
      </c>
      <c r="B415" s="43" t="s">
        <v>139</v>
      </c>
      <c r="C415" s="43" t="s">
        <v>2446</v>
      </c>
      <c r="D415" s="43" t="s">
        <v>1201</v>
      </c>
      <c r="E415" s="43"/>
      <c r="F415" s="45" t="s">
        <v>397</v>
      </c>
      <c r="G415" s="9" t="n">
        <v>9</v>
      </c>
      <c r="H415" s="12" t="n">
        <f aca="false">'Engineering Cost'!H415*'Engineering Assumptions'!$B$6</f>
        <v>790740</v>
      </c>
      <c r="I415" s="12" t="n">
        <f aca="false">IF('Engineering Cost'!I415=0,0,MAX('Engineering Cost'!I415*'Engineering Assumptions'!$B$6,'Engineering Assumptions'!$B$9))</f>
        <v>78000</v>
      </c>
      <c r="J415" s="12" t="n">
        <f aca="false">'Engineering Cost'!J415*'Engineering Assumptions'!$B$6</f>
        <v>65550</v>
      </c>
      <c r="K415" s="12" t="n">
        <f aca="false">'Engineering Cost'!K415*'Engineering Assumptions'!$B$6</f>
        <v>53820</v>
      </c>
      <c r="L415" s="13" t="n">
        <f aca="false">SUM(H415:K415)</f>
        <v>988110</v>
      </c>
      <c r="M415" s="13" t="n">
        <f aca="false">L415*(1+'Engineering Assumptions'!$B$10)</f>
        <v>1136326.5</v>
      </c>
    </row>
    <row r="416" customFormat="false" ht="15" hidden="false" customHeight="true" outlineLevel="0" collapsed="false">
      <c r="A416" s="9" t="n">
        <v>388</v>
      </c>
      <c r="B416" s="43" t="s">
        <v>139</v>
      </c>
      <c r="C416" s="43" t="s">
        <v>2446</v>
      </c>
      <c r="D416" s="43" t="s">
        <v>1204</v>
      </c>
      <c r="E416" s="43"/>
      <c r="F416" s="45" t="s">
        <v>397</v>
      </c>
      <c r="G416" s="9" t="n">
        <v>9</v>
      </c>
      <c r="H416" s="12" t="n">
        <f aca="false">'Engineering Cost'!H416*'Engineering Assumptions'!$B$6</f>
        <v>790740</v>
      </c>
      <c r="I416" s="12" t="n">
        <f aca="false">IF('Engineering Cost'!I416=0,0,MAX('Engineering Cost'!I416*'Engineering Assumptions'!$B$6,'Engineering Assumptions'!$B$9))</f>
        <v>78000</v>
      </c>
      <c r="J416" s="12" t="n">
        <f aca="false">'Engineering Cost'!J416*'Engineering Assumptions'!$B$6</f>
        <v>65550</v>
      </c>
      <c r="K416" s="12" t="n">
        <f aca="false">'Engineering Cost'!K416*'Engineering Assumptions'!$B$6</f>
        <v>53820</v>
      </c>
      <c r="L416" s="13" t="n">
        <f aca="false">SUM(H416:K416)</f>
        <v>988110</v>
      </c>
      <c r="M416" s="13" t="n">
        <f aca="false">L416*(1+'Engineering Assumptions'!$B$10)</f>
        <v>1136326.5</v>
      </c>
    </row>
    <row r="417" customFormat="false" ht="15" hidden="false" customHeight="true" outlineLevel="0" collapsed="false">
      <c r="A417" s="9" t="n">
        <v>389</v>
      </c>
      <c r="B417" s="43" t="s">
        <v>139</v>
      </c>
      <c r="C417" s="43" t="s">
        <v>2446</v>
      </c>
      <c r="D417" s="43" t="s">
        <v>1140</v>
      </c>
      <c r="E417" s="43" t="n">
        <v>14160</v>
      </c>
      <c r="F417" s="45" t="s">
        <v>397</v>
      </c>
      <c r="G417" s="9" t="n">
        <v>9</v>
      </c>
      <c r="H417" s="12" t="n">
        <f aca="false">'Engineering Cost'!H417*'Engineering Assumptions'!$B$6</f>
        <v>790740</v>
      </c>
      <c r="I417" s="12" t="n">
        <f aca="false">IF('Engineering Cost'!I417=0,0,MAX('Engineering Cost'!I417*'Engineering Assumptions'!$B$6,'Engineering Assumptions'!$B$9))</f>
        <v>78000</v>
      </c>
      <c r="J417" s="12" t="n">
        <f aca="false">'Engineering Cost'!J417*'Engineering Assumptions'!$B$6</f>
        <v>65550</v>
      </c>
      <c r="K417" s="12" t="n">
        <f aca="false">'Engineering Cost'!K417*'Engineering Assumptions'!$B$6</f>
        <v>53820</v>
      </c>
      <c r="L417" s="13" t="n">
        <f aca="false">SUM(H417:K417)</f>
        <v>988110</v>
      </c>
      <c r="M417" s="13" t="n">
        <f aca="false">L417*(1+'Engineering Assumptions'!$B$10)</f>
        <v>1136326.5</v>
      </c>
    </row>
    <row r="418" customFormat="false" ht="15" hidden="false" customHeight="true" outlineLevel="0" collapsed="false">
      <c r="A418" s="9" t="n">
        <v>390</v>
      </c>
      <c r="B418" s="43" t="s">
        <v>139</v>
      </c>
      <c r="C418" s="43" t="s">
        <v>2446</v>
      </c>
      <c r="D418" s="43" t="s">
        <v>1141</v>
      </c>
      <c r="E418" s="43" t="n">
        <v>14160</v>
      </c>
      <c r="F418" s="45" t="s">
        <v>397</v>
      </c>
      <c r="G418" s="9" t="n">
        <v>9</v>
      </c>
      <c r="H418" s="12" t="n">
        <f aca="false">'Engineering Cost'!H418*'Engineering Assumptions'!$B$6</f>
        <v>790740</v>
      </c>
      <c r="I418" s="12" t="n">
        <f aca="false">IF('Engineering Cost'!I418=0,0,MAX('Engineering Cost'!I418*'Engineering Assumptions'!$B$6,'Engineering Assumptions'!$B$9))</f>
        <v>78000</v>
      </c>
      <c r="J418" s="12" t="n">
        <f aca="false">'Engineering Cost'!J418*'Engineering Assumptions'!$B$6</f>
        <v>65550</v>
      </c>
      <c r="K418" s="12" t="n">
        <f aca="false">'Engineering Cost'!K418*'Engineering Assumptions'!$B$6</f>
        <v>53820</v>
      </c>
      <c r="L418" s="13" t="n">
        <f aca="false">SUM(H418:K418)</f>
        <v>988110</v>
      </c>
      <c r="M418" s="13" t="n">
        <f aca="false">L418*(1+'Engineering Assumptions'!$B$10)</f>
        <v>1136326.5</v>
      </c>
    </row>
    <row r="419" customFormat="false" ht="15" hidden="false" customHeight="true" outlineLevel="0" collapsed="false">
      <c r="A419" s="9" t="n">
        <v>391</v>
      </c>
      <c r="B419" s="43" t="s">
        <v>139</v>
      </c>
      <c r="C419" s="43" t="s">
        <v>2447</v>
      </c>
      <c r="D419" s="43" t="s">
        <v>1144</v>
      </c>
      <c r="E419" s="43"/>
      <c r="F419" s="45" t="s">
        <v>397</v>
      </c>
      <c r="G419" s="9" t="n">
        <v>9</v>
      </c>
      <c r="H419" s="12" t="n">
        <f aca="false">'Engineering Cost'!H419*'Engineering Assumptions'!$B$6</f>
        <v>756360</v>
      </c>
      <c r="I419" s="12" t="n">
        <f aca="false">IF('Engineering Cost'!I419=0,0,MAX('Engineering Cost'!I419*'Engineering Assumptions'!$B$6,'Engineering Assumptions'!$B$9))</f>
        <v>78000</v>
      </c>
      <c r="J419" s="12" t="n">
        <f aca="false">'Engineering Cost'!J419*'Engineering Assumptions'!$B$6</f>
        <v>62700</v>
      </c>
      <c r="K419" s="12" t="n">
        <f aca="false">'Engineering Cost'!K419*'Engineering Assumptions'!$B$6</f>
        <v>51480</v>
      </c>
      <c r="L419" s="13" t="n">
        <f aca="false">SUM(H419:K419)</f>
        <v>948540</v>
      </c>
      <c r="M419" s="13" t="n">
        <f aca="false">L419*(1+'Engineering Assumptions'!$B$10)</f>
        <v>1090821</v>
      </c>
    </row>
    <row r="420" customFormat="false" ht="15" hidden="false" customHeight="true" outlineLevel="0" collapsed="false">
      <c r="A420" s="9" t="n">
        <v>392</v>
      </c>
      <c r="B420" s="43" t="s">
        <v>139</v>
      </c>
      <c r="C420" s="43" t="s">
        <v>2447</v>
      </c>
      <c r="D420" s="43" t="s">
        <v>1142</v>
      </c>
      <c r="E420" s="43" t="n">
        <v>14160</v>
      </c>
      <c r="F420" s="45" t="s">
        <v>397</v>
      </c>
      <c r="G420" s="9" t="n">
        <v>9</v>
      </c>
      <c r="H420" s="12" t="n">
        <f aca="false">'Engineering Cost'!H420*'Engineering Assumptions'!$B$6</f>
        <v>756360</v>
      </c>
      <c r="I420" s="12" t="n">
        <f aca="false">IF('Engineering Cost'!I420=0,0,MAX('Engineering Cost'!I420*'Engineering Assumptions'!$B$6,'Engineering Assumptions'!$B$9))</f>
        <v>78000</v>
      </c>
      <c r="J420" s="12" t="n">
        <f aca="false">'Engineering Cost'!J420*'Engineering Assumptions'!$B$6</f>
        <v>62700</v>
      </c>
      <c r="K420" s="12" t="n">
        <f aca="false">'Engineering Cost'!K420*'Engineering Assumptions'!$B$6</f>
        <v>51480</v>
      </c>
      <c r="L420" s="13" t="n">
        <f aca="false">SUM(H420:K420)</f>
        <v>948540</v>
      </c>
      <c r="M420" s="13" t="n">
        <f aca="false">L420*(1+'Engineering Assumptions'!$B$10)</f>
        <v>1090821</v>
      </c>
    </row>
    <row r="421" customFormat="false" ht="15" hidden="false" customHeight="true" outlineLevel="0" collapsed="false">
      <c r="A421" s="9" t="n">
        <v>393</v>
      </c>
      <c r="B421" s="43" t="s">
        <v>139</v>
      </c>
      <c r="C421" s="43" t="s">
        <v>2448</v>
      </c>
      <c r="D421" s="43" t="s">
        <v>1148</v>
      </c>
      <c r="E421" s="43"/>
      <c r="F421" s="45" t="s">
        <v>315</v>
      </c>
      <c r="G421" s="9" t="n">
        <v>11</v>
      </c>
      <c r="H421" s="12" t="n">
        <f aca="false">'Engineering Cost'!H421*'Engineering Assumptions'!$B$6</f>
        <v>687600</v>
      </c>
      <c r="I421" s="12" t="n">
        <f aca="false">IF('Engineering Cost'!I421=0,0,MAX('Engineering Cost'!I421*'Engineering Assumptions'!$B$6,'Engineering Assumptions'!$B$9))</f>
        <v>78000</v>
      </c>
      <c r="J421" s="12" t="n">
        <f aca="false">'Engineering Cost'!J421*'Engineering Assumptions'!$B$6</f>
        <v>70680</v>
      </c>
      <c r="K421" s="12" t="n">
        <f aca="false">'Engineering Cost'!K421*'Engineering Assumptions'!$B$6</f>
        <v>84240</v>
      </c>
      <c r="L421" s="13" t="n">
        <f aca="false">SUM(H421:K421)</f>
        <v>920520</v>
      </c>
      <c r="M421" s="13" t="n">
        <f aca="false">L421*(1+'Engineering Assumptions'!$B$10)</f>
        <v>1058598</v>
      </c>
    </row>
    <row r="422" customFormat="false" ht="15" hidden="false" customHeight="true" outlineLevel="0" collapsed="false">
      <c r="A422" s="9" t="n">
        <v>394</v>
      </c>
      <c r="B422" s="43" t="s">
        <v>139</v>
      </c>
      <c r="C422" s="43" t="s">
        <v>2449</v>
      </c>
      <c r="D422" s="43" t="s">
        <v>1150</v>
      </c>
      <c r="E422" s="43"/>
      <c r="F422" s="45" t="s">
        <v>374</v>
      </c>
      <c r="G422" s="9" t="n">
        <v>12</v>
      </c>
      <c r="H422" s="12" t="n">
        <f aca="false">'Engineering Cost'!H422*'Engineering Assumptions'!$B$6</f>
        <v>378180</v>
      </c>
      <c r="I422" s="12" t="n">
        <f aca="false">IF('Engineering Cost'!I422=0,0,MAX('Engineering Cost'!I422*'Engineering Assumptions'!$B$6,'Engineering Assumptions'!$B$9))</f>
        <v>78000</v>
      </c>
      <c r="J422" s="12" t="n">
        <f aca="false">'Engineering Cost'!J422*'Engineering Assumptions'!$B$6</f>
        <v>38874</v>
      </c>
      <c r="K422" s="12" t="n">
        <f aca="false">'Engineering Cost'!K422*'Engineering Assumptions'!$B$6</f>
        <v>46332</v>
      </c>
      <c r="L422" s="13" t="n">
        <f aca="false">SUM(H422:K422)</f>
        <v>541386</v>
      </c>
      <c r="M422" s="13" t="n">
        <f aca="false">L422*(1+'Engineering Assumptions'!$B$10)</f>
        <v>622593.9</v>
      </c>
    </row>
    <row r="423" customFormat="false" ht="15" hidden="false" customHeight="true" outlineLevel="0" collapsed="false">
      <c r="A423" s="9" t="n">
        <v>395</v>
      </c>
      <c r="B423" s="43" t="s">
        <v>139</v>
      </c>
      <c r="C423" s="43" t="s">
        <v>2450</v>
      </c>
      <c r="D423" s="43" t="s">
        <v>1154</v>
      </c>
      <c r="E423" s="43"/>
      <c r="F423" s="45" t="s">
        <v>374</v>
      </c>
      <c r="G423" s="9" t="n">
        <v>12</v>
      </c>
      <c r="H423" s="12" t="n">
        <f aca="false">'Engineering Cost'!H423*'Engineering Assumptions'!$B$6</f>
        <v>653220</v>
      </c>
      <c r="I423" s="12" t="n">
        <f aca="false">IF('Engineering Cost'!I423=0,0,MAX('Engineering Cost'!I423*'Engineering Assumptions'!$B$6,'Engineering Assumptions'!$B$9))</f>
        <v>78000</v>
      </c>
      <c r="J423" s="12" t="n">
        <f aca="false">'Engineering Cost'!J423*'Engineering Assumptions'!$B$6</f>
        <v>67146</v>
      </c>
      <c r="K423" s="12" t="n">
        <f aca="false">'Engineering Cost'!K423*'Engineering Assumptions'!$B$6</f>
        <v>80028</v>
      </c>
      <c r="L423" s="13" t="n">
        <f aca="false">SUM(H423:K423)</f>
        <v>878394</v>
      </c>
      <c r="M423" s="13" t="n">
        <f aca="false">L423*(1+'Engineering Assumptions'!$B$10)</f>
        <v>1010153.1</v>
      </c>
    </row>
    <row r="424" customFormat="false" ht="15" hidden="false" customHeight="true" outlineLevel="0" collapsed="false">
      <c r="A424" s="9" t="n">
        <v>396</v>
      </c>
      <c r="B424" s="43" t="s">
        <v>139</v>
      </c>
      <c r="C424" s="43" t="s">
        <v>2451</v>
      </c>
      <c r="D424" s="43" t="s">
        <v>1158</v>
      </c>
      <c r="E424" s="43"/>
      <c r="F424" s="45" t="s">
        <v>374</v>
      </c>
      <c r="G424" s="9" t="n">
        <v>12</v>
      </c>
      <c r="H424" s="12" t="n">
        <f aca="false">'Engineering Cost'!H424*'Engineering Assumptions'!$B$6</f>
        <v>481320</v>
      </c>
      <c r="I424" s="12" t="n">
        <f aca="false">IF('Engineering Cost'!I424=0,0,MAX('Engineering Cost'!I424*'Engineering Assumptions'!$B$6,'Engineering Assumptions'!$B$9))</f>
        <v>78000</v>
      </c>
      <c r="J424" s="12" t="n">
        <f aca="false">'Engineering Cost'!J424*'Engineering Assumptions'!$B$6</f>
        <v>49476</v>
      </c>
      <c r="K424" s="12" t="n">
        <f aca="false">'Engineering Cost'!K424*'Engineering Assumptions'!$B$6</f>
        <v>58968</v>
      </c>
      <c r="L424" s="13" t="n">
        <f aca="false">SUM(H424:K424)</f>
        <v>667764</v>
      </c>
      <c r="M424" s="13" t="n">
        <f aca="false">L424*(1+'Engineering Assumptions'!$B$10)</f>
        <v>767928.6</v>
      </c>
    </row>
    <row r="425" customFormat="false" ht="15" hidden="false" customHeight="true" outlineLevel="0" collapsed="false">
      <c r="A425" s="9" t="n">
        <v>397</v>
      </c>
      <c r="B425" s="43" t="s">
        <v>139</v>
      </c>
      <c r="C425" s="43" t="s">
        <v>2452</v>
      </c>
      <c r="D425" s="43" t="s">
        <v>1161</v>
      </c>
      <c r="E425" s="43"/>
      <c r="F425" s="45" t="s">
        <v>374</v>
      </c>
      <c r="G425" s="9" t="n">
        <v>12</v>
      </c>
      <c r="H425" s="12" t="n">
        <f aca="false">'Engineering Cost'!H425*'Engineering Assumptions'!$B$6</f>
        <v>687600</v>
      </c>
      <c r="I425" s="12" t="n">
        <f aca="false">IF('Engineering Cost'!I425=0,0,MAX('Engineering Cost'!I425*'Engineering Assumptions'!$B$6,'Engineering Assumptions'!$B$9))</f>
        <v>78000</v>
      </c>
      <c r="J425" s="12" t="n">
        <f aca="false">'Engineering Cost'!J425*'Engineering Assumptions'!$B$6</f>
        <v>70680</v>
      </c>
      <c r="K425" s="12" t="n">
        <f aca="false">'Engineering Cost'!K425*'Engineering Assumptions'!$B$6</f>
        <v>84240</v>
      </c>
      <c r="L425" s="13" t="n">
        <f aca="false">SUM(H425:K425)</f>
        <v>920520</v>
      </c>
      <c r="M425" s="13" t="n">
        <f aca="false">L425*(1+'Engineering Assumptions'!$B$10)</f>
        <v>1058598</v>
      </c>
    </row>
    <row r="426" customFormat="false" ht="15" hidden="false" customHeight="true" outlineLevel="0" collapsed="false">
      <c r="A426" s="9" t="n">
        <v>398</v>
      </c>
      <c r="B426" s="43" t="s">
        <v>139</v>
      </c>
      <c r="C426" s="43" t="s">
        <v>2453</v>
      </c>
      <c r="D426" s="43" t="s">
        <v>1163</v>
      </c>
      <c r="E426" s="43"/>
      <c r="F426" s="45" t="s">
        <v>374</v>
      </c>
      <c r="G426" s="9" t="n">
        <v>12</v>
      </c>
      <c r="H426" s="12" t="n">
        <f aca="false">'Engineering Cost'!H426*'Engineering Assumptions'!$B$6</f>
        <v>378180</v>
      </c>
      <c r="I426" s="12" t="n">
        <f aca="false">IF('Engineering Cost'!I426=0,0,MAX('Engineering Cost'!I426*'Engineering Assumptions'!$B$6,'Engineering Assumptions'!$B$9))</f>
        <v>78000</v>
      </c>
      <c r="J426" s="12" t="n">
        <f aca="false">'Engineering Cost'!J426*'Engineering Assumptions'!$B$6</f>
        <v>38874</v>
      </c>
      <c r="K426" s="12" t="n">
        <f aca="false">'Engineering Cost'!K426*'Engineering Assumptions'!$B$6</f>
        <v>46332</v>
      </c>
      <c r="L426" s="13" t="n">
        <f aca="false">SUM(H426:K426)</f>
        <v>541386</v>
      </c>
      <c r="M426" s="13" t="n">
        <f aca="false">L426*(1+'Engineering Assumptions'!$B$10)</f>
        <v>622593.9</v>
      </c>
    </row>
    <row r="427" customFormat="false" ht="15" hidden="false" customHeight="true" outlineLevel="0" collapsed="false">
      <c r="A427" s="9" t="n">
        <v>399</v>
      </c>
      <c r="B427" s="43" t="s">
        <v>139</v>
      </c>
      <c r="C427" s="43" t="s">
        <v>2454</v>
      </c>
      <c r="D427" s="43" t="s">
        <v>1165</v>
      </c>
      <c r="E427" s="43"/>
      <c r="F427" s="45" t="s">
        <v>380</v>
      </c>
      <c r="G427" s="9" t="n">
        <v>13</v>
      </c>
      <c r="H427" s="12" t="n">
        <f aca="false">'Engineering Cost'!H427*'Engineering Assumptions'!$B$6</f>
        <v>584460</v>
      </c>
      <c r="I427" s="12" t="n">
        <f aca="false">IF('Engineering Cost'!I427=0,0,MAX('Engineering Cost'!I427*'Engineering Assumptions'!$B$6,'Engineering Assumptions'!$B$9))</f>
        <v>78000</v>
      </c>
      <c r="J427" s="12" t="n">
        <f aca="false">'Engineering Cost'!J427*'Engineering Assumptions'!$B$6</f>
        <v>60078</v>
      </c>
      <c r="K427" s="12" t="n">
        <f aca="false">'Engineering Cost'!K427*'Engineering Assumptions'!$B$6</f>
        <v>71604</v>
      </c>
      <c r="L427" s="13" t="n">
        <f aca="false">SUM(H427:K427)</f>
        <v>794142</v>
      </c>
      <c r="M427" s="13" t="n">
        <f aca="false">L427*(1+'Engineering Assumptions'!$B$10)</f>
        <v>913263.3</v>
      </c>
    </row>
    <row r="428" customFormat="false" ht="15" hidden="false" customHeight="true" outlineLevel="0" collapsed="false">
      <c r="A428" s="9" t="n">
        <v>400</v>
      </c>
      <c r="B428" s="43" t="s">
        <v>139</v>
      </c>
      <c r="C428" s="43" t="s">
        <v>2455</v>
      </c>
      <c r="D428" s="43" t="s">
        <v>1169</v>
      </c>
      <c r="E428" s="43"/>
      <c r="F428" s="45" t="s">
        <v>380</v>
      </c>
      <c r="G428" s="9" t="n">
        <v>13</v>
      </c>
      <c r="H428" s="12" t="n">
        <f aca="false">'Engineering Cost'!H428*'Engineering Assumptions'!$B$6</f>
        <v>378180</v>
      </c>
      <c r="I428" s="12" t="n">
        <f aca="false">IF('Engineering Cost'!I428=0,0,MAX('Engineering Cost'!I428*'Engineering Assumptions'!$B$6,'Engineering Assumptions'!$B$9))</f>
        <v>78000</v>
      </c>
      <c r="J428" s="12" t="n">
        <f aca="false">'Engineering Cost'!J428*'Engineering Assumptions'!$B$6</f>
        <v>38874</v>
      </c>
      <c r="K428" s="12" t="n">
        <f aca="false">'Engineering Cost'!K428*'Engineering Assumptions'!$B$6</f>
        <v>46332</v>
      </c>
      <c r="L428" s="13" t="n">
        <f aca="false">SUM(H428:K428)</f>
        <v>541386</v>
      </c>
      <c r="M428" s="13" t="n">
        <f aca="false">L428*(1+'Engineering Assumptions'!$B$10)</f>
        <v>622593.9</v>
      </c>
    </row>
    <row r="429" customFormat="false" ht="15" hidden="false" customHeight="true" outlineLevel="0" collapsed="false">
      <c r="A429" s="9" t="n">
        <v>401</v>
      </c>
      <c r="B429" s="43" t="s">
        <v>139</v>
      </c>
      <c r="C429" s="43" t="s">
        <v>2456</v>
      </c>
      <c r="D429" s="43" t="s">
        <v>1171</v>
      </c>
      <c r="E429" s="43"/>
      <c r="F429" s="45" t="s">
        <v>380</v>
      </c>
      <c r="G429" s="9" t="n">
        <v>13</v>
      </c>
      <c r="H429" s="12" t="n">
        <f aca="false">'Engineering Cost'!H429*'Engineering Assumptions'!$B$6</f>
        <v>721980</v>
      </c>
      <c r="I429" s="12" t="n">
        <f aca="false">IF('Engineering Cost'!I429=0,0,MAX('Engineering Cost'!I429*'Engineering Assumptions'!$B$6,'Engineering Assumptions'!$B$9))</f>
        <v>78000</v>
      </c>
      <c r="J429" s="12" t="n">
        <f aca="false">'Engineering Cost'!J429*'Engineering Assumptions'!$B$6</f>
        <v>74214</v>
      </c>
      <c r="K429" s="12" t="n">
        <f aca="false">'Engineering Cost'!K429*'Engineering Assumptions'!$B$6</f>
        <v>88452</v>
      </c>
      <c r="L429" s="13" t="n">
        <f aca="false">SUM(H429:K429)</f>
        <v>962646</v>
      </c>
      <c r="M429" s="13" t="n">
        <f aca="false">L429*(1+'Engineering Assumptions'!$B$10)</f>
        <v>1107042.9</v>
      </c>
    </row>
    <row r="430" customFormat="false" ht="15" hidden="false" customHeight="true" outlineLevel="0" collapsed="false">
      <c r="A430" s="9" t="n">
        <v>402</v>
      </c>
      <c r="B430" s="43" t="s">
        <v>139</v>
      </c>
      <c r="C430" s="43" t="s">
        <v>2457</v>
      </c>
      <c r="D430" s="43" t="s">
        <v>1174</v>
      </c>
      <c r="E430" s="43"/>
      <c r="F430" s="45" t="s">
        <v>310</v>
      </c>
      <c r="G430" s="9" t="n">
        <v>14</v>
      </c>
      <c r="H430" s="12" t="n">
        <f aca="false">'Engineering Cost'!H430*'Engineering Assumptions'!$B$6</f>
        <v>584460</v>
      </c>
      <c r="I430" s="12" t="n">
        <f aca="false">IF('Engineering Cost'!I430=0,0,MAX('Engineering Cost'!I430*'Engineering Assumptions'!$B$6,'Engineering Assumptions'!$B$9))</f>
        <v>78000</v>
      </c>
      <c r="J430" s="12" t="n">
        <f aca="false">'Engineering Cost'!J430*'Engineering Assumptions'!$B$6</f>
        <v>60078</v>
      </c>
      <c r="K430" s="12" t="n">
        <f aca="false">'Engineering Cost'!K430*'Engineering Assumptions'!$B$6</f>
        <v>71604</v>
      </c>
      <c r="L430" s="13" t="n">
        <f aca="false">SUM(H430:K430)</f>
        <v>794142</v>
      </c>
      <c r="M430" s="13" t="n">
        <f aca="false">L430*(1+'Engineering Assumptions'!$B$10)</f>
        <v>913263.3</v>
      </c>
    </row>
    <row r="431" customFormat="false" ht="15" hidden="false" customHeight="true" outlineLevel="0" collapsed="false">
      <c r="A431" s="9" t="n">
        <v>403</v>
      </c>
      <c r="B431" s="43" t="s">
        <v>139</v>
      </c>
      <c r="C431" s="43" t="s">
        <v>2458</v>
      </c>
      <c r="D431" s="43" t="s">
        <v>1176</v>
      </c>
      <c r="E431" s="43"/>
      <c r="F431" s="45" t="s">
        <v>310</v>
      </c>
      <c r="G431" s="9" t="n">
        <v>14</v>
      </c>
      <c r="H431" s="12" t="n">
        <f aca="false">'Engineering Cost'!H431*'Engineering Assumptions'!$B$6</f>
        <v>378180</v>
      </c>
      <c r="I431" s="12" t="n">
        <f aca="false">IF('Engineering Cost'!I431=0,0,MAX('Engineering Cost'!I431*'Engineering Assumptions'!$B$6,'Engineering Assumptions'!$B$9))</f>
        <v>78000</v>
      </c>
      <c r="J431" s="12" t="n">
        <f aca="false">'Engineering Cost'!J431*'Engineering Assumptions'!$B$6</f>
        <v>38874</v>
      </c>
      <c r="K431" s="12" t="n">
        <f aca="false">'Engineering Cost'!K431*'Engineering Assumptions'!$B$6</f>
        <v>46332</v>
      </c>
      <c r="L431" s="13" t="n">
        <f aca="false">SUM(H431:K431)</f>
        <v>541386</v>
      </c>
      <c r="M431" s="13" t="n">
        <f aca="false">L431*(1+'Engineering Assumptions'!$B$10)</f>
        <v>622593.9</v>
      </c>
    </row>
    <row r="432" customFormat="false" ht="15" hidden="false" customHeight="true" outlineLevel="0" collapsed="false">
      <c r="A432" s="9" t="n">
        <v>404</v>
      </c>
      <c r="B432" s="43" t="s">
        <v>139</v>
      </c>
      <c r="C432" s="43" t="s">
        <v>2459</v>
      </c>
      <c r="D432" s="43" t="s">
        <v>1178</v>
      </c>
      <c r="E432" s="43"/>
      <c r="F432" s="45" t="s">
        <v>310</v>
      </c>
      <c r="G432" s="9" t="n">
        <v>14</v>
      </c>
      <c r="H432" s="12" t="n">
        <f aca="false">'Engineering Cost'!H432*'Engineering Assumptions'!$B$6</f>
        <v>481320</v>
      </c>
      <c r="I432" s="12" t="n">
        <f aca="false">IF('Engineering Cost'!I432=0,0,MAX('Engineering Cost'!I432*'Engineering Assumptions'!$B$6,'Engineering Assumptions'!$B$9))</f>
        <v>78000</v>
      </c>
      <c r="J432" s="12" t="n">
        <f aca="false">'Engineering Cost'!J432*'Engineering Assumptions'!$B$6</f>
        <v>49476</v>
      </c>
      <c r="K432" s="12" t="n">
        <f aca="false">'Engineering Cost'!K432*'Engineering Assumptions'!$B$6</f>
        <v>58968</v>
      </c>
      <c r="L432" s="13" t="n">
        <f aca="false">SUM(H432:K432)</f>
        <v>667764</v>
      </c>
      <c r="M432" s="13" t="n">
        <f aca="false">L432*(1+'Engineering Assumptions'!$B$10)</f>
        <v>767928.6</v>
      </c>
    </row>
    <row r="433" customFormat="false" ht="15" hidden="false" customHeight="true" outlineLevel="0" collapsed="false">
      <c r="A433" s="9" t="n">
        <v>405</v>
      </c>
      <c r="B433" s="43" t="s">
        <v>139</v>
      </c>
      <c r="C433" s="43" t="s">
        <v>2460</v>
      </c>
      <c r="D433" s="43" t="s">
        <v>1180</v>
      </c>
      <c r="E433" s="43"/>
      <c r="F433" s="45" t="s">
        <v>748</v>
      </c>
      <c r="G433" s="9" t="n">
        <v>15</v>
      </c>
      <c r="H433" s="12" t="n">
        <f aca="false">'Engineering Cost'!H433*'Engineering Assumptions'!$B$6</f>
        <v>584460</v>
      </c>
      <c r="I433" s="12" t="n">
        <f aca="false">IF('Engineering Cost'!I433=0,0,MAX('Engineering Cost'!I433*'Engineering Assumptions'!$B$6,'Engineering Assumptions'!$B$9))</f>
        <v>78000</v>
      </c>
      <c r="J433" s="12" t="n">
        <f aca="false">'Engineering Cost'!J433*'Engineering Assumptions'!$B$6</f>
        <v>60078</v>
      </c>
      <c r="K433" s="12" t="n">
        <f aca="false">'Engineering Cost'!K433*'Engineering Assumptions'!$B$6</f>
        <v>71604</v>
      </c>
      <c r="L433" s="13" t="n">
        <f aca="false">SUM(H433:K433)</f>
        <v>794142</v>
      </c>
      <c r="M433" s="13" t="n">
        <f aca="false">L433*(1+'Engineering Assumptions'!$B$10)</f>
        <v>913263.3</v>
      </c>
    </row>
    <row r="434" customFormat="false" ht="15" hidden="false" customHeight="true" outlineLevel="0" collapsed="false">
      <c r="A434" s="9" t="n">
        <v>406</v>
      </c>
      <c r="B434" s="43" t="s">
        <v>139</v>
      </c>
      <c r="C434" s="43" t="s">
        <v>2461</v>
      </c>
      <c r="D434" s="43" t="s">
        <v>1183</v>
      </c>
      <c r="E434" s="43"/>
      <c r="F434" s="45" t="s">
        <v>389</v>
      </c>
      <c r="G434" s="9" t="n">
        <v>16</v>
      </c>
      <c r="H434" s="12" t="n">
        <f aca="false">'Engineering Cost'!H434*'Engineering Assumptions'!$B$6</f>
        <v>687600</v>
      </c>
      <c r="I434" s="12" t="n">
        <f aca="false">IF('Engineering Cost'!I434=0,0,MAX('Engineering Cost'!I434*'Engineering Assumptions'!$B$6,'Engineering Assumptions'!$B$9))</f>
        <v>78000</v>
      </c>
      <c r="J434" s="12" t="n">
        <f aca="false">'Engineering Cost'!J434*'Engineering Assumptions'!$B$6</f>
        <v>88920</v>
      </c>
      <c r="K434" s="12" t="n">
        <f aca="false">'Engineering Cost'!K434*'Engineering Assumptions'!$B$6</f>
        <v>131040</v>
      </c>
      <c r="L434" s="13" t="n">
        <f aca="false">SUM(H434:K434)</f>
        <v>985560</v>
      </c>
      <c r="M434" s="13" t="n">
        <f aca="false">L434*(1+'Engineering Assumptions'!$B$10)</f>
        <v>1133394</v>
      </c>
    </row>
    <row r="435" customFormat="false" ht="15" hidden="false" customHeight="true" outlineLevel="0" collapsed="false">
      <c r="A435" s="9" t="n">
        <v>407</v>
      </c>
      <c r="B435" s="43" t="s">
        <v>139</v>
      </c>
      <c r="C435" s="43" t="s">
        <v>2460</v>
      </c>
      <c r="D435" s="43" t="s">
        <v>1185</v>
      </c>
      <c r="E435" s="43"/>
      <c r="F435" s="45" t="s">
        <v>389</v>
      </c>
      <c r="G435" s="9" t="n">
        <v>16</v>
      </c>
      <c r="H435" s="12" t="n">
        <f aca="false">'Engineering Cost'!H435*'Engineering Assumptions'!$B$6</f>
        <v>584460</v>
      </c>
      <c r="I435" s="12" t="n">
        <f aca="false">IF('Engineering Cost'!I435=0,0,MAX('Engineering Cost'!I435*'Engineering Assumptions'!$B$6,'Engineering Assumptions'!$B$9))</f>
        <v>78000</v>
      </c>
      <c r="J435" s="12" t="n">
        <f aca="false">'Engineering Cost'!J435*'Engineering Assumptions'!$B$6</f>
        <v>75582</v>
      </c>
      <c r="K435" s="12" t="n">
        <f aca="false">'Engineering Cost'!K435*'Engineering Assumptions'!$B$6</f>
        <v>111384</v>
      </c>
      <c r="L435" s="13" t="n">
        <f aca="false">SUM(H435:K435)</f>
        <v>849426</v>
      </c>
      <c r="M435" s="13" t="n">
        <f aca="false">L435*(1+'Engineering Assumptions'!$B$10)</f>
        <v>976839.9</v>
      </c>
    </row>
    <row r="436" customFormat="false" ht="15" hidden="false" customHeight="true" outlineLevel="0" collapsed="false">
      <c r="A436" s="9" t="n">
        <v>408</v>
      </c>
      <c r="B436" s="43" t="s">
        <v>139</v>
      </c>
      <c r="C436" s="43" t="s">
        <v>2462</v>
      </c>
      <c r="D436" s="43" t="s">
        <v>1186</v>
      </c>
      <c r="E436" s="43"/>
      <c r="F436" s="45" t="s">
        <v>389</v>
      </c>
      <c r="G436" s="9" t="n">
        <v>16</v>
      </c>
      <c r="H436" s="12" t="n">
        <f aca="false">'Engineering Cost'!H436*'Engineering Assumptions'!$B$6</f>
        <v>378180</v>
      </c>
      <c r="I436" s="12" t="n">
        <f aca="false">IF('Engineering Cost'!I436=0,0,MAX('Engineering Cost'!I436*'Engineering Assumptions'!$B$6,'Engineering Assumptions'!$B$9))</f>
        <v>78000</v>
      </c>
      <c r="J436" s="12" t="n">
        <f aca="false">'Engineering Cost'!J436*'Engineering Assumptions'!$B$6</f>
        <v>48906</v>
      </c>
      <c r="K436" s="12" t="n">
        <f aca="false">'Engineering Cost'!K436*'Engineering Assumptions'!$B$6</f>
        <v>72072</v>
      </c>
      <c r="L436" s="13" t="n">
        <f aca="false">SUM(H436:K436)</f>
        <v>577158</v>
      </c>
      <c r="M436" s="13" t="n">
        <f aca="false">L436*(1+'Engineering Assumptions'!$B$10)</f>
        <v>663731.7</v>
      </c>
    </row>
    <row r="437" customFormat="false" ht="15" hidden="false" customHeight="true" outlineLevel="0" collapsed="false">
      <c r="A437" s="9" t="n">
        <v>409</v>
      </c>
      <c r="B437" s="43" t="s">
        <v>139</v>
      </c>
      <c r="C437" s="43" t="s">
        <v>2463</v>
      </c>
      <c r="D437" s="43" t="s">
        <v>1188</v>
      </c>
      <c r="E437" s="43"/>
      <c r="F437" s="45" t="s">
        <v>392</v>
      </c>
      <c r="G437" s="9" t="n">
        <v>17</v>
      </c>
      <c r="H437" s="12" t="n">
        <f aca="false">'Engineering Cost'!H437*'Engineering Assumptions'!$B$6</f>
        <v>481320</v>
      </c>
      <c r="I437" s="12" t="n">
        <f aca="false">IF('Engineering Cost'!I437=0,0,MAX('Engineering Cost'!I437*'Engineering Assumptions'!$B$6,'Engineering Assumptions'!$B$9))</f>
        <v>78000</v>
      </c>
      <c r="J437" s="12" t="n">
        <f aca="false">'Engineering Cost'!J437*'Engineering Assumptions'!$B$6</f>
        <v>62244</v>
      </c>
      <c r="K437" s="12" t="n">
        <f aca="false">'Engineering Cost'!K437*'Engineering Assumptions'!$B$6</f>
        <v>91728</v>
      </c>
      <c r="L437" s="13" t="n">
        <f aca="false">SUM(H437:K437)</f>
        <v>713292</v>
      </c>
      <c r="M437" s="13" t="n">
        <f aca="false">L437*(1+'Engineering Assumptions'!$B$10)</f>
        <v>820285.8</v>
      </c>
    </row>
    <row r="438" customFormat="false" ht="15" hidden="false" customHeight="true" outlineLevel="0" collapsed="false">
      <c r="A438" s="9" t="n">
        <v>410</v>
      </c>
      <c r="B438" s="43" t="s">
        <v>139</v>
      </c>
      <c r="C438" s="43" t="s">
        <v>2464</v>
      </c>
      <c r="D438" s="43" t="s">
        <v>1191</v>
      </c>
      <c r="E438" s="43"/>
      <c r="F438" s="45" t="s">
        <v>392</v>
      </c>
      <c r="G438" s="9" t="n">
        <v>17</v>
      </c>
      <c r="H438" s="12" t="n">
        <f aca="false">'Engineering Cost'!H438*'Engineering Assumptions'!$B$6</f>
        <v>378180</v>
      </c>
      <c r="I438" s="12" t="n">
        <f aca="false">IF('Engineering Cost'!I438=0,0,MAX('Engineering Cost'!I438*'Engineering Assumptions'!$B$6,'Engineering Assumptions'!$B$9))</f>
        <v>78000</v>
      </c>
      <c r="J438" s="12" t="n">
        <f aca="false">'Engineering Cost'!J438*'Engineering Assumptions'!$B$6</f>
        <v>48906</v>
      </c>
      <c r="K438" s="12" t="n">
        <f aca="false">'Engineering Cost'!K438*'Engineering Assumptions'!$B$6</f>
        <v>72072</v>
      </c>
      <c r="L438" s="13" t="n">
        <f aca="false">SUM(H438:K438)</f>
        <v>577158</v>
      </c>
      <c r="M438" s="13" t="n">
        <f aca="false">L438*(1+'Engineering Assumptions'!$B$10)</f>
        <v>663731.7</v>
      </c>
    </row>
    <row r="439" customFormat="false" ht="15" hidden="false" customHeight="true" outlineLevel="0" collapsed="false">
      <c r="A439" s="9" t="n">
        <v>411</v>
      </c>
      <c r="B439" s="43" t="s">
        <v>139</v>
      </c>
      <c r="C439" s="43" t="s">
        <v>2465</v>
      </c>
      <c r="D439" s="43" t="s">
        <v>1194</v>
      </c>
      <c r="E439" s="43"/>
      <c r="F439" s="45" t="s">
        <v>392</v>
      </c>
      <c r="G439" s="9" t="n">
        <v>17</v>
      </c>
      <c r="H439" s="12" t="n">
        <f aca="false">'Engineering Cost'!H439*'Engineering Assumptions'!$B$6</f>
        <v>378180</v>
      </c>
      <c r="I439" s="12" t="n">
        <f aca="false">IF('Engineering Cost'!I439=0,0,MAX('Engineering Cost'!I439*'Engineering Assumptions'!$B$6,'Engineering Assumptions'!$B$9))</f>
        <v>78000</v>
      </c>
      <c r="J439" s="12" t="n">
        <f aca="false">'Engineering Cost'!J439*'Engineering Assumptions'!$B$6</f>
        <v>48906</v>
      </c>
      <c r="K439" s="12" t="n">
        <f aca="false">'Engineering Cost'!K439*'Engineering Assumptions'!$B$6</f>
        <v>72072</v>
      </c>
      <c r="L439" s="13" t="n">
        <f aca="false">SUM(H439:K439)</f>
        <v>577158</v>
      </c>
      <c r="M439" s="13" t="n">
        <f aca="false">L439*(1+'Engineering Assumptions'!$B$10)</f>
        <v>663731.7</v>
      </c>
    </row>
    <row r="440" customFormat="false" ht="15" hidden="false" customHeight="true" outlineLevel="0" collapsed="false">
      <c r="A440" s="9" t="n">
        <v>412</v>
      </c>
      <c r="B440" s="43" t="s">
        <v>139</v>
      </c>
      <c r="C440" s="43" t="s">
        <v>2466</v>
      </c>
      <c r="D440" s="43" t="s">
        <v>1196</v>
      </c>
      <c r="E440" s="43"/>
      <c r="F440" s="45" t="s">
        <v>392</v>
      </c>
      <c r="G440" s="9" t="n">
        <v>17</v>
      </c>
      <c r="H440" s="12" t="n">
        <f aca="false">'Engineering Cost'!H440*'Engineering Assumptions'!$B$6</f>
        <v>687600</v>
      </c>
      <c r="I440" s="12" t="n">
        <f aca="false">IF('Engineering Cost'!I440=0,0,MAX('Engineering Cost'!I440*'Engineering Assumptions'!$B$6,'Engineering Assumptions'!$B$9))</f>
        <v>78000</v>
      </c>
      <c r="J440" s="12" t="n">
        <f aca="false">'Engineering Cost'!J440*'Engineering Assumptions'!$B$6</f>
        <v>88920</v>
      </c>
      <c r="K440" s="12" t="n">
        <f aca="false">'Engineering Cost'!K440*'Engineering Assumptions'!$B$6</f>
        <v>131040</v>
      </c>
      <c r="L440" s="13" t="n">
        <f aca="false">SUM(H440:K440)</f>
        <v>985560</v>
      </c>
      <c r="M440" s="13" t="n">
        <f aca="false">L440*(1+'Engineering Assumptions'!$B$10)</f>
        <v>1133394</v>
      </c>
    </row>
    <row r="441" customFormat="false" ht="15" hidden="false" customHeight="true" outlineLevel="0" collapsed="false">
      <c r="A441" s="9" t="n">
        <v>413</v>
      </c>
      <c r="B441" s="43" t="s">
        <v>139</v>
      </c>
      <c r="C441" s="43" t="s">
        <v>2467</v>
      </c>
      <c r="D441" s="43" t="s">
        <v>1198</v>
      </c>
      <c r="E441" s="43"/>
      <c r="F441" s="45" t="s">
        <v>392</v>
      </c>
      <c r="G441" s="9" t="n">
        <v>17</v>
      </c>
      <c r="H441" s="12" t="n">
        <f aca="false">'Engineering Cost'!H441*'Engineering Assumptions'!$B$6</f>
        <v>378180</v>
      </c>
      <c r="I441" s="12" t="n">
        <f aca="false">IF('Engineering Cost'!I441=0,0,MAX('Engineering Cost'!I441*'Engineering Assumptions'!$B$6,'Engineering Assumptions'!$B$9))</f>
        <v>78000</v>
      </c>
      <c r="J441" s="12" t="n">
        <f aca="false">'Engineering Cost'!J441*'Engineering Assumptions'!$B$6</f>
        <v>48906</v>
      </c>
      <c r="K441" s="12" t="n">
        <f aca="false">'Engineering Cost'!K441*'Engineering Assumptions'!$B$6</f>
        <v>72072</v>
      </c>
      <c r="L441" s="13" t="n">
        <f aca="false">SUM(H441:K441)</f>
        <v>577158</v>
      </c>
      <c r="M441" s="13" t="n">
        <f aca="false">L441*(1+'Engineering Assumptions'!$B$10)</f>
        <v>663731.7</v>
      </c>
    </row>
    <row r="442" customFormat="false" ht="15" hidden="false" customHeight="true" outlineLevel="0" collapsed="false">
      <c r="A442" s="9" t="n">
        <v>414</v>
      </c>
      <c r="B442" s="43" t="s">
        <v>139</v>
      </c>
      <c r="C442" s="43" t="s">
        <v>2313</v>
      </c>
      <c r="D442" s="43" t="s">
        <v>1200</v>
      </c>
      <c r="E442" s="43"/>
      <c r="F442" s="45" t="s">
        <v>472</v>
      </c>
      <c r="G442" s="9" t="n">
        <v>30</v>
      </c>
      <c r="H442" s="12" t="n">
        <f aca="false">'Engineering Cost'!H442*'Engineering Assumptions'!$B$6</f>
        <v>687600</v>
      </c>
      <c r="I442" s="12" t="n">
        <f aca="false">IF('Engineering Cost'!I442=0,0,MAX('Engineering Cost'!I442*'Engineering Assumptions'!$B$6,'Engineering Assumptions'!$B$9))</f>
        <v>78000</v>
      </c>
      <c r="J442" s="12" t="n">
        <f aca="false">'Engineering Cost'!J442*'Engineering Assumptions'!$B$6</f>
        <v>109440</v>
      </c>
      <c r="K442" s="12" t="n">
        <f aca="false">'Engineering Cost'!K442*'Engineering Assumptions'!$B$6</f>
        <v>187200</v>
      </c>
      <c r="L442" s="13" t="n">
        <f aca="false">SUM(H442:K442)</f>
        <v>1062240</v>
      </c>
      <c r="M442" s="13" t="n">
        <f aca="false">L442*(1+'Engineering Assumptions'!$B$10)</f>
        <v>1221576</v>
      </c>
    </row>
    <row r="443" customFormat="false" ht="15" hidden="false" customHeight="true" outlineLevel="0" collapsed="false">
      <c r="A443" s="9" t="n">
        <v>415</v>
      </c>
      <c r="B443" s="43" t="s">
        <v>139</v>
      </c>
      <c r="C443" s="43" t="s">
        <v>2468</v>
      </c>
      <c r="D443" s="43" t="s">
        <v>1143</v>
      </c>
      <c r="E443" s="43" t="n">
        <v>14160</v>
      </c>
      <c r="F443" s="45" t="s">
        <v>472</v>
      </c>
      <c r="G443" s="9" t="n">
        <v>30</v>
      </c>
      <c r="H443" s="12" t="n">
        <f aca="false">'Engineering Cost'!H443*'Engineering Assumptions'!$B$6</f>
        <v>893880</v>
      </c>
      <c r="I443" s="12" t="n">
        <f aca="false">IF('Engineering Cost'!I443=0,0,MAX('Engineering Cost'!I443*'Engineering Assumptions'!$B$6,'Engineering Assumptions'!$B$9))</f>
        <v>78000</v>
      </c>
      <c r="J443" s="12" t="n">
        <f aca="false">'Engineering Cost'!J443*'Engineering Assumptions'!$B$6</f>
        <v>142272</v>
      </c>
      <c r="K443" s="12" t="n">
        <f aca="false">'Engineering Cost'!K443*'Engineering Assumptions'!$B$6</f>
        <v>243360</v>
      </c>
      <c r="L443" s="13" t="n">
        <f aca="false">SUM(H443:K443)</f>
        <v>1357512</v>
      </c>
      <c r="M443" s="13" t="n">
        <f aca="false">L443*(1+'Engineering Assumptions'!$B$10)</f>
        <v>1561138.8</v>
      </c>
    </row>
    <row r="444" customFormat="false" ht="15" hidden="false" customHeight="true" outlineLevel="0" collapsed="false">
      <c r="A444" s="9" t="n">
        <v>416</v>
      </c>
      <c r="B444" s="43" t="s">
        <v>139</v>
      </c>
      <c r="C444" s="43" t="s">
        <v>2469</v>
      </c>
      <c r="D444" s="43" t="s">
        <v>1146</v>
      </c>
      <c r="E444" s="43"/>
      <c r="F444" s="45" t="s">
        <v>472</v>
      </c>
      <c r="G444" s="9" t="n">
        <v>30</v>
      </c>
      <c r="H444" s="12" t="n">
        <f aca="false">'Engineering Cost'!H444*'Engineering Assumptions'!$B$6</f>
        <v>446940</v>
      </c>
      <c r="I444" s="12" t="n">
        <f aca="false">IF('Engineering Cost'!I444=0,0,MAX('Engineering Cost'!I444*'Engineering Assumptions'!$B$6,'Engineering Assumptions'!$B$9))</f>
        <v>78000</v>
      </c>
      <c r="J444" s="12" t="n">
        <f aca="false">'Engineering Cost'!J444*'Engineering Assumptions'!$B$6</f>
        <v>71136</v>
      </c>
      <c r="K444" s="12" t="n">
        <f aca="false">'Engineering Cost'!K444*'Engineering Assumptions'!$B$6</f>
        <v>121680</v>
      </c>
      <c r="L444" s="13" t="n">
        <f aca="false">SUM(H444:K444)</f>
        <v>717756</v>
      </c>
      <c r="M444" s="13" t="n">
        <f aca="false">L444*(1+'Engineering Assumptions'!$B$10)</f>
        <v>825419.4</v>
      </c>
    </row>
    <row r="445" customFormat="false" ht="15" hidden="false" customHeight="true" outlineLevel="0" collapsed="false">
      <c r="A445" s="9" t="n">
        <v>417</v>
      </c>
      <c r="B445" s="43" t="s">
        <v>139</v>
      </c>
      <c r="C445" s="43" t="s">
        <v>2470</v>
      </c>
      <c r="D445" s="43" t="s">
        <v>1206</v>
      </c>
      <c r="E445" s="43"/>
      <c r="F445" s="45" t="s">
        <v>472</v>
      </c>
      <c r="G445" s="9" t="n">
        <v>30</v>
      </c>
      <c r="H445" s="12" t="n">
        <f aca="false">'Engineering Cost'!H445*'Engineering Assumptions'!$B$6</f>
        <v>756360</v>
      </c>
      <c r="I445" s="12" t="n">
        <f aca="false">IF('Engineering Cost'!I445=0,0,MAX('Engineering Cost'!I445*'Engineering Assumptions'!$B$6,'Engineering Assumptions'!$B$9))</f>
        <v>78000</v>
      </c>
      <c r="J445" s="12" t="n">
        <f aca="false">'Engineering Cost'!J445*'Engineering Assumptions'!$B$6</f>
        <v>120384</v>
      </c>
      <c r="K445" s="12" t="n">
        <f aca="false">'Engineering Cost'!K445*'Engineering Assumptions'!$B$6</f>
        <v>205920</v>
      </c>
      <c r="L445" s="13" t="n">
        <f aca="false">SUM(H445:K445)</f>
        <v>1160664</v>
      </c>
      <c r="M445" s="13" t="n">
        <f aca="false">L445*(1+'Engineering Assumptions'!$B$10)</f>
        <v>1334763.6</v>
      </c>
    </row>
    <row r="446" customFormat="false" ht="15" hidden="false" customHeight="true" outlineLevel="0" collapsed="false">
      <c r="A446" s="9" t="n">
        <v>418</v>
      </c>
      <c r="B446" s="43" t="s">
        <v>139</v>
      </c>
      <c r="C446" s="43" t="s">
        <v>2471</v>
      </c>
      <c r="D446" s="43" t="s">
        <v>1209</v>
      </c>
      <c r="E446" s="43"/>
      <c r="F446" s="45" t="s">
        <v>472</v>
      </c>
      <c r="G446" s="9" t="n">
        <v>30</v>
      </c>
      <c r="H446" s="12" t="n">
        <f aca="false">'Engineering Cost'!H446*'Engineering Assumptions'!$B$6</f>
        <v>893880</v>
      </c>
      <c r="I446" s="12" t="n">
        <f aca="false">IF('Engineering Cost'!I446=0,0,MAX('Engineering Cost'!I446*'Engineering Assumptions'!$B$6,'Engineering Assumptions'!$B$9))</f>
        <v>78000</v>
      </c>
      <c r="J446" s="12" t="n">
        <f aca="false">'Engineering Cost'!J446*'Engineering Assumptions'!$B$6</f>
        <v>142272</v>
      </c>
      <c r="K446" s="12" t="n">
        <f aca="false">'Engineering Cost'!K446*'Engineering Assumptions'!$B$6</f>
        <v>243360</v>
      </c>
      <c r="L446" s="13" t="n">
        <f aca="false">SUM(H446:K446)</f>
        <v>1357512</v>
      </c>
      <c r="M446" s="13" t="n">
        <f aca="false">L446*(1+'Engineering Assumptions'!$B$10)</f>
        <v>1561138.8</v>
      </c>
    </row>
    <row r="447" customFormat="false" ht="15" hidden="false" customHeight="true" outlineLevel="0" collapsed="false">
      <c r="A447" s="9" t="n">
        <v>419</v>
      </c>
      <c r="B447" s="43" t="s">
        <v>139</v>
      </c>
      <c r="C447" s="43" t="s">
        <v>2472</v>
      </c>
      <c r="D447" s="43" t="s">
        <v>1211</v>
      </c>
      <c r="E447" s="43"/>
      <c r="F447" s="45" t="s">
        <v>472</v>
      </c>
      <c r="G447" s="9" t="n">
        <v>30</v>
      </c>
      <c r="H447" s="12" t="n">
        <f aca="false">'Engineering Cost'!H447*'Engineering Assumptions'!$B$6</f>
        <v>756360</v>
      </c>
      <c r="I447" s="12" t="n">
        <f aca="false">IF('Engineering Cost'!I447=0,0,MAX('Engineering Cost'!I447*'Engineering Assumptions'!$B$6,'Engineering Assumptions'!$B$9))</f>
        <v>78000</v>
      </c>
      <c r="J447" s="12" t="n">
        <f aca="false">'Engineering Cost'!J447*'Engineering Assumptions'!$B$6</f>
        <v>120384</v>
      </c>
      <c r="K447" s="12" t="n">
        <f aca="false">'Engineering Cost'!K447*'Engineering Assumptions'!$B$6</f>
        <v>205920</v>
      </c>
      <c r="L447" s="13" t="n">
        <f aca="false">SUM(H447:K447)</f>
        <v>1160664</v>
      </c>
      <c r="M447" s="13" t="n">
        <f aca="false">L447*(1+'Engineering Assumptions'!$B$10)</f>
        <v>1334763.6</v>
      </c>
    </row>
    <row r="448" customFormat="false" ht="15" hidden="false" customHeight="true" outlineLevel="0" collapsed="false">
      <c r="A448" s="9" t="n">
        <v>420</v>
      </c>
      <c r="B448" s="43" t="s">
        <v>139</v>
      </c>
      <c r="C448" s="43" t="s">
        <v>2473</v>
      </c>
      <c r="D448" s="43" t="s">
        <v>1213</v>
      </c>
      <c r="E448" s="43"/>
      <c r="F448" s="45" t="s">
        <v>472</v>
      </c>
      <c r="G448" s="9" t="n">
        <v>30</v>
      </c>
      <c r="H448" s="12" t="n">
        <f aca="false">'Engineering Cost'!H448*'Engineering Assumptions'!$B$6</f>
        <v>584460</v>
      </c>
      <c r="I448" s="12" t="n">
        <f aca="false">IF('Engineering Cost'!I448=0,0,MAX('Engineering Cost'!I448*'Engineering Assumptions'!$B$6,'Engineering Assumptions'!$B$9))</f>
        <v>78000</v>
      </c>
      <c r="J448" s="12" t="n">
        <f aca="false">'Engineering Cost'!J448*'Engineering Assumptions'!$B$6</f>
        <v>93024</v>
      </c>
      <c r="K448" s="12" t="n">
        <f aca="false">'Engineering Cost'!K448*'Engineering Assumptions'!$B$6</f>
        <v>159120</v>
      </c>
      <c r="L448" s="13" t="n">
        <f aca="false">SUM(H448:K448)</f>
        <v>914604</v>
      </c>
      <c r="M448" s="13" t="n">
        <f aca="false">L448*(1+'Engineering Assumptions'!$B$10)</f>
        <v>1051794.6</v>
      </c>
    </row>
    <row r="449" customFormat="false" ht="15" hidden="false" customHeight="true" outlineLevel="0" collapsed="false">
      <c r="A449" s="9" t="n">
        <v>421</v>
      </c>
      <c r="B449" s="43" t="s">
        <v>139</v>
      </c>
      <c r="C449" s="43" t="s">
        <v>2474</v>
      </c>
      <c r="D449" s="43" t="s">
        <v>1216</v>
      </c>
      <c r="E449" s="43"/>
      <c r="F449" s="45" t="s">
        <v>472</v>
      </c>
      <c r="G449" s="9" t="n">
        <v>30</v>
      </c>
      <c r="H449" s="12" t="n">
        <f aca="false">'Engineering Cost'!H449*'Engineering Assumptions'!$B$6</f>
        <v>721980</v>
      </c>
      <c r="I449" s="12" t="n">
        <f aca="false">IF('Engineering Cost'!I449=0,0,MAX('Engineering Cost'!I449*'Engineering Assumptions'!$B$6,'Engineering Assumptions'!$B$9))</f>
        <v>78000</v>
      </c>
      <c r="J449" s="12" t="n">
        <f aca="false">'Engineering Cost'!J449*'Engineering Assumptions'!$B$6</f>
        <v>114912</v>
      </c>
      <c r="K449" s="12" t="n">
        <f aca="false">'Engineering Cost'!K449*'Engineering Assumptions'!$B$6</f>
        <v>196560</v>
      </c>
      <c r="L449" s="13" t="n">
        <f aca="false">SUM(H449:K449)</f>
        <v>1111452</v>
      </c>
      <c r="M449" s="13" t="n">
        <f aca="false">L449*(1+'Engineering Assumptions'!$B$10)</f>
        <v>1278169.8</v>
      </c>
    </row>
    <row r="450" customFormat="false" ht="15" hidden="false" customHeight="true" outlineLevel="0" collapsed="false">
      <c r="A450" s="42" t="s">
        <v>1219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</row>
    <row r="451" customFormat="false" ht="15" hidden="false" customHeight="true" outlineLevel="0" collapsed="false">
      <c r="A451" s="9" t="n">
        <v>422</v>
      </c>
      <c r="B451" s="43" t="s">
        <v>141</v>
      </c>
      <c r="C451" s="43" t="s">
        <v>2475</v>
      </c>
      <c r="D451" s="43" t="s">
        <v>1220</v>
      </c>
      <c r="E451" s="43" t="s">
        <v>1222</v>
      </c>
      <c r="F451" s="45" t="s">
        <v>450</v>
      </c>
      <c r="G451" s="9" t="n">
        <v>8</v>
      </c>
      <c r="H451" s="12" t="n">
        <f aca="false">'Engineering Cost'!H451*'Engineering Assumptions'!$B$6</f>
        <v>160440</v>
      </c>
      <c r="I451" s="12" t="n">
        <f aca="false">IF('Engineering Cost'!I451=0,0,MAX('Engineering Cost'!I451*'Engineering Assumptions'!$B$6,'Engineering Assumptions'!$B$9))</f>
        <v>78000</v>
      </c>
      <c r="J451" s="12" t="n">
        <f aca="false">'Engineering Cost'!J451*'Engineering Assumptions'!$B$6</f>
        <v>18000</v>
      </c>
      <c r="K451" s="12" t="n">
        <f aca="false">'Engineering Cost'!K451*'Engineering Assumptions'!$B$6</f>
        <v>13500</v>
      </c>
      <c r="L451" s="13" t="n">
        <f aca="false">SUM(H451:K451)</f>
        <v>269940</v>
      </c>
      <c r="M451" s="13" t="n">
        <f aca="false">L451*(1+'Engineering Assumptions'!$B$10)</f>
        <v>310431</v>
      </c>
    </row>
    <row r="452" customFormat="false" ht="15" hidden="false" customHeight="true" outlineLevel="0" collapsed="false">
      <c r="A452" s="9" t="n">
        <v>423</v>
      </c>
      <c r="B452" s="43" t="s">
        <v>141</v>
      </c>
      <c r="C452" s="43" t="s">
        <v>2430</v>
      </c>
      <c r="D452" s="43" t="s">
        <v>1223</v>
      </c>
      <c r="E452" s="43" t="s">
        <v>1224</v>
      </c>
      <c r="F452" s="45" t="s">
        <v>748</v>
      </c>
      <c r="G452" s="9" t="n">
        <v>15</v>
      </c>
      <c r="H452" s="12" t="n">
        <f aca="false">'Engineering Cost'!H452*'Engineering Assumptions'!$B$6</f>
        <v>160440</v>
      </c>
      <c r="I452" s="12" t="n">
        <f aca="false">IF('Engineering Cost'!I452=0,0,MAX('Engineering Cost'!I452*'Engineering Assumptions'!$B$6,'Engineering Assumptions'!$B$9))</f>
        <v>78000</v>
      </c>
      <c r="J452" s="12" t="n">
        <f aca="false">'Engineering Cost'!J452*'Engineering Assumptions'!$B$6</f>
        <v>22320</v>
      </c>
      <c r="K452" s="12" t="n">
        <f aca="false">'Engineering Cost'!K452*'Engineering Assumptions'!$B$6</f>
        <v>24300</v>
      </c>
      <c r="L452" s="13" t="n">
        <f aca="false">SUM(H452:K452)</f>
        <v>285060</v>
      </c>
      <c r="M452" s="13" t="n">
        <f aca="false">L452*(1+'Engineering Assumptions'!$B$10)</f>
        <v>327819</v>
      </c>
    </row>
    <row r="453" customFormat="false" ht="15" hidden="false" customHeight="true" outlineLevel="0" collapsed="false">
      <c r="A453" s="9" t="n">
        <v>424</v>
      </c>
      <c r="B453" s="43" t="s">
        <v>141</v>
      </c>
      <c r="C453" s="43" t="s">
        <v>2476</v>
      </c>
      <c r="D453" s="43" t="s">
        <v>1225</v>
      </c>
      <c r="E453" s="43" t="s">
        <v>1091</v>
      </c>
      <c r="F453" s="45" t="s">
        <v>729</v>
      </c>
      <c r="G453" s="9" t="n">
        <v>21</v>
      </c>
      <c r="H453" s="12" t="n">
        <f aca="false">'Engineering Cost'!H453*'Engineering Assumptions'!$B$6</f>
        <v>160440</v>
      </c>
      <c r="I453" s="12" t="n">
        <f aca="false">IF('Engineering Cost'!I453=0,0,MAX('Engineering Cost'!I453*'Engineering Assumptions'!$B$6,'Engineering Assumptions'!$B$9))</f>
        <v>78000</v>
      </c>
      <c r="J453" s="12" t="n">
        <f aca="false">'Engineering Cost'!J453*'Engineering Assumptions'!$B$6</f>
        <v>34560</v>
      </c>
      <c r="K453" s="12" t="n">
        <f aca="false">'Engineering Cost'!K453*'Engineering Assumptions'!$B$6</f>
        <v>54000</v>
      </c>
      <c r="L453" s="13" t="n">
        <f aca="false">SUM(H453:K453)</f>
        <v>327000</v>
      </c>
      <c r="M453" s="13" t="n">
        <f aca="false">L453*(1+'Engineering Assumptions'!$B$10)</f>
        <v>376050</v>
      </c>
    </row>
    <row r="454" customFormat="false" ht="15" hidden="false" customHeight="true" outlineLevel="0" collapsed="false">
      <c r="A454" s="9" t="n">
        <v>425</v>
      </c>
      <c r="B454" s="43" t="s">
        <v>141</v>
      </c>
      <c r="C454" s="43" t="s">
        <v>2476</v>
      </c>
      <c r="D454" s="43" t="s">
        <v>1226</v>
      </c>
      <c r="E454" s="43" t="s">
        <v>1097</v>
      </c>
      <c r="F454" s="45" t="s">
        <v>423</v>
      </c>
      <c r="G454" s="9" t="n">
        <v>23</v>
      </c>
      <c r="H454" s="12" t="n">
        <f aca="false">'Engineering Cost'!H454*'Engineering Assumptions'!$B$6</f>
        <v>160440</v>
      </c>
      <c r="I454" s="12" t="n">
        <f aca="false">IF('Engineering Cost'!I454=0,0,MAX('Engineering Cost'!I454*'Engineering Assumptions'!$B$6,'Engineering Assumptions'!$B$9))</f>
        <v>78000</v>
      </c>
      <c r="J454" s="12" t="n">
        <f aca="false">'Engineering Cost'!J454*'Engineering Assumptions'!$B$6</f>
        <v>34560</v>
      </c>
      <c r="K454" s="12" t="n">
        <f aca="false">'Engineering Cost'!K454*'Engineering Assumptions'!$B$6</f>
        <v>54000</v>
      </c>
      <c r="L454" s="13" t="n">
        <f aca="false">SUM(H454:K454)</f>
        <v>327000</v>
      </c>
      <c r="M454" s="13" t="n">
        <f aca="false">L454*(1+'Engineering Assumptions'!$B$10)</f>
        <v>376050</v>
      </c>
    </row>
    <row r="455" customFormat="false" ht="15" hidden="false" customHeight="true" outlineLevel="0" collapsed="false">
      <c r="A455" s="9" t="n">
        <v>426</v>
      </c>
      <c r="B455" s="43" t="s">
        <v>141</v>
      </c>
      <c r="C455" s="43" t="s">
        <v>2477</v>
      </c>
      <c r="D455" s="43" t="s">
        <v>1227</v>
      </c>
      <c r="E455" s="43" t="s">
        <v>1229</v>
      </c>
      <c r="F455" s="45" t="s">
        <v>428</v>
      </c>
      <c r="G455" s="9" t="n">
        <v>26</v>
      </c>
      <c r="H455" s="12" t="n">
        <f aca="false">'Engineering Cost'!H455*'Engineering Assumptions'!$B$6</f>
        <v>160440</v>
      </c>
      <c r="I455" s="12" t="n">
        <f aca="false">IF('Engineering Cost'!I455=0,0,MAX('Engineering Cost'!I455*'Engineering Assumptions'!$B$6,'Engineering Assumptions'!$B$9))</f>
        <v>78000</v>
      </c>
      <c r="J455" s="12" t="n">
        <f aca="false">'Engineering Cost'!J455*'Engineering Assumptions'!$B$6</f>
        <v>34560</v>
      </c>
      <c r="K455" s="12" t="n">
        <f aca="false">'Engineering Cost'!K455*'Engineering Assumptions'!$B$6</f>
        <v>54000</v>
      </c>
      <c r="L455" s="13" t="n">
        <f aca="false">SUM(H455:K455)</f>
        <v>327000</v>
      </c>
      <c r="M455" s="13" t="n">
        <f aca="false">L455*(1+'Engineering Assumptions'!$B$10)</f>
        <v>376050</v>
      </c>
    </row>
    <row r="456" customFormat="false" ht="15" hidden="false" customHeight="true" outlineLevel="0" collapsed="false">
      <c r="A456" s="9" t="n">
        <v>427</v>
      </c>
      <c r="B456" s="43" t="s">
        <v>141</v>
      </c>
      <c r="C456" s="43" t="s">
        <v>2478</v>
      </c>
      <c r="D456" s="43" t="s">
        <v>1230</v>
      </c>
      <c r="E456" s="43" t="s">
        <v>1232</v>
      </c>
      <c r="F456" s="45" t="s">
        <v>829</v>
      </c>
      <c r="G456" s="9" t="n">
        <v>29</v>
      </c>
      <c r="H456" s="12" t="n">
        <f aca="false">'Engineering Cost'!H456*'Engineering Assumptions'!$B$6</f>
        <v>160440</v>
      </c>
      <c r="I456" s="12" t="n">
        <f aca="false">IF('Engineering Cost'!I456=0,0,MAX('Engineering Cost'!I456*'Engineering Assumptions'!$B$6,'Engineering Assumptions'!$B$9))</f>
        <v>78000</v>
      </c>
      <c r="J456" s="12" t="n">
        <f aca="false">'Engineering Cost'!J456*'Engineering Assumptions'!$B$6</f>
        <v>34560</v>
      </c>
      <c r="K456" s="12" t="n">
        <f aca="false">'Engineering Cost'!K456*'Engineering Assumptions'!$B$6</f>
        <v>54000</v>
      </c>
      <c r="L456" s="13" t="n">
        <f aca="false">SUM(H456:K456)</f>
        <v>327000</v>
      </c>
      <c r="M456" s="13" t="n">
        <f aca="false">L456*(1+'Engineering Assumptions'!$B$10)</f>
        <v>376050</v>
      </c>
    </row>
    <row r="457" customFormat="false" ht="15" hidden="false" customHeight="true" outlineLevel="0" collapsed="false">
      <c r="A457" s="9" t="n">
        <v>428</v>
      </c>
      <c r="B457" s="43" t="s">
        <v>141</v>
      </c>
      <c r="C457" s="43" t="s">
        <v>2479</v>
      </c>
      <c r="D457" s="43" t="s">
        <v>1233</v>
      </c>
      <c r="E457" s="43" t="s">
        <v>1235</v>
      </c>
      <c r="F457" s="45" t="s">
        <v>444</v>
      </c>
      <c r="G457" s="9" t="n">
        <v>35</v>
      </c>
      <c r="H457" s="12" t="n">
        <f aca="false">'Engineering Cost'!H457*'Engineering Assumptions'!$B$6</f>
        <v>160440</v>
      </c>
      <c r="I457" s="12" t="n">
        <f aca="false">IF('Engineering Cost'!I457=0,0,MAX('Engineering Cost'!I457*'Engineering Assumptions'!$B$6,'Engineering Assumptions'!$B$9))</f>
        <v>78000</v>
      </c>
      <c r="J457" s="12" t="n">
        <f aca="false">'Engineering Cost'!J457*'Engineering Assumptions'!$B$6</f>
        <v>34560</v>
      </c>
      <c r="K457" s="12" t="n">
        <f aca="false">'Engineering Cost'!K457*'Engineering Assumptions'!$B$6</f>
        <v>54000</v>
      </c>
      <c r="L457" s="13" t="n">
        <f aca="false">SUM(H457:K457)</f>
        <v>327000</v>
      </c>
      <c r="M457" s="13" t="n">
        <f aca="false">L457*(1+'Engineering Assumptions'!$B$10)</f>
        <v>376050</v>
      </c>
    </row>
    <row r="458" customFormat="false" ht="15" hidden="false" customHeight="true" outlineLevel="0" collapsed="false">
      <c r="A458" s="9" t="n">
        <v>429</v>
      </c>
      <c r="B458" s="43" t="s">
        <v>141</v>
      </c>
      <c r="C458" s="43" t="s">
        <v>2313</v>
      </c>
      <c r="D458" s="43" t="s">
        <v>1236</v>
      </c>
      <c r="E458" s="43"/>
      <c r="F458" s="45" t="s">
        <v>472</v>
      </c>
      <c r="G458" s="9" t="n">
        <v>30</v>
      </c>
      <c r="H458" s="12" t="n">
        <f aca="false">'Engineering Cost'!H458*'Engineering Assumptions'!$B$6</f>
        <v>160440</v>
      </c>
      <c r="I458" s="12" t="n">
        <f aca="false">IF('Engineering Cost'!I458=0,0,MAX('Engineering Cost'!I458*'Engineering Assumptions'!$B$6,'Engineering Assumptions'!$B$9))</f>
        <v>78000</v>
      </c>
      <c r="J458" s="12" t="n">
        <f aca="false">'Engineering Cost'!J458*'Engineering Assumptions'!$B$6</f>
        <v>34560</v>
      </c>
      <c r="K458" s="12" t="n">
        <f aca="false">'Engineering Cost'!K458*'Engineering Assumptions'!$B$6</f>
        <v>54000</v>
      </c>
      <c r="L458" s="13" t="n">
        <f aca="false">SUM(H458:K458)</f>
        <v>327000</v>
      </c>
      <c r="M458" s="13" t="n">
        <f aca="false">L458*(1+'Engineering Assumptions'!$B$10)</f>
        <v>376050</v>
      </c>
    </row>
    <row r="459" customFormat="false" ht="15" hidden="false" customHeight="true" outlineLevel="0" collapsed="false">
      <c r="A459" s="9" t="n">
        <v>430</v>
      </c>
      <c r="B459" s="43" t="s">
        <v>141</v>
      </c>
      <c r="C459" s="43" t="s">
        <v>2313</v>
      </c>
      <c r="D459" s="43" t="s">
        <v>1237</v>
      </c>
      <c r="E459" s="43" t="s">
        <v>1238</v>
      </c>
      <c r="F459" s="45" t="s">
        <v>472</v>
      </c>
      <c r="G459" s="9" t="n">
        <v>30</v>
      </c>
      <c r="H459" s="12" t="n">
        <f aca="false">'Engineering Cost'!H459*'Engineering Assumptions'!$B$6</f>
        <v>160440</v>
      </c>
      <c r="I459" s="12" t="n">
        <f aca="false">IF('Engineering Cost'!I459=0,0,MAX('Engineering Cost'!I459*'Engineering Assumptions'!$B$6,'Engineering Assumptions'!$B$9))</f>
        <v>78000</v>
      </c>
      <c r="J459" s="12" t="n">
        <f aca="false">'Engineering Cost'!J459*'Engineering Assumptions'!$B$6</f>
        <v>34560</v>
      </c>
      <c r="K459" s="12" t="n">
        <f aca="false">'Engineering Cost'!K459*'Engineering Assumptions'!$B$6</f>
        <v>54000</v>
      </c>
      <c r="L459" s="13" t="n">
        <f aca="false">SUM(H459:K459)</f>
        <v>327000</v>
      </c>
      <c r="M459" s="13" t="n">
        <f aca="false">L459*(1+'Engineering Assumptions'!$B$10)</f>
        <v>376050</v>
      </c>
    </row>
    <row r="460" customFormat="false" ht="15" hidden="false" customHeight="true" outlineLevel="0" collapsed="false">
      <c r="A460" s="9" t="n">
        <v>431</v>
      </c>
      <c r="B460" s="43" t="s">
        <v>141</v>
      </c>
      <c r="C460" s="43" t="s">
        <v>2313</v>
      </c>
      <c r="D460" s="43" t="s">
        <v>1241</v>
      </c>
      <c r="E460" s="43" t="s">
        <v>1242</v>
      </c>
      <c r="F460" s="45" t="s">
        <v>472</v>
      </c>
      <c r="G460" s="9" t="n">
        <v>30</v>
      </c>
      <c r="H460" s="12" t="n">
        <f aca="false">'Engineering Cost'!H460*'Engineering Assumptions'!$B$6</f>
        <v>160440</v>
      </c>
      <c r="I460" s="12" t="n">
        <f aca="false">IF('Engineering Cost'!I460=0,0,MAX('Engineering Cost'!I460*'Engineering Assumptions'!$B$6,'Engineering Assumptions'!$B$9))</f>
        <v>78000</v>
      </c>
      <c r="J460" s="12" t="n">
        <f aca="false">'Engineering Cost'!J460*'Engineering Assumptions'!$B$6</f>
        <v>34560</v>
      </c>
      <c r="K460" s="12" t="n">
        <f aca="false">'Engineering Cost'!K460*'Engineering Assumptions'!$B$6</f>
        <v>54000</v>
      </c>
      <c r="L460" s="13" t="n">
        <f aca="false">SUM(H460:K460)</f>
        <v>327000</v>
      </c>
      <c r="M460" s="13" t="n">
        <f aca="false">L460*(1+'Engineering Assumptions'!$B$10)</f>
        <v>376050</v>
      </c>
    </row>
    <row r="461" customFormat="false" ht="15" hidden="false" customHeight="true" outlineLevel="0" collapsed="false">
      <c r="A461" s="9" t="n">
        <v>432</v>
      </c>
      <c r="B461" s="43" t="s">
        <v>141</v>
      </c>
      <c r="C461" s="43" t="s">
        <v>2313</v>
      </c>
      <c r="D461" s="43" t="s">
        <v>1243</v>
      </c>
      <c r="E461" s="43" t="s">
        <v>1244</v>
      </c>
      <c r="F461" s="45" t="s">
        <v>472</v>
      </c>
      <c r="G461" s="9" t="n">
        <v>30</v>
      </c>
      <c r="H461" s="12" t="n">
        <f aca="false">'Engineering Cost'!H461*'Engineering Assumptions'!$B$6</f>
        <v>160440</v>
      </c>
      <c r="I461" s="12" t="n">
        <f aca="false">IF('Engineering Cost'!I461=0,0,MAX('Engineering Cost'!I461*'Engineering Assumptions'!$B$6,'Engineering Assumptions'!$B$9))</f>
        <v>78000</v>
      </c>
      <c r="J461" s="12" t="n">
        <f aca="false">'Engineering Cost'!J461*'Engineering Assumptions'!$B$6</f>
        <v>34560</v>
      </c>
      <c r="K461" s="12" t="n">
        <f aca="false">'Engineering Cost'!K461*'Engineering Assumptions'!$B$6</f>
        <v>54000</v>
      </c>
      <c r="L461" s="13" t="n">
        <f aca="false">SUM(H461:K461)</f>
        <v>327000</v>
      </c>
      <c r="M461" s="13" t="n">
        <f aca="false">L461*(1+'Engineering Assumptions'!$B$10)</f>
        <v>376050</v>
      </c>
    </row>
    <row r="462" customFormat="false" ht="15" hidden="false" customHeight="true" outlineLevel="0" collapsed="false">
      <c r="A462" s="9" t="n">
        <v>433</v>
      </c>
      <c r="B462" s="43" t="s">
        <v>141</v>
      </c>
      <c r="C462" s="43" t="s">
        <v>2313</v>
      </c>
      <c r="D462" s="43" t="s">
        <v>1245</v>
      </c>
      <c r="E462" s="43" t="s">
        <v>1246</v>
      </c>
      <c r="F462" s="45" t="s">
        <v>472</v>
      </c>
      <c r="G462" s="9" t="n">
        <v>30</v>
      </c>
      <c r="H462" s="12" t="n">
        <f aca="false">'Engineering Cost'!H462*'Engineering Assumptions'!$B$6</f>
        <v>160440</v>
      </c>
      <c r="I462" s="12" t="n">
        <f aca="false">IF('Engineering Cost'!I462=0,0,MAX('Engineering Cost'!I462*'Engineering Assumptions'!$B$6,'Engineering Assumptions'!$B$9))</f>
        <v>78000</v>
      </c>
      <c r="J462" s="12" t="n">
        <f aca="false">'Engineering Cost'!J462*'Engineering Assumptions'!$B$6</f>
        <v>34560</v>
      </c>
      <c r="K462" s="12" t="n">
        <f aca="false">'Engineering Cost'!K462*'Engineering Assumptions'!$B$6</f>
        <v>54000</v>
      </c>
      <c r="L462" s="13" t="n">
        <f aca="false">SUM(H462:K462)</f>
        <v>327000</v>
      </c>
      <c r="M462" s="13" t="n">
        <f aca="false">L462*(1+'Engineering Assumptions'!$B$10)</f>
        <v>376050</v>
      </c>
    </row>
    <row r="463" customFormat="false" ht="15" hidden="false" customHeight="true" outlineLevel="0" collapsed="false">
      <c r="A463" s="9" t="n">
        <v>434</v>
      </c>
      <c r="B463" s="43" t="s">
        <v>141</v>
      </c>
      <c r="C463" s="43" t="s">
        <v>2313</v>
      </c>
      <c r="D463" s="43" t="s">
        <v>1247</v>
      </c>
      <c r="E463" s="43"/>
      <c r="F463" s="45" t="s">
        <v>472</v>
      </c>
      <c r="G463" s="9" t="n">
        <v>30</v>
      </c>
      <c r="H463" s="12" t="n">
        <f aca="false">'Engineering Cost'!H463*'Engineering Assumptions'!$B$6</f>
        <v>160440</v>
      </c>
      <c r="I463" s="12" t="n">
        <f aca="false">IF('Engineering Cost'!I463=0,0,MAX('Engineering Cost'!I463*'Engineering Assumptions'!$B$6,'Engineering Assumptions'!$B$9))</f>
        <v>78000</v>
      </c>
      <c r="J463" s="12" t="n">
        <f aca="false">'Engineering Cost'!J463*'Engineering Assumptions'!$B$6</f>
        <v>34560</v>
      </c>
      <c r="K463" s="12" t="n">
        <f aca="false">'Engineering Cost'!K463*'Engineering Assumptions'!$B$6</f>
        <v>54000</v>
      </c>
      <c r="L463" s="13" t="n">
        <f aca="false">SUM(H463:K463)</f>
        <v>327000</v>
      </c>
      <c r="M463" s="13" t="n">
        <f aca="false">L463*(1+'Engineering Assumptions'!$B$10)</f>
        <v>376050</v>
      </c>
    </row>
    <row r="464" customFormat="false" ht="15" hidden="false" customHeight="true" outlineLevel="0" collapsed="false">
      <c r="A464" s="9" t="n">
        <v>435</v>
      </c>
      <c r="B464" s="43" t="s">
        <v>141</v>
      </c>
      <c r="C464" s="43" t="s">
        <v>2313</v>
      </c>
      <c r="D464" s="43" t="s">
        <v>1248</v>
      </c>
      <c r="E464" s="43"/>
      <c r="F464" s="45" t="s">
        <v>472</v>
      </c>
      <c r="G464" s="9" t="n">
        <v>30</v>
      </c>
      <c r="H464" s="12" t="n">
        <f aca="false">'Engineering Cost'!H464*'Engineering Assumptions'!$B$6</f>
        <v>160440</v>
      </c>
      <c r="I464" s="12" t="n">
        <f aca="false">IF('Engineering Cost'!I464=0,0,MAX('Engineering Cost'!I464*'Engineering Assumptions'!$B$6,'Engineering Assumptions'!$B$9))</f>
        <v>78000</v>
      </c>
      <c r="J464" s="12" t="n">
        <f aca="false">'Engineering Cost'!J464*'Engineering Assumptions'!$B$6</f>
        <v>34560</v>
      </c>
      <c r="K464" s="12" t="n">
        <f aca="false">'Engineering Cost'!K464*'Engineering Assumptions'!$B$6</f>
        <v>54000</v>
      </c>
      <c r="L464" s="13" t="n">
        <f aca="false">SUM(H464:K464)</f>
        <v>327000</v>
      </c>
      <c r="M464" s="13" t="n">
        <f aca="false">L464*(1+'Engineering Assumptions'!$B$10)</f>
        <v>376050</v>
      </c>
    </row>
    <row r="465" customFormat="false" ht="15" hidden="false" customHeight="true" outlineLevel="0" collapsed="false">
      <c r="A465" s="9" t="n">
        <v>436</v>
      </c>
      <c r="B465" s="43" t="s">
        <v>141</v>
      </c>
      <c r="C465" s="43" t="s">
        <v>2313</v>
      </c>
      <c r="D465" s="43" t="s">
        <v>1249</v>
      </c>
      <c r="E465" s="43" t="s">
        <v>1101</v>
      </c>
      <c r="F465" s="45" t="s">
        <v>472</v>
      </c>
      <c r="G465" s="9" t="n">
        <v>30</v>
      </c>
      <c r="H465" s="12" t="n">
        <f aca="false">'Engineering Cost'!H465*'Engineering Assumptions'!$B$6</f>
        <v>160440</v>
      </c>
      <c r="I465" s="12" t="n">
        <f aca="false">IF('Engineering Cost'!I465=0,0,MAX('Engineering Cost'!I465*'Engineering Assumptions'!$B$6,'Engineering Assumptions'!$B$9))</f>
        <v>78000</v>
      </c>
      <c r="J465" s="12" t="n">
        <f aca="false">'Engineering Cost'!J465*'Engineering Assumptions'!$B$6</f>
        <v>34560</v>
      </c>
      <c r="K465" s="12" t="n">
        <f aca="false">'Engineering Cost'!K465*'Engineering Assumptions'!$B$6</f>
        <v>54000</v>
      </c>
      <c r="L465" s="13" t="n">
        <f aca="false">SUM(H465:K465)</f>
        <v>327000</v>
      </c>
      <c r="M465" s="13" t="n">
        <f aca="false">L465*(1+'Engineering Assumptions'!$B$10)</f>
        <v>376050</v>
      </c>
    </row>
    <row r="466" customFormat="false" ht="15" hidden="false" customHeight="true" outlineLevel="0" collapsed="false">
      <c r="A466" s="9" t="n">
        <v>437</v>
      </c>
      <c r="B466" s="43" t="s">
        <v>141</v>
      </c>
      <c r="C466" s="43" t="s">
        <v>2313</v>
      </c>
      <c r="D466" s="43" t="s">
        <v>1250</v>
      </c>
      <c r="E466" s="43"/>
      <c r="F466" s="45" t="s">
        <v>472</v>
      </c>
      <c r="G466" s="9" t="n">
        <v>30</v>
      </c>
      <c r="H466" s="12" t="n">
        <f aca="false">'Engineering Cost'!H466*'Engineering Assumptions'!$B$6</f>
        <v>160440</v>
      </c>
      <c r="I466" s="12" t="n">
        <f aca="false">IF('Engineering Cost'!I466=0,0,MAX('Engineering Cost'!I466*'Engineering Assumptions'!$B$6,'Engineering Assumptions'!$B$9))</f>
        <v>78000</v>
      </c>
      <c r="J466" s="12" t="n">
        <f aca="false">'Engineering Cost'!J466*'Engineering Assumptions'!$B$6</f>
        <v>34560</v>
      </c>
      <c r="K466" s="12" t="n">
        <f aca="false">'Engineering Cost'!K466*'Engineering Assumptions'!$B$6</f>
        <v>54000</v>
      </c>
      <c r="L466" s="13" t="n">
        <f aca="false">SUM(H466:K466)</f>
        <v>327000</v>
      </c>
      <c r="M466" s="13" t="n">
        <f aca="false">L466*(1+'Engineering Assumptions'!$B$10)</f>
        <v>376050</v>
      </c>
    </row>
    <row r="467" customFormat="false" ht="15" hidden="false" customHeight="true" outlineLevel="0" collapsed="false">
      <c r="A467" s="9" t="n">
        <v>438</v>
      </c>
      <c r="B467" s="43" t="s">
        <v>141</v>
      </c>
      <c r="C467" s="43" t="s">
        <v>2313</v>
      </c>
      <c r="D467" s="43" t="s">
        <v>1251</v>
      </c>
      <c r="E467" s="43"/>
      <c r="F467" s="45" t="s">
        <v>472</v>
      </c>
      <c r="G467" s="9" t="n">
        <v>30</v>
      </c>
      <c r="H467" s="12" t="n">
        <f aca="false">'Engineering Cost'!H467*'Engineering Assumptions'!$B$6</f>
        <v>160440</v>
      </c>
      <c r="I467" s="12" t="n">
        <f aca="false">IF('Engineering Cost'!I467=0,0,MAX('Engineering Cost'!I467*'Engineering Assumptions'!$B$6,'Engineering Assumptions'!$B$9))</f>
        <v>78000</v>
      </c>
      <c r="J467" s="12" t="n">
        <f aca="false">'Engineering Cost'!J467*'Engineering Assumptions'!$B$6</f>
        <v>34560</v>
      </c>
      <c r="K467" s="12" t="n">
        <f aca="false">'Engineering Cost'!K467*'Engineering Assumptions'!$B$6</f>
        <v>54000</v>
      </c>
      <c r="L467" s="13" t="n">
        <f aca="false">SUM(H467:K467)</f>
        <v>327000</v>
      </c>
      <c r="M467" s="13" t="n">
        <f aca="false">L467*(1+'Engineering Assumptions'!$B$10)</f>
        <v>376050</v>
      </c>
    </row>
    <row r="468" customFormat="false" ht="15" hidden="false" customHeight="true" outlineLevel="0" collapsed="false">
      <c r="A468" s="9" t="n">
        <v>439</v>
      </c>
      <c r="B468" s="43" t="s">
        <v>141</v>
      </c>
      <c r="C468" s="43" t="s">
        <v>2313</v>
      </c>
      <c r="D468" s="43" t="s">
        <v>1252</v>
      </c>
      <c r="E468" s="43"/>
      <c r="F468" s="45" t="s">
        <v>472</v>
      </c>
      <c r="G468" s="9" t="n">
        <v>30</v>
      </c>
      <c r="H468" s="12" t="n">
        <f aca="false">'Engineering Cost'!H468*'Engineering Assumptions'!$B$6</f>
        <v>160440</v>
      </c>
      <c r="I468" s="12" t="n">
        <f aca="false">IF('Engineering Cost'!I468=0,0,MAX('Engineering Cost'!I468*'Engineering Assumptions'!$B$6,'Engineering Assumptions'!$B$9))</f>
        <v>78000</v>
      </c>
      <c r="J468" s="12" t="n">
        <f aca="false">'Engineering Cost'!J468*'Engineering Assumptions'!$B$6</f>
        <v>34560</v>
      </c>
      <c r="K468" s="12" t="n">
        <f aca="false">'Engineering Cost'!K468*'Engineering Assumptions'!$B$6</f>
        <v>54000</v>
      </c>
      <c r="L468" s="13" t="n">
        <f aca="false">SUM(H468:K468)</f>
        <v>327000</v>
      </c>
      <c r="M468" s="13" t="n">
        <f aca="false">L468*(1+'Engineering Assumptions'!$B$10)</f>
        <v>376050</v>
      </c>
    </row>
    <row r="469" customFormat="false" ht="15" hidden="false" customHeight="true" outlineLevel="0" collapsed="false">
      <c r="A469" s="9" t="n">
        <v>440</v>
      </c>
      <c r="B469" s="43" t="s">
        <v>141</v>
      </c>
      <c r="C469" s="43" t="s">
        <v>2313</v>
      </c>
      <c r="D469" s="43" t="s">
        <v>1239</v>
      </c>
      <c r="E469" s="43" t="s">
        <v>1240</v>
      </c>
      <c r="F469" s="45" t="s">
        <v>472</v>
      </c>
      <c r="G469" s="9" t="n">
        <v>30</v>
      </c>
      <c r="H469" s="12" t="n">
        <f aca="false">'Engineering Cost'!H469*'Engineering Assumptions'!$B$6</f>
        <v>160440</v>
      </c>
      <c r="I469" s="12" t="n">
        <f aca="false">IF('Engineering Cost'!I469=0,0,MAX('Engineering Cost'!I469*'Engineering Assumptions'!$B$6,'Engineering Assumptions'!$B$9))</f>
        <v>78000</v>
      </c>
      <c r="J469" s="12" t="n">
        <f aca="false">'Engineering Cost'!J469*'Engineering Assumptions'!$B$6</f>
        <v>34560</v>
      </c>
      <c r="K469" s="12" t="n">
        <f aca="false">'Engineering Cost'!K469*'Engineering Assumptions'!$B$6</f>
        <v>54000</v>
      </c>
      <c r="L469" s="13" t="n">
        <f aca="false">SUM(H469:K469)</f>
        <v>327000</v>
      </c>
      <c r="M469" s="13" t="n">
        <f aca="false">L469*(1+'Engineering Assumptions'!$B$10)</f>
        <v>376050</v>
      </c>
    </row>
    <row r="470" customFormat="false" ht="15" hidden="false" customHeight="true" outlineLevel="0" collapsed="false">
      <c r="A470" s="42" t="s">
        <v>1253</v>
      </c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</row>
    <row r="471" customFormat="false" ht="15" hidden="false" customHeight="true" outlineLevel="0" collapsed="false">
      <c r="A471" s="9" t="n">
        <v>441</v>
      </c>
      <c r="B471" s="43" t="s">
        <v>143</v>
      </c>
      <c r="C471" s="43" t="s">
        <v>2480</v>
      </c>
      <c r="D471" s="43" t="s">
        <v>1254</v>
      </c>
      <c r="E471" s="43" t="s">
        <v>1256</v>
      </c>
      <c r="F471" s="45" t="s">
        <v>310</v>
      </c>
      <c r="G471" s="9" t="n">
        <v>14</v>
      </c>
      <c r="H471" s="12" t="n">
        <f aca="false">'Engineering Cost'!H471*'Engineering Assumptions'!$B$6</f>
        <v>183360</v>
      </c>
      <c r="I471" s="12" t="n">
        <f aca="false">IF('Engineering Cost'!I471=0,0,MAX('Engineering Cost'!I471*'Engineering Assumptions'!$B$6,'Engineering Assumptions'!$B$9))</f>
        <v>78000</v>
      </c>
      <c r="J471" s="12" t="n">
        <f aca="false">'Engineering Cost'!J471*'Engineering Assumptions'!$B$6</f>
        <v>20460</v>
      </c>
      <c r="K471" s="12" t="n">
        <f aca="false">'Engineering Cost'!K471*'Engineering Assumptions'!$B$6</f>
        <v>22680</v>
      </c>
      <c r="L471" s="13" t="n">
        <f aca="false">SUM(H471:K471)</f>
        <v>304500</v>
      </c>
      <c r="M471" s="13" t="n">
        <f aca="false">L471*(1+'Engineering Assumptions'!$B$10)</f>
        <v>350175</v>
      </c>
    </row>
    <row r="472" customFormat="false" ht="15" hidden="false" customHeight="true" outlineLevel="0" collapsed="false">
      <c r="A472" s="9" t="n">
        <v>442</v>
      </c>
      <c r="B472" s="43" t="s">
        <v>143</v>
      </c>
      <c r="C472" s="43" t="s">
        <v>2480</v>
      </c>
      <c r="D472" s="43" t="s">
        <v>1257</v>
      </c>
      <c r="E472" s="43" t="s">
        <v>1258</v>
      </c>
      <c r="F472" s="45" t="s">
        <v>310</v>
      </c>
      <c r="G472" s="9" t="n">
        <v>14</v>
      </c>
      <c r="H472" s="12" t="n">
        <f aca="false">'Engineering Cost'!H472*'Engineering Assumptions'!$B$6</f>
        <v>183360</v>
      </c>
      <c r="I472" s="12" t="n">
        <f aca="false">IF('Engineering Cost'!I472=0,0,MAX('Engineering Cost'!I472*'Engineering Assumptions'!$B$6,'Engineering Assumptions'!$B$9))</f>
        <v>78000</v>
      </c>
      <c r="J472" s="12" t="n">
        <f aca="false">'Engineering Cost'!J472*'Engineering Assumptions'!$B$6</f>
        <v>20460</v>
      </c>
      <c r="K472" s="12" t="n">
        <f aca="false">'Engineering Cost'!K472*'Engineering Assumptions'!$B$6</f>
        <v>22680</v>
      </c>
      <c r="L472" s="13" t="n">
        <f aca="false">SUM(H472:K472)</f>
        <v>304500</v>
      </c>
      <c r="M472" s="13" t="n">
        <f aca="false">L472*(1+'Engineering Assumptions'!$B$10)</f>
        <v>350175</v>
      </c>
    </row>
    <row r="473" customFormat="false" ht="15" hidden="false" customHeight="true" outlineLevel="0" collapsed="false">
      <c r="A473" s="9" t="n">
        <v>443</v>
      </c>
      <c r="B473" s="43" t="s">
        <v>143</v>
      </c>
      <c r="C473" s="43" t="s">
        <v>2481</v>
      </c>
      <c r="D473" s="43" t="s">
        <v>1259</v>
      </c>
      <c r="E473" s="43" t="s">
        <v>1261</v>
      </c>
      <c r="F473" s="45" t="s">
        <v>310</v>
      </c>
      <c r="G473" s="9" t="n">
        <v>14</v>
      </c>
      <c r="H473" s="12" t="n">
        <f aca="false">'Engineering Cost'!H473*'Engineering Assumptions'!$B$6</f>
        <v>183360</v>
      </c>
      <c r="I473" s="12" t="n">
        <f aca="false">IF('Engineering Cost'!I473=0,0,MAX('Engineering Cost'!I473*'Engineering Assumptions'!$B$6,'Engineering Assumptions'!$B$9))</f>
        <v>78000</v>
      </c>
      <c r="J473" s="12" t="n">
        <f aca="false">'Engineering Cost'!J473*'Engineering Assumptions'!$B$6</f>
        <v>20460</v>
      </c>
      <c r="K473" s="12" t="n">
        <f aca="false">'Engineering Cost'!K473*'Engineering Assumptions'!$B$6</f>
        <v>22680</v>
      </c>
      <c r="L473" s="13" t="n">
        <f aca="false">SUM(H473:K473)</f>
        <v>304500</v>
      </c>
      <c r="M473" s="13" t="n">
        <f aca="false">L473*(1+'Engineering Assumptions'!$B$10)</f>
        <v>350175</v>
      </c>
    </row>
    <row r="474" customFormat="false" ht="15" hidden="false" customHeight="true" outlineLevel="0" collapsed="false">
      <c r="A474" s="9" t="n">
        <v>444</v>
      </c>
      <c r="B474" s="43" t="s">
        <v>143</v>
      </c>
      <c r="C474" s="43" t="s">
        <v>2482</v>
      </c>
      <c r="D474" s="43" t="s">
        <v>1263</v>
      </c>
      <c r="E474" s="43" t="s">
        <v>1265</v>
      </c>
      <c r="F474" s="45" t="s">
        <v>310</v>
      </c>
      <c r="G474" s="9" t="n">
        <v>14</v>
      </c>
      <c r="H474" s="12" t="n">
        <f aca="false">'Engineering Cost'!H474*'Engineering Assumptions'!$B$6</f>
        <v>183360</v>
      </c>
      <c r="I474" s="12" t="n">
        <f aca="false">IF('Engineering Cost'!I474=0,0,MAX('Engineering Cost'!I474*'Engineering Assumptions'!$B$6,'Engineering Assumptions'!$B$9))</f>
        <v>78000</v>
      </c>
      <c r="J474" s="12" t="n">
        <f aca="false">'Engineering Cost'!J474*'Engineering Assumptions'!$B$6</f>
        <v>20460</v>
      </c>
      <c r="K474" s="12" t="n">
        <f aca="false">'Engineering Cost'!K474*'Engineering Assumptions'!$B$6</f>
        <v>22680</v>
      </c>
      <c r="L474" s="13" t="n">
        <f aca="false">SUM(H474:K474)</f>
        <v>304500</v>
      </c>
      <c r="M474" s="13" t="n">
        <f aca="false">L474*(1+'Engineering Assumptions'!$B$10)</f>
        <v>350175</v>
      </c>
    </row>
    <row r="475" customFormat="false" ht="15" hidden="false" customHeight="true" outlineLevel="0" collapsed="false">
      <c r="A475" s="9" t="n">
        <v>445</v>
      </c>
      <c r="B475" s="43" t="s">
        <v>143</v>
      </c>
      <c r="C475" s="43" t="s">
        <v>2483</v>
      </c>
      <c r="D475" s="43" t="s">
        <v>1267</v>
      </c>
      <c r="E475" s="43" t="s">
        <v>1269</v>
      </c>
      <c r="F475" s="45" t="s">
        <v>623</v>
      </c>
      <c r="G475" s="9" t="n">
        <v>18</v>
      </c>
      <c r="H475" s="12" t="n">
        <f aca="false">'Engineering Cost'!H475*'Engineering Assumptions'!$B$6</f>
        <v>183360</v>
      </c>
      <c r="I475" s="12" t="n">
        <f aca="false">IF('Engineering Cost'!I475=0,0,MAX('Engineering Cost'!I475*'Engineering Assumptions'!$B$6,'Engineering Assumptions'!$B$9))</f>
        <v>78000</v>
      </c>
      <c r="J475" s="12" t="n">
        <f aca="false">'Engineering Cost'!J475*'Engineering Assumptions'!$B$6</f>
        <v>25740</v>
      </c>
      <c r="K475" s="12" t="n">
        <f aca="false">'Engineering Cost'!K475*'Engineering Assumptions'!$B$6</f>
        <v>35280</v>
      </c>
      <c r="L475" s="13" t="n">
        <f aca="false">SUM(H475:K475)</f>
        <v>322380</v>
      </c>
      <c r="M475" s="13" t="n">
        <f aca="false">L475*(1+'Engineering Assumptions'!$B$10)</f>
        <v>370737</v>
      </c>
    </row>
    <row r="476" customFormat="false" ht="15" hidden="false" customHeight="true" outlineLevel="0" collapsed="false">
      <c r="A476" s="9" t="n">
        <v>446</v>
      </c>
      <c r="B476" s="43" t="s">
        <v>143</v>
      </c>
      <c r="C476" s="43" t="s">
        <v>2482</v>
      </c>
      <c r="D476" s="43" t="s">
        <v>1270</v>
      </c>
      <c r="E476" s="43" t="s">
        <v>1271</v>
      </c>
      <c r="F476" s="45" t="s">
        <v>729</v>
      </c>
      <c r="G476" s="9" t="n">
        <v>21</v>
      </c>
      <c r="H476" s="12" t="n">
        <f aca="false">'Engineering Cost'!H476*'Engineering Assumptions'!$B$6</f>
        <v>183360</v>
      </c>
      <c r="I476" s="12" t="n">
        <f aca="false">IF('Engineering Cost'!I476=0,0,MAX('Engineering Cost'!I476*'Engineering Assumptions'!$B$6,'Engineering Assumptions'!$B$9))</f>
        <v>78000</v>
      </c>
      <c r="J476" s="12" t="n">
        <f aca="false">'Engineering Cost'!J476*'Engineering Assumptions'!$B$6</f>
        <v>31680</v>
      </c>
      <c r="K476" s="12" t="n">
        <f aca="false">'Engineering Cost'!K476*'Engineering Assumptions'!$B$6</f>
        <v>50400</v>
      </c>
      <c r="L476" s="13" t="n">
        <f aca="false">SUM(H476:K476)</f>
        <v>343440</v>
      </c>
      <c r="M476" s="13" t="n">
        <f aca="false">L476*(1+'Engineering Assumptions'!$B$10)</f>
        <v>394956</v>
      </c>
    </row>
    <row r="477" customFormat="false" ht="15" hidden="false" customHeight="true" outlineLevel="0" collapsed="false">
      <c r="A477" s="9" t="n">
        <v>447</v>
      </c>
      <c r="B477" s="43" t="s">
        <v>143</v>
      </c>
      <c r="C477" s="43" t="s">
        <v>2482</v>
      </c>
      <c r="D477" s="43" t="s">
        <v>1272</v>
      </c>
      <c r="E477" s="43" t="s">
        <v>1273</v>
      </c>
      <c r="F477" s="45" t="s">
        <v>729</v>
      </c>
      <c r="G477" s="9" t="n">
        <v>21</v>
      </c>
      <c r="H477" s="12" t="n">
        <f aca="false">'Engineering Cost'!H477*'Engineering Assumptions'!$B$6</f>
        <v>183360</v>
      </c>
      <c r="I477" s="12" t="n">
        <f aca="false">IF('Engineering Cost'!I477=0,0,MAX('Engineering Cost'!I477*'Engineering Assumptions'!$B$6,'Engineering Assumptions'!$B$9))</f>
        <v>78000</v>
      </c>
      <c r="J477" s="12" t="n">
        <f aca="false">'Engineering Cost'!J477*'Engineering Assumptions'!$B$6</f>
        <v>31680</v>
      </c>
      <c r="K477" s="12" t="n">
        <f aca="false">'Engineering Cost'!K477*'Engineering Assumptions'!$B$6</f>
        <v>50400</v>
      </c>
      <c r="L477" s="13" t="n">
        <f aca="false">SUM(H477:K477)</f>
        <v>343440</v>
      </c>
      <c r="M477" s="13" t="n">
        <f aca="false">L477*(1+'Engineering Assumptions'!$B$10)</f>
        <v>394956</v>
      </c>
    </row>
    <row r="478" customFormat="false" ht="15" hidden="false" customHeight="true" outlineLevel="0" collapsed="false">
      <c r="A478" s="9" t="n">
        <v>448</v>
      </c>
      <c r="B478" s="43" t="s">
        <v>143</v>
      </c>
      <c r="C478" s="43" t="s">
        <v>2484</v>
      </c>
      <c r="D478" s="43" t="s">
        <v>1275</v>
      </c>
      <c r="E478" s="43" t="s">
        <v>1277</v>
      </c>
      <c r="F478" s="45" t="s">
        <v>1276</v>
      </c>
      <c r="G478" s="9" t="n">
        <v>46</v>
      </c>
      <c r="H478" s="12" t="n">
        <f aca="false">'Engineering Cost'!H478*'Engineering Assumptions'!$B$6</f>
        <v>183360</v>
      </c>
      <c r="I478" s="12" t="n">
        <f aca="false">IF('Engineering Cost'!I478=0,0,MAX('Engineering Cost'!I478*'Engineering Assumptions'!$B$6,'Engineering Assumptions'!$B$9))</f>
        <v>78000</v>
      </c>
      <c r="J478" s="12" t="n">
        <f aca="false">'Engineering Cost'!J478*'Engineering Assumptions'!$B$6</f>
        <v>31680</v>
      </c>
      <c r="K478" s="12" t="n">
        <f aca="false">'Engineering Cost'!K478*'Engineering Assumptions'!$B$6</f>
        <v>50400</v>
      </c>
      <c r="L478" s="13" t="n">
        <f aca="false">SUM(H478:K478)</f>
        <v>343440</v>
      </c>
      <c r="M478" s="13" t="n">
        <f aca="false">L478*(1+'Engineering Assumptions'!$B$10)</f>
        <v>394956</v>
      </c>
    </row>
    <row r="479" customFormat="false" ht="15" hidden="false" customHeight="true" outlineLevel="0" collapsed="false">
      <c r="A479" s="9" t="n">
        <v>449</v>
      </c>
      <c r="B479" s="43" t="s">
        <v>143</v>
      </c>
      <c r="C479" s="43" t="s">
        <v>2485</v>
      </c>
      <c r="D479" s="43" t="s">
        <v>1278</v>
      </c>
      <c r="E479" s="43" t="s">
        <v>1281</v>
      </c>
      <c r="F479" s="45" t="s">
        <v>1280</v>
      </c>
      <c r="G479" s="9" t="n">
        <v>52</v>
      </c>
      <c r="H479" s="12" t="n">
        <f aca="false">'Engineering Cost'!H479*'Engineering Assumptions'!$B$6</f>
        <v>183360</v>
      </c>
      <c r="I479" s="12" t="n">
        <f aca="false">IF('Engineering Cost'!I479=0,0,MAX('Engineering Cost'!I479*'Engineering Assumptions'!$B$6,'Engineering Assumptions'!$B$9))</f>
        <v>78000</v>
      </c>
      <c r="J479" s="12" t="n">
        <f aca="false">'Engineering Cost'!J479*'Engineering Assumptions'!$B$6</f>
        <v>31680</v>
      </c>
      <c r="K479" s="12" t="n">
        <f aca="false">'Engineering Cost'!K479*'Engineering Assumptions'!$B$6</f>
        <v>50400</v>
      </c>
      <c r="L479" s="13" t="n">
        <f aca="false">SUM(H479:K479)</f>
        <v>343440</v>
      </c>
      <c r="M479" s="13" t="n">
        <f aca="false">L479*(1+'Engineering Assumptions'!$B$10)</f>
        <v>394956</v>
      </c>
    </row>
    <row r="480" customFormat="false" ht="15" hidden="false" customHeight="true" outlineLevel="0" collapsed="false">
      <c r="A480" s="9" t="n">
        <v>450</v>
      </c>
      <c r="B480" s="43" t="s">
        <v>143</v>
      </c>
      <c r="C480" s="43" t="s">
        <v>2313</v>
      </c>
      <c r="D480" s="43" t="s">
        <v>1283</v>
      </c>
      <c r="E480" s="43" t="s">
        <v>1269</v>
      </c>
      <c r="F480" s="45" t="s">
        <v>472</v>
      </c>
      <c r="G480" s="9" t="n">
        <v>30</v>
      </c>
      <c r="H480" s="12" t="n">
        <f aca="false">'Engineering Cost'!H480*'Engineering Assumptions'!$B$6</f>
        <v>183360</v>
      </c>
      <c r="I480" s="12" t="n">
        <f aca="false">IF('Engineering Cost'!I480=0,0,MAX('Engineering Cost'!I480*'Engineering Assumptions'!$B$6,'Engineering Assumptions'!$B$9))</f>
        <v>78000</v>
      </c>
      <c r="J480" s="12" t="n">
        <f aca="false">'Engineering Cost'!J480*'Engineering Assumptions'!$B$6</f>
        <v>31680</v>
      </c>
      <c r="K480" s="12" t="n">
        <f aca="false">'Engineering Cost'!K480*'Engineering Assumptions'!$B$6</f>
        <v>50400</v>
      </c>
      <c r="L480" s="13" t="n">
        <f aca="false">SUM(H480:K480)</f>
        <v>343440</v>
      </c>
      <c r="M480" s="13" t="n">
        <f aca="false">L480*(1+'Engineering Assumptions'!$B$10)</f>
        <v>394956</v>
      </c>
    </row>
    <row r="481" customFormat="false" ht="15" hidden="false" customHeight="true" outlineLevel="0" collapsed="false">
      <c r="A481" s="9" t="n">
        <v>451</v>
      </c>
      <c r="B481" s="43" t="s">
        <v>143</v>
      </c>
      <c r="C481" s="43" t="s">
        <v>2313</v>
      </c>
      <c r="D481" s="43"/>
      <c r="E481" s="43"/>
      <c r="F481" s="45" t="s">
        <v>472</v>
      </c>
      <c r="G481" s="9" t="n">
        <v>30</v>
      </c>
      <c r="H481" s="12" t="n">
        <f aca="false">'Engineering Cost'!H481*'Engineering Assumptions'!$B$6</f>
        <v>183360</v>
      </c>
      <c r="I481" s="12" t="n">
        <f aca="false">IF('Engineering Cost'!I481=0,0,MAX('Engineering Cost'!I481*'Engineering Assumptions'!$B$6,'Engineering Assumptions'!$B$9))</f>
        <v>78000</v>
      </c>
      <c r="J481" s="12" t="n">
        <f aca="false">'Engineering Cost'!J481*'Engineering Assumptions'!$B$6</f>
        <v>31680</v>
      </c>
      <c r="K481" s="12" t="n">
        <f aca="false">'Engineering Cost'!K481*'Engineering Assumptions'!$B$6</f>
        <v>50400</v>
      </c>
      <c r="L481" s="13" t="n">
        <f aca="false">SUM(H481:K481)</f>
        <v>343440</v>
      </c>
      <c r="M481" s="13" t="n">
        <f aca="false">L481*(1+'Engineering Assumptions'!$B$10)</f>
        <v>394956</v>
      </c>
    </row>
    <row r="482" customFormat="false" ht="15" hidden="false" customHeight="true" outlineLevel="0" collapsed="false">
      <c r="A482" s="9" t="n">
        <v>452</v>
      </c>
      <c r="B482" s="43" t="s">
        <v>143</v>
      </c>
      <c r="C482" s="43" t="s">
        <v>2483</v>
      </c>
      <c r="D482" s="43"/>
      <c r="E482" s="43"/>
      <c r="F482" s="45" t="s">
        <v>472</v>
      </c>
      <c r="G482" s="9" t="n">
        <v>30</v>
      </c>
      <c r="H482" s="12" t="n">
        <f aca="false">'Engineering Cost'!H482*'Engineering Assumptions'!$B$6</f>
        <v>183360</v>
      </c>
      <c r="I482" s="12" t="n">
        <f aca="false">IF('Engineering Cost'!I482=0,0,MAX('Engineering Cost'!I482*'Engineering Assumptions'!$B$6,'Engineering Assumptions'!$B$9))</f>
        <v>78000</v>
      </c>
      <c r="J482" s="12" t="n">
        <f aca="false">'Engineering Cost'!J482*'Engineering Assumptions'!$B$6</f>
        <v>31680</v>
      </c>
      <c r="K482" s="12" t="n">
        <f aca="false">'Engineering Cost'!K482*'Engineering Assumptions'!$B$6</f>
        <v>50400</v>
      </c>
      <c r="L482" s="13" t="n">
        <f aca="false">SUM(H482:K482)</f>
        <v>343440</v>
      </c>
      <c r="M482" s="13" t="n">
        <f aca="false">L482*(1+'Engineering Assumptions'!$B$10)</f>
        <v>394956</v>
      </c>
    </row>
    <row r="483" customFormat="false" ht="15" hidden="false" customHeight="true" outlineLevel="0" collapsed="false">
      <c r="A483" s="42" t="s">
        <v>1284</v>
      </c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</row>
    <row r="484" customFormat="false" ht="15" hidden="false" customHeight="true" outlineLevel="0" collapsed="false">
      <c r="A484" s="9" t="n">
        <v>453</v>
      </c>
      <c r="B484" s="43" t="s">
        <v>145</v>
      </c>
      <c r="C484" s="43" t="s">
        <v>2486</v>
      </c>
      <c r="D484" s="43" t="s">
        <v>1286</v>
      </c>
      <c r="E484" s="43" t="s">
        <v>1288</v>
      </c>
      <c r="F484" s="45" t="s">
        <v>397</v>
      </c>
      <c r="G484" s="9" t="n">
        <v>9</v>
      </c>
      <c r="H484" s="12" t="n">
        <f aca="false">'Engineering Cost'!H484*'Engineering Assumptions'!$B$6</f>
        <v>55008</v>
      </c>
      <c r="I484" s="12" t="n">
        <f aca="false">IF('Engineering Cost'!I484=0,0,MAX('Engineering Cost'!I484*'Engineering Assumptions'!$B$6,'Engineering Assumptions'!$B$9))</f>
        <v>0</v>
      </c>
      <c r="J484" s="12" t="n">
        <f aca="false">'Engineering Cost'!J484*'Engineering Assumptions'!$B$6</f>
        <v>3750</v>
      </c>
      <c r="K484" s="12" t="n">
        <f aca="false">'Engineering Cost'!K484*'Engineering Assumptions'!$B$6</f>
        <v>3150</v>
      </c>
      <c r="L484" s="13" t="n">
        <f aca="false">SUM(H484:K484)</f>
        <v>61908</v>
      </c>
      <c r="M484" s="13" t="n">
        <f aca="false">L484*(1+'Engineering Assumptions'!$B$10)</f>
        <v>71194.2</v>
      </c>
    </row>
    <row r="485" customFormat="false" ht="15" hidden="false" customHeight="true" outlineLevel="0" collapsed="false">
      <c r="A485" s="9" t="n">
        <v>454</v>
      </c>
      <c r="B485" s="43" t="s">
        <v>145</v>
      </c>
      <c r="C485" s="43" t="s">
        <v>2486</v>
      </c>
      <c r="D485" s="43" t="s">
        <v>1294</v>
      </c>
      <c r="E485" s="43" t="s">
        <v>1295</v>
      </c>
      <c r="F485" s="45" t="s">
        <v>397</v>
      </c>
      <c r="G485" s="9" t="n">
        <v>9</v>
      </c>
      <c r="H485" s="12" t="n">
        <f aca="false">'Engineering Cost'!H485*'Engineering Assumptions'!$B$6</f>
        <v>55008</v>
      </c>
      <c r="I485" s="12" t="n">
        <f aca="false">IF('Engineering Cost'!I485=0,0,MAX('Engineering Cost'!I485*'Engineering Assumptions'!$B$6,'Engineering Assumptions'!$B$9))</f>
        <v>0</v>
      </c>
      <c r="J485" s="12" t="n">
        <f aca="false">'Engineering Cost'!J485*'Engineering Assumptions'!$B$6</f>
        <v>3750</v>
      </c>
      <c r="K485" s="12" t="n">
        <f aca="false">'Engineering Cost'!K485*'Engineering Assumptions'!$B$6</f>
        <v>3150</v>
      </c>
      <c r="L485" s="13" t="n">
        <f aca="false">SUM(H485:K485)</f>
        <v>61908</v>
      </c>
      <c r="M485" s="13" t="n">
        <f aca="false">L485*(1+'Engineering Assumptions'!$B$10)</f>
        <v>71194.2</v>
      </c>
    </row>
    <row r="486" customFormat="false" ht="15" hidden="false" customHeight="true" outlineLevel="0" collapsed="false">
      <c r="A486" s="9" t="n">
        <v>455</v>
      </c>
      <c r="B486" s="43" t="s">
        <v>145</v>
      </c>
      <c r="C486" s="43" t="s">
        <v>2487</v>
      </c>
      <c r="D486" s="43" t="s">
        <v>1328</v>
      </c>
      <c r="E486" s="43" t="s">
        <v>1330</v>
      </c>
      <c r="F486" s="45" t="s">
        <v>397</v>
      </c>
      <c r="G486" s="9" t="n">
        <v>9</v>
      </c>
      <c r="H486" s="12" t="n">
        <f aca="false">'Engineering Cost'!H486*'Engineering Assumptions'!$B$6</f>
        <v>55008</v>
      </c>
      <c r="I486" s="12" t="n">
        <f aca="false">IF('Engineering Cost'!I486=0,0,MAX('Engineering Cost'!I486*'Engineering Assumptions'!$B$6,'Engineering Assumptions'!$B$9))</f>
        <v>0</v>
      </c>
      <c r="J486" s="12" t="n">
        <f aca="false">'Engineering Cost'!J486*'Engineering Assumptions'!$B$6</f>
        <v>3750</v>
      </c>
      <c r="K486" s="12" t="n">
        <f aca="false">'Engineering Cost'!K486*'Engineering Assumptions'!$B$6</f>
        <v>3150</v>
      </c>
      <c r="L486" s="13" t="n">
        <f aca="false">SUM(H486:K486)</f>
        <v>61908</v>
      </c>
      <c r="M486" s="13" t="n">
        <f aca="false">L486*(1+'Engineering Assumptions'!$B$10)</f>
        <v>71194.2</v>
      </c>
    </row>
    <row r="487" customFormat="false" ht="15" hidden="false" customHeight="true" outlineLevel="0" collapsed="false">
      <c r="A487" s="9" t="n">
        <v>456</v>
      </c>
      <c r="B487" s="43" t="s">
        <v>145</v>
      </c>
      <c r="C487" s="43" t="s">
        <v>2488</v>
      </c>
      <c r="D487" s="43" t="s">
        <v>1356</v>
      </c>
      <c r="E487" s="43" t="s">
        <v>1357</v>
      </c>
      <c r="F487" s="45" t="s">
        <v>397</v>
      </c>
      <c r="G487" s="9" t="n">
        <v>9</v>
      </c>
      <c r="H487" s="12" t="n">
        <f aca="false">'Engineering Cost'!H487*'Engineering Assumptions'!$B$6</f>
        <v>55008</v>
      </c>
      <c r="I487" s="12" t="n">
        <f aca="false">IF('Engineering Cost'!I487=0,0,MAX('Engineering Cost'!I487*'Engineering Assumptions'!$B$6,'Engineering Assumptions'!$B$9))</f>
        <v>0</v>
      </c>
      <c r="J487" s="12" t="n">
        <f aca="false">'Engineering Cost'!J487*'Engineering Assumptions'!$B$6</f>
        <v>3750</v>
      </c>
      <c r="K487" s="12" t="n">
        <f aca="false">'Engineering Cost'!K487*'Engineering Assumptions'!$B$6</f>
        <v>3150</v>
      </c>
      <c r="L487" s="13" t="n">
        <f aca="false">SUM(H487:K487)</f>
        <v>61908</v>
      </c>
      <c r="M487" s="13" t="n">
        <f aca="false">L487*(1+'Engineering Assumptions'!$B$10)</f>
        <v>71194.2</v>
      </c>
    </row>
    <row r="488" customFormat="false" ht="15" hidden="false" customHeight="true" outlineLevel="0" collapsed="false">
      <c r="A488" s="9" t="n">
        <v>457</v>
      </c>
      <c r="B488" s="43" t="s">
        <v>145</v>
      </c>
      <c r="C488" s="43" t="s">
        <v>2488</v>
      </c>
      <c r="D488" s="43" t="s">
        <v>1301</v>
      </c>
      <c r="E488" s="43" t="s">
        <v>1302</v>
      </c>
      <c r="F488" s="45" t="s">
        <v>397</v>
      </c>
      <c r="G488" s="9" t="n">
        <v>9</v>
      </c>
      <c r="H488" s="12" t="n">
        <f aca="false">'Engineering Cost'!H488*'Engineering Assumptions'!$B$6</f>
        <v>55008</v>
      </c>
      <c r="I488" s="12" t="n">
        <f aca="false">IF('Engineering Cost'!I488=0,0,MAX('Engineering Cost'!I488*'Engineering Assumptions'!$B$6,'Engineering Assumptions'!$B$9))</f>
        <v>0</v>
      </c>
      <c r="J488" s="12" t="n">
        <f aca="false">'Engineering Cost'!J488*'Engineering Assumptions'!$B$6</f>
        <v>3750</v>
      </c>
      <c r="K488" s="12" t="n">
        <f aca="false">'Engineering Cost'!K488*'Engineering Assumptions'!$B$6</f>
        <v>3150</v>
      </c>
      <c r="L488" s="13" t="n">
        <f aca="false">SUM(H488:K488)</f>
        <v>61908</v>
      </c>
      <c r="M488" s="13" t="n">
        <f aca="false">L488*(1+'Engineering Assumptions'!$B$10)</f>
        <v>71194.2</v>
      </c>
    </row>
    <row r="489" customFormat="false" ht="15" hidden="false" customHeight="true" outlineLevel="0" collapsed="false">
      <c r="A489" s="9" t="n">
        <v>458</v>
      </c>
      <c r="B489" s="43" t="s">
        <v>145</v>
      </c>
      <c r="C489" s="43" t="s">
        <v>2489</v>
      </c>
      <c r="D489" s="43" t="s">
        <v>1296</v>
      </c>
      <c r="E489" s="43" t="s">
        <v>1298</v>
      </c>
      <c r="F489" s="45" t="s">
        <v>318</v>
      </c>
      <c r="G489" s="9" t="n">
        <v>10</v>
      </c>
      <c r="H489" s="12" t="n">
        <f aca="false">'Engineering Cost'!H489*'Engineering Assumptions'!$B$6</f>
        <v>55008</v>
      </c>
      <c r="I489" s="12" t="n">
        <f aca="false">IF('Engineering Cost'!I489=0,0,MAX('Engineering Cost'!I489*'Engineering Assumptions'!$B$6,'Engineering Assumptions'!$B$9))</f>
        <v>0</v>
      </c>
      <c r="J489" s="12" t="n">
        <f aca="false">'Engineering Cost'!J489*'Engineering Assumptions'!$B$6</f>
        <v>3750</v>
      </c>
      <c r="K489" s="12" t="n">
        <f aca="false">'Engineering Cost'!K489*'Engineering Assumptions'!$B$6</f>
        <v>3150</v>
      </c>
      <c r="L489" s="13" t="n">
        <f aca="false">SUM(H489:K489)</f>
        <v>61908</v>
      </c>
      <c r="M489" s="13" t="n">
        <f aca="false">L489*(1+'Engineering Assumptions'!$B$10)</f>
        <v>71194.2</v>
      </c>
    </row>
    <row r="490" customFormat="false" ht="15" hidden="false" customHeight="true" outlineLevel="0" collapsed="false">
      <c r="A490" s="9" t="n">
        <v>459</v>
      </c>
      <c r="B490" s="43" t="s">
        <v>145</v>
      </c>
      <c r="C490" s="43" t="s">
        <v>2486</v>
      </c>
      <c r="D490" s="43" t="s">
        <v>1299</v>
      </c>
      <c r="E490" s="43" t="s">
        <v>1300</v>
      </c>
      <c r="F490" s="45" t="s">
        <v>318</v>
      </c>
      <c r="G490" s="9" t="n">
        <v>10</v>
      </c>
      <c r="H490" s="12" t="n">
        <f aca="false">'Engineering Cost'!H490*'Engineering Assumptions'!$B$6</f>
        <v>55008</v>
      </c>
      <c r="I490" s="12" t="n">
        <f aca="false">IF('Engineering Cost'!I490=0,0,MAX('Engineering Cost'!I490*'Engineering Assumptions'!$B$6,'Engineering Assumptions'!$B$9))</f>
        <v>0</v>
      </c>
      <c r="J490" s="12" t="n">
        <f aca="false">'Engineering Cost'!J490*'Engineering Assumptions'!$B$6</f>
        <v>3750</v>
      </c>
      <c r="K490" s="12" t="n">
        <f aca="false">'Engineering Cost'!K490*'Engineering Assumptions'!$B$6</f>
        <v>3150</v>
      </c>
      <c r="L490" s="13" t="n">
        <f aca="false">SUM(H490:K490)</f>
        <v>61908</v>
      </c>
      <c r="M490" s="13" t="n">
        <f aca="false">L490*(1+'Engineering Assumptions'!$B$10)</f>
        <v>71194.2</v>
      </c>
    </row>
    <row r="491" customFormat="false" ht="15" hidden="false" customHeight="true" outlineLevel="0" collapsed="false">
      <c r="A491" s="9" t="n">
        <v>460</v>
      </c>
      <c r="B491" s="43" t="s">
        <v>145</v>
      </c>
      <c r="C491" s="43" t="s">
        <v>2486</v>
      </c>
      <c r="D491" s="43" t="s">
        <v>1340</v>
      </c>
      <c r="E491" s="43" t="s">
        <v>1341</v>
      </c>
      <c r="F491" s="45" t="s">
        <v>318</v>
      </c>
      <c r="G491" s="9" t="n">
        <v>10</v>
      </c>
      <c r="H491" s="12" t="n">
        <f aca="false">'Engineering Cost'!H491*'Engineering Assumptions'!$B$6</f>
        <v>55008</v>
      </c>
      <c r="I491" s="12" t="n">
        <f aca="false">IF('Engineering Cost'!I491=0,0,MAX('Engineering Cost'!I491*'Engineering Assumptions'!$B$6,'Engineering Assumptions'!$B$9))</f>
        <v>0</v>
      </c>
      <c r="J491" s="12" t="n">
        <f aca="false">'Engineering Cost'!J491*'Engineering Assumptions'!$B$6</f>
        <v>3750</v>
      </c>
      <c r="K491" s="12" t="n">
        <f aca="false">'Engineering Cost'!K491*'Engineering Assumptions'!$B$6</f>
        <v>3150</v>
      </c>
      <c r="L491" s="13" t="n">
        <f aca="false">SUM(H491:K491)</f>
        <v>61908</v>
      </c>
      <c r="M491" s="13" t="n">
        <f aca="false">L491*(1+'Engineering Assumptions'!$B$10)</f>
        <v>71194.2</v>
      </c>
    </row>
    <row r="492" customFormat="false" ht="15" hidden="false" customHeight="true" outlineLevel="0" collapsed="false">
      <c r="A492" s="9" t="n">
        <v>461</v>
      </c>
      <c r="B492" s="43" t="s">
        <v>145</v>
      </c>
      <c r="C492" s="43" t="s">
        <v>2486</v>
      </c>
      <c r="D492" s="43" t="s">
        <v>1344</v>
      </c>
      <c r="E492" s="43" t="s">
        <v>1345</v>
      </c>
      <c r="F492" s="45" t="s">
        <v>318</v>
      </c>
      <c r="G492" s="9" t="n">
        <v>10</v>
      </c>
      <c r="H492" s="12" t="n">
        <f aca="false">'Engineering Cost'!H492*'Engineering Assumptions'!$B$6</f>
        <v>55008</v>
      </c>
      <c r="I492" s="12" t="n">
        <f aca="false">IF('Engineering Cost'!I492=0,0,MAX('Engineering Cost'!I492*'Engineering Assumptions'!$B$6,'Engineering Assumptions'!$B$9))</f>
        <v>0</v>
      </c>
      <c r="J492" s="12" t="n">
        <f aca="false">'Engineering Cost'!J492*'Engineering Assumptions'!$B$6</f>
        <v>3750</v>
      </c>
      <c r="K492" s="12" t="n">
        <f aca="false">'Engineering Cost'!K492*'Engineering Assumptions'!$B$6</f>
        <v>3150</v>
      </c>
      <c r="L492" s="13" t="n">
        <f aca="false">SUM(H492:K492)</f>
        <v>61908</v>
      </c>
      <c r="M492" s="13" t="n">
        <f aca="false">L492*(1+'Engineering Assumptions'!$B$10)</f>
        <v>71194.2</v>
      </c>
    </row>
    <row r="493" customFormat="false" ht="15" hidden="false" customHeight="true" outlineLevel="0" collapsed="false">
      <c r="A493" s="9" t="n">
        <v>462</v>
      </c>
      <c r="B493" s="43" t="s">
        <v>145</v>
      </c>
      <c r="C493" s="43" t="s">
        <v>2488</v>
      </c>
      <c r="D493" s="43"/>
      <c r="E493" s="43"/>
      <c r="F493" s="45" t="s">
        <v>318</v>
      </c>
      <c r="G493" s="9" t="n">
        <v>10</v>
      </c>
      <c r="H493" s="12" t="n">
        <f aca="false">'Engineering Cost'!H493*'Engineering Assumptions'!$B$6</f>
        <v>55008</v>
      </c>
      <c r="I493" s="12" t="n">
        <f aca="false">IF('Engineering Cost'!I493=0,0,MAX('Engineering Cost'!I493*'Engineering Assumptions'!$B$6,'Engineering Assumptions'!$B$9))</f>
        <v>0</v>
      </c>
      <c r="J493" s="12" t="n">
        <f aca="false">'Engineering Cost'!J493*'Engineering Assumptions'!$B$6</f>
        <v>3750</v>
      </c>
      <c r="K493" s="12" t="n">
        <f aca="false">'Engineering Cost'!K493*'Engineering Assumptions'!$B$6</f>
        <v>3150</v>
      </c>
      <c r="L493" s="13" t="n">
        <f aca="false">SUM(H493:K493)</f>
        <v>61908</v>
      </c>
      <c r="M493" s="13" t="n">
        <f aca="false">L493*(1+'Engineering Assumptions'!$B$10)</f>
        <v>71194.2</v>
      </c>
    </row>
    <row r="494" customFormat="false" ht="15" hidden="false" customHeight="true" outlineLevel="0" collapsed="false">
      <c r="A494" s="9" t="n">
        <v>463</v>
      </c>
      <c r="B494" s="43" t="s">
        <v>145</v>
      </c>
      <c r="C494" s="43" t="s">
        <v>2486</v>
      </c>
      <c r="D494" s="43" t="s">
        <v>1303</v>
      </c>
      <c r="E494" s="43" t="s">
        <v>1304</v>
      </c>
      <c r="F494" s="45" t="s">
        <v>315</v>
      </c>
      <c r="G494" s="9" t="n">
        <v>11</v>
      </c>
      <c r="H494" s="12" t="n">
        <f aca="false">'Engineering Cost'!H494*'Engineering Assumptions'!$B$6</f>
        <v>55008</v>
      </c>
      <c r="I494" s="12" t="n">
        <f aca="false">IF('Engineering Cost'!I494=0,0,MAX('Engineering Cost'!I494*'Engineering Assumptions'!$B$6,'Engineering Assumptions'!$B$9))</f>
        <v>0</v>
      </c>
      <c r="J494" s="12" t="n">
        <f aca="false">'Engineering Cost'!J494*'Engineering Assumptions'!$B$6</f>
        <v>4650</v>
      </c>
      <c r="K494" s="12" t="n">
        <f aca="false">'Engineering Cost'!K494*'Engineering Assumptions'!$B$6</f>
        <v>5670</v>
      </c>
      <c r="L494" s="13" t="n">
        <f aca="false">SUM(H494:K494)</f>
        <v>65328</v>
      </c>
      <c r="M494" s="13" t="n">
        <f aca="false">L494*(1+'Engineering Assumptions'!$B$10)</f>
        <v>75127.2</v>
      </c>
    </row>
    <row r="495" customFormat="false" ht="15" hidden="false" customHeight="true" outlineLevel="0" collapsed="false">
      <c r="A495" s="9" t="n">
        <v>464</v>
      </c>
      <c r="B495" s="43" t="s">
        <v>145</v>
      </c>
      <c r="C495" s="43" t="s">
        <v>2486</v>
      </c>
      <c r="D495" s="43" t="s">
        <v>1342</v>
      </c>
      <c r="E495" s="43" t="s">
        <v>1343</v>
      </c>
      <c r="F495" s="45" t="s">
        <v>315</v>
      </c>
      <c r="G495" s="9" t="n">
        <v>11</v>
      </c>
      <c r="H495" s="12" t="n">
        <f aca="false">'Engineering Cost'!H495*'Engineering Assumptions'!$B$6</f>
        <v>55008</v>
      </c>
      <c r="I495" s="12" t="n">
        <f aca="false">IF('Engineering Cost'!I495=0,0,MAX('Engineering Cost'!I495*'Engineering Assumptions'!$B$6,'Engineering Assumptions'!$B$9))</f>
        <v>0</v>
      </c>
      <c r="J495" s="12" t="n">
        <f aca="false">'Engineering Cost'!J495*'Engineering Assumptions'!$B$6</f>
        <v>4650</v>
      </c>
      <c r="K495" s="12" t="n">
        <f aca="false">'Engineering Cost'!K495*'Engineering Assumptions'!$B$6</f>
        <v>5670</v>
      </c>
      <c r="L495" s="13" t="n">
        <f aca="false">SUM(H495:K495)</f>
        <v>65328</v>
      </c>
      <c r="M495" s="13" t="n">
        <f aca="false">L495*(1+'Engineering Assumptions'!$B$10)</f>
        <v>75127.2</v>
      </c>
    </row>
    <row r="496" customFormat="false" ht="15" hidden="false" customHeight="true" outlineLevel="0" collapsed="false">
      <c r="A496" s="9" t="n">
        <v>465</v>
      </c>
      <c r="B496" s="43" t="s">
        <v>145</v>
      </c>
      <c r="C496" s="43" t="s">
        <v>2490</v>
      </c>
      <c r="D496" s="43" t="s">
        <v>1305</v>
      </c>
      <c r="E496" s="43" t="s">
        <v>1307</v>
      </c>
      <c r="F496" s="45" t="s">
        <v>315</v>
      </c>
      <c r="G496" s="9" t="n">
        <v>11</v>
      </c>
      <c r="H496" s="12" t="n">
        <f aca="false">'Engineering Cost'!H496*'Engineering Assumptions'!$B$6</f>
        <v>55008</v>
      </c>
      <c r="I496" s="12" t="n">
        <f aca="false">IF('Engineering Cost'!I496=0,0,MAX('Engineering Cost'!I496*'Engineering Assumptions'!$B$6,'Engineering Assumptions'!$B$9))</f>
        <v>0</v>
      </c>
      <c r="J496" s="12" t="n">
        <f aca="false">'Engineering Cost'!J496*'Engineering Assumptions'!$B$6</f>
        <v>4650</v>
      </c>
      <c r="K496" s="12" t="n">
        <f aca="false">'Engineering Cost'!K496*'Engineering Assumptions'!$B$6</f>
        <v>5670</v>
      </c>
      <c r="L496" s="13" t="n">
        <f aca="false">SUM(H496:K496)</f>
        <v>65328</v>
      </c>
      <c r="M496" s="13" t="n">
        <f aca="false">L496*(1+'Engineering Assumptions'!$B$10)</f>
        <v>75127.2</v>
      </c>
    </row>
    <row r="497" customFormat="false" ht="15" hidden="false" customHeight="true" outlineLevel="0" collapsed="false">
      <c r="A497" s="9" t="n">
        <v>466</v>
      </c>
      <c r="B497" s="43" t="s">
        <v>145</v>
      </c>
      <c r="C497" s="43" t="s">
        <v>2490</v>
      </c>
      <c r="D497" s="43" t="s">
        <v>1346</v>
      </c>
      <c r="E497" s="43" t="s">
        <v>1347</v>
      </c>
      <c r="F497" s="45" t="s">
        <v>315</v>
      </c>
      <c r="G497" s="9" t="n">
        <v>11</v>
      </c>
      <c r="H497" s="12" t="n">
        <f aca="false">'Engineering Cost'!H497*'Engineering Assumptions'!$B$6</f>
        <v>55008</v>
      </c>
      <c r="I497" s="12" t="n">
        <f aca="false">IF('Engineering Cost'!I497=0,0,MAX('Engineering Cost'!I497*'Engineering Assumptions'!$B$6,'Engineering Assumptions'!$B$9))</f>
        <v>0</v>
      </c>
      <c r="J497" s="12" t="n">
        <f aca="false">'Engineering Cost'!J497*'Engineering Assumptions'!$B$6</f>
        <v>4650</v>
      </c>
      <c r="K497" s="12" t="n">
        <f aca="false">'Engineering Cost'!K497*'Engineering Assumptions'!$B$6</f>
        <v>5670</v>
      </c>
      <c r="L497" s="13" t="n">
        <f aca="false">SUM(H497:K497)</f>
        <v>65328</v>
      </c>
      <c r="M497" s="13" t="n">
        <f aca="false">L497*(1+'Engineering Assumptions'!$B$10)</f>
        <v>75127.2</v>
      </c>
    </row>
    <row r="498" customFormat="false" ht="15" hidden="false" customHeight="true" outlineLevel="0" collapsed="false">
      <c r="A498" s="9" t="n">
        <v>467</v>
      </c>
      <c r="B498" s="43" t="s">
        <v>145</v>
      </c>
      <c r="C498" s="43" t="s">
        <v>2491</v>
      </c>
      <c r="D498" s="43" t="s">
        <v>1308</v>
      </c>
      <c r="E498" s="43" t="s">
        <v>1310</v>
      </c>
      <c r="F498" s="45" t="s">
        <v>380</v>
      </c>
      <c r="G498" s="9" t="n">
        <v>13</v>
      </c>
      <c r="H498" s="12" t="n">
        <f aca="false">'Engineering Cost'!H498*'Engineering Assumptions'!$B$6</f>
        <v>55008</v>
      </c>
      <c r="I498" s="12" t="n">
        <f aca="false">IF('Engineering Cost'!I498=0,0,MAX('Engineering Cost'!I498*'Engineering Assumptions'!$B$6,'Engineering Assumptions'!$B$9))</f>
        <v>0</v>
      </c>
      <c r="J498" s="12" t="n">
        <f aca="false">'Engineering Cost'!J498*'Engineering Assumptions'!$B$6</f>
        <v>4650</v>
      </c>
      <c r="K498" s="12" t="n">
        <f aca="false">'Engineering Cost'!K498*'Engineering Assumptions'!$B$6</f>
        <v>5670</v>
      </c>
      <c r="L498" s="13" t="n">
        <f aca="false">SUM(H498:K498)</f>
        <v>65328</v>
      </c>
      <c r="M498" s="13" t="n">
        <f aca="false">L498*(1+'Engineering Assumptions'!$B$10)</f>
        <v>75127.2</v>
      </c>
    </row>
    <row r="499" customFormat="false" ht="15" hidden="false" customHeight="true" outlineLevel="0" collapsed="false">
      <c r="A499" s="9" t="n">
        <v>468</v>
      </c>
      <c r="B499" s="43" t="s">
        <v>145</v>
      </c>
      <c r="C499" s="43" t="s">
        <v>2491</v>
      </c>
      <c r="D499" s="43" t="s">
        <v>1350</v>
      </c>
      <c r="E499" s="43" t="s">
        <v>1351</v>
      </c>
      <c r="F499" s="45" t="s">
        <v>380</v>
      </c>
      <c r="G499" s="9" t="n">
        <v>13</v>
      </c>
      <c r="H499" s="12" t="n">
        <f aca="false">'Engineering Cost'!H499*'Engineering Assumptions'!$B$6</f>
        <v>55008</v>
      </c>
      <c r="I499" s="12" t="n">
        <f aca="false">IF('Engineering Cost'!I499=0,0,MAX('Engineering Cost'!I499*'Engineering Assumptions'!$B$6,'Engineering Assumptions'!$B$9))</f>
        <v>0</v>
      </c>
      <c r="J499" s="12" t="n">
        <f aca="false">'Engineering Cost'!J499*'Engineering Assumptions'!$B$6</f>
        <v>4650</v>
      </c>
      <c r="K499" s="12" t="n">
        <f aca="false">'Engineering Cost'!K499*'Engineering Assumptions'!$B$6</f>
        <v>5670</v>
      </c>
      <c r="L499" s="13" t="n">
        <f aca="false">SUM(H499:K499)</f>
        <v>65328</v>
      </c>
      <c r="M499" s="13" t="n">
        <f aca="false">L499*(1+'Engineering Assumptions'!$B$10)</f>
        <v>75127.2</v>
      </c>
    </row>
    <row r="500" customFormat="false" ht="15" hidden="false" customHeight="true" outlineLevel="0" collapsed="false">
      <c r="A500" s="9" t="n">
        <v>469</v>
      </c>
      <c r="B500" s="43" t="s">
        <v>145</v>
      </c>
      <c r="C500" s="43" t="s">
        <v>2486</v>
      </c>
      <c r="D500" s="43" t="s">
        <v>1311</v>
      </c>
      <c r="E500" s="43" t="s">
        <v>1312</v>
      </c>
      <c r="F500" s="45" t="s">
        <v>310</v>
      </c>
      <c r="G500" s="9" t="n">
        <v>14</v>
      </c>
      <c r="H500" s="12" t="n">
        <f aca="false">'Engineering Cost'!H500*'Engineering Assumptions'!$B$6</f>
        <v>55008</v>
      </c>
      <c r="I500" s="12" t="n">
        <f aca="false">IF('Engineering Cost'!I500=0,0,MAX('Engineering Cost'!I500*'Engineering Assumptions'!$B$6,'Engineering Assumptions'!$B$9))</f>
        <v>0</v>
      </c>
      <c r="J500" s="12" t="n">
        <f aca="false">'Engineering Cost'!J500*'Engineering Assumptions'!$B$6</f>
        <v>4650</v>
      </c>
      <c r="K500" s="12" t="n">
        <f aca="false">'Engineering Cost'!K500*'Engineering Assumptions'!$B$6</f>
        <v>5670</v>
      </c>
      <c r="L500" s="13" t="n">
        <f aca="false">SUM(H500:K500)</f>
        <v>65328</v>
      </c>
      <c r="M500" s="13" t="n">
        <f aca="false">L500*(1+'Engineering Assumptions'!$B$10)</f>
        <v>75127.2</v>
      </c>
    </row>
    <row r="501" customFormat="false" ht="15" hidden="false" customHeight="true" outlineLevel="0" collapsed="false">
      <c r="A501" s="9" t="n">
        <v>470</v>
      </c>
      <c r="B501" s="43" t="s">
        <v>145</v>
      </c>
      <c r="C501" s="43" t="s">
        <v>2486</v>
      </c>
      <c r="D501" s="43" t="s">
        <v>1334</v>
      </c>
      <c r="E501" s="43" t="s">
        <v>1335</v>
      </c>
      <c r="F501" s="45" t="s">
        <v>310</v>
      </c>
      <c r="G501" s="9" t="n">
        <v>14</v>
      </c>
      <c r="H501" s="12" t="n">
        <f aca="false">'Engineering Cost'!H501*'Engineering Assumptions'!$B$6</f>
        <v>55008</v>
      </c>
      <c r="I501" s="12" t="n">
        <f aca="false">IF('Engineering Cost'!I501=0,0,MAX('Engineering Cost'!I501*'Engineering Assumptions'!$B$6,'Engineering Assumptions'!$B$9))</f>
        <v>0</v>
      </c>
      <c r="J501" s="12" t="n">
        <f aca="false">'Engineering Cost'!J501*'Engineering Assumptions'!$B$6</f>
        <v>4650</v>
      </c>
      <c r="K501" s="12" t="n">
        <f aca="false">'Engineering Cost'!K501*'Engineering Assumptions'!$B$6</f>
        <v>5670</v>
      </c>
      <c r="L501" s="13" t="n">
        <f aca="false">SUM(H501:K501)</f>
        <v>65328</v>
      </c>
      <c r="M501" s="13" t="n">
        <f aca="false">L501*(1+'Engineering Assumptions'!$B$10)</f>
        <v>75127.2</v>
      </c>
    </row>
    <row r="502" customFormat="false" ht="15" hidden="false" customHeight="true" outlineLevel="0" collapsed="false">
      <c r="A502" s="9" t="n">
        <v>471</v>
      </c>
      <c r="B502" s="43" t="s">
        <v>145</v>
      </c>
      <c r="C502" s="43" t="s">
        <v>2486</v>
      </c>
      <c r="D502" s="43" t="s">
        <v>1336</v>
      </c>
      <c r="E502" s="43" t="s">
        <v>1337</v>
      </c>
      <c r="F502" s="45" t="s">
        <v>310</v>
      </c>
      <c r="G502" s="9" t="n">
        <v>14</v>
      </c>
      <c r="H502" s="12" t="n">
        <f aca="false">'Engineering Cost'!H502*'Engineering Assumptions'!$B$6</f>
        <v>55008</v>
      </c>
      <c r="I502" s="12" t="n">
        <f aca="false">IF('Engineering Cost'!I502=0,0,MAX('Engineering Cost'!I502*'Engineering Assumptions'!$B$6,'Engineering Assumptions'!$B$9))</f>
        <v>0</v>
      </c>
      <c r="J502" s="12" t="n">
        <f aca="false">'Engineering Cost'!J502*'Engineering Assumptions'!$B$6</f>
        <v>4650</v>
      </c>
      <c r="K502" s="12" t="n">
        <f aca="false">'Engineering Cost'!K502*'Engineering Assumptions'!$B$6</f>
        <v>5670</v>
      </c>
      <c r="L502" s="13" t="n">
        <f aca="false">SUM(H502:K502)</f>
        <v>65328</v>
      </c>
      <c r="M502" s="13" t="n">
        <f aca="false">L502*(1+'Engineering Assumptions'!$B$10)</f>
        <v>75127.2</v>
      </c>
    </row>
    <row r="503" customFormat="false" ht="15" hidden="false" customHeight="true" outlineLevel="0" collapsed="false">
      <c r="A503" s="9" t="n">
        <v>472</v>
      </c>
      <c r="B503" s="43" t="s">
        <v>145</v>
      </c>
      <c r="C503" s="43" t="s">
        <v>2491</v>
      </c>
      <c r="D503" s="43" t="s">
        <v>1313</v>
      </c>
      <c r="E503" s="43" t="s">
        <v>1314</v>
      </c>
      <c r="F503" s="45" t="s">
        <v>310</v>
      </c>
      <c r="G503" s="9" t="n">
        <v>14</v>
      </c>
      <c r="H503" s="12" t="n">
        <f aca="false">'Engineering Cost'!H503*'Engineering Assumptions'!$B$6</f>
        <v>55008</v>
      </c>
      <c r="I503" s="12" t="n">
        <f aca="false">IF('Engineering Cost'!I503=0,0,MAX('Engineering Cost'!I503*'Engineering Assumptions'!$B$6,'Engineering Assumptions'!$B$9))</f>
        <v>0</v>
      </c>
      <c r="J503" s="12" t="n">
        <f aca="false">'Engineering Cost'!J503*'Engineering Assumptions'!$B$6</f>
        <v>4650</v>
      </c>
      <c r="K503" s="12" t="n">
        <f aca="false">'Engineering Cost'!K503*'Engineering Assumptions'!$B$6</f>
        <v>5670</v>
      </c>
      <c r="L503" s="13" t="n">
        <f aca="false">SUM(H503:K503)</f>
        <v>65328</v>
      </c>
      <c r="M503" s="13" t="n">
        <f aca="false">L503*(1+'Engineering Assumptions'!$B$10)</f>
        <v>75127.2</v>
      </c>
    </row>
    <row r="504" customFormat="false" ht="15" hidden="false" customHeight="true" outlineLevel="0" collapsed="false">
      <c r="A504" s="9" t="n">
        <v>473</v>
      </c>
      <c r="B504" s="43" t="s">
        <v>145</v>
      </c>
      <c r="C504" s="43" t="s">
        <v>2491</v>
      </c>
      <c r="D504" s="43" t="s">
        <v>1338</v>
      </c>
      <c r="E504" s="43" t="s">
        <v>1339</v>
      </c>
      <c r="F504" s="45" t="s">
        <v>310</v>
      </c>
      <c r="G504" s="9" t="n">
        <v>14</v>
      </c>
      <c r="H504" s="12" t="n">
        <f aca="false">'Engineering Cost'!H504*'Engineering Assumptions'!$B$6</f>
        <v>55008</v>
      </c>
      <c r="I504" s="12" t="n">
        <f aca="false">IF('Engineering Cost'!I504=0,0,MAX('Engineering Cost'!I504*'Engineering Assumptions'!$B$6,'Engineering Assumptions'!$B$9))</f>
        <v>0</v>
      </c>
      <c r="J504" s="12" t="n">
        <f aca="false">'Engineering Cost'!J504*'Engineering Assumptions'!$B$6</f>
        <v>4650</v>
      </c>
      <c r="K504" s="12" t="n">
        <f aca="false">'Engineering Cost'!K504*'Engineering Assumptions'!$B$6</f>
        <v>5670</v>
      </c>
      <c r="L504" s="13" t="n">
        <f aca="false">SUM(H504:K504)</f>
        <v>65328</v>
      </c>
      <c r="M504" s="13" t="n">
        <f aca="false">L504*(1+'Engineering Assumptions'!$B$10)</f>
        <v>75127.2</v>
      </c>
    </row>
    <row r="505" customFormat="false" ht="15" hidden="false" customHeight="true" outlineLevel="0" collapsed="false">
      <c r="A505" s="9" t="n">
        <v>474</v>
      </c>
      <c r="B505" s="43" t="s">
        <v>145</v>
      </c>
      <c r="C505" s="43" t="s">
        <v>2491</v>
      </c>
      <c r="D505" s="43" t="s">
        <v>1348</v>
      </c>
      <c r="E505" s="43" t="s">
        <v>1349</v>
      </c>
      <c r="F505" s="45" t="s">
        <v>310</v>
      </c>
      <c r="G505" s="9" t="n">
        <v>14</v>
      </c>
      <c r="H505" s="12" t="n">
        <f aca="false">'Engineering Cost'!H505*'Engineering Assumptions'!$B$6</f>
        <v>55008</v>
      </c>
      <c r="I505" s="12" t="n">
        <f aca="false">IF('Engineering Cost'!I505=0,0,MAX('Engineering Cost'!I505*'Engineering Assumptions'!$B$6,'Engineering Assumptions'!$B$9))</f>
        <v>0</v>
      </c>
      <c r="J505" s="12" t="n">
        <f aca="false">'Engineering Cost'!J505*'Engineering Assumptions'!$B$6</f>
        <v>4650</v>
      </c>
      <c r="K505" s="12" t="n">
        <f aca="false">'Engineering Cost'!K505*'Engineering Assumptions'!$B$6</f>
        <v>5670</v>
      </c>
      <c r="L505" s="13" t="n">
        <f aca="false">SUM(H505:K505)</f>
        <v>65328</v>
      </c>
      <c r="M505" s="13" t="n">
        <f aca="false">L505*(1+'Engineering Assumptions'!$B$10)</f>
        <v>75127.2</v>
      </c>
    </row>
    <row r="506" customFormat="false" ht="15" hidden="false" customHeight="true" outlineLevel="0" collapsed="false">
      <c r="A506" s="9" t="n">
        <v>475</v>
      </c>
      <c r="B506" s="43" t="s">
        <v>145</v>
      </c>
      <c r="C506" s="43" t="s">
        <v>2491</v>
      </c>
      <c r="D506" s="43" t="s">
        <v>1315</v>
      </c>
      <c r="E506" s="43" t="s">
        <v>1316</v>
      </c>
      <c r="F506" s="45" t="s">
        <v>748</v>
      </c>
      <c r="G506" s="9" t="n">
        <v>15</v>
      </c>
      <c r="H506" s="12" t="n">
        <f aca="false">'Engineering Cost'!H506*'Engineering Assumptions'!$B$6</f>
        <v>55008</v>
      </c>
      <c r="I506" s="12" t="n">
        <f aca="false">IF('Engineering Cost'!I506=0,0,MAX('Engineering Cost'!I506*'Engineering Assumptions'!$B$6,'Engineering Assumptions'!$B$9))</f>
        <v>0</v>
      </c>
      <c r="J506" s="12" t="n">
        <f aca="false">'Engineering Cost'!J506*'Engineering Assumptions'!$B$6</f>
        <v>4650</v>
      </c>
      <c r="K506" s="12" t="n">
        <f aca="false">'Engineering Cost'!K506*'Engineering Assumptions'!$B$6</f>
        <v>5670</v>
      </c>
      <c r="L506" s="13" t="n">
        <f aca="false">SUM(H506:K506)</f>
        <v>65328</v>
      </c>
      <c r="M506" s="13" t="n">
        <f aca="false">L506*(1+'Engineering Assumptions'!$B$10)</f>
        <v>75127.2</v>
      </c>
    </row>
    <row r="507" customFormat="false" ht="15" hidden="false" customHeight="true" outlineLevel="0" collapsed="false">
      <c r="A507" s="9" t="n">
        <v>476</v>
      </c>
      <c r="B507" s="43" t="s">
        <v>145</v>
      </c>
      <c r="C507" s="43" t="s">
        <v>2491</v>
      </c>
      <c r="D507" s="43" t="s">
        <v>1292</v>
      </c>
      <c r="E507" s="43" t="s">
        <v>1293</v>
      </c>
      <c r="F507" s="45" t="s">
        <v>748</v>
      </c>
      <c r="G507" s="9" t="n">
        <v>15</v>
      </c>
      <c r="H507" s="12" t="n">
        <f aca="false">'Engineering Cost'!H507*'Engineering Assumptions'!$B$6</f>
        <v>55008</v>
      </c>
      <c r="I507" s="12" t="n">
        <f aca="false">IF('Engineering Cost'!I507=0,0,MAX('Engineering Cost'!I507*'Engineering Assumptions'!$B$6,'Engineering Assumptions'!$B$9))</f>
        <v>0</v>
      </c>
      <c r="J507" s="12" t="n">
        <f aca="false">'Engineering Cost'!J507*'Engineering Assumptions'!$B$6</f>
        <v>4650</v>
      </c>
      <c r="K507" s="12" t="n">
        <f aca="false">'Engineering Cost'!K507*'Engineering Assumptions'!$B$6</f>
        <v>5670</v>
      </c>
      <c r="L507" s="13" t="n">
        <f aca="false">SUM(H507:K507)</f>
        <v>65328</v>
      </c>
      <c r="M507" s="13" t="n">
        <f aca="false">L507*(1+'Engineering Assumptions'!$B$10)</f>
        <v>75127.2</v>
      </c>
    </row>
    <row r="508" customFormat="false" ht="15" hidden="false" customHeight="true" outlineLevel="0" collapsed="false">
      <c r="A508" s="9" t="n">
        <v>477</v>
      </c>
      <c r="B508" s="43" t="s">
        <v>145</v>
      </c>
      <c r="C508" s="43" t="s">
        <v>2491</v>
      </c>
      <c r="D508" s="43" t="s">
        <v>1352</v>
      </c>
      <c r="E508" s="43" t="s">
        <v>1353</v>
      </c>
      <c r="F508" s="45" t="s">
        <v>748</v>
      </c>
      <c r="G508" s="9" t="n">
        <v>15</v>
      </c>
      <c r="H508" s="12" t="n">
        <f aca="false">'Engineering Cost'!H508*'Engineering Assumptions'!$B$6</f>
        <v>55008</v>
      </c>
      <c r="I508" s="12" t="n">
        <f aca="false">IF('Engineering Cost'!I508=0,0,MAX('Engineering Cost'!I508*'Engineering Assumptions'!$B$6,'Engineering Assumptions'!$B$9))</f>
        <v>0</v>
      </c>
      <c r="J508" s="12" t="n">
        <f aca="false">'Engineering Cost'!J508*'Engineering Assumptions'!$B$6</f>
        <v>4650</v>
      </c>
      <c r="K508" s="12" t="n">
        <f aca="false">'Engineering Cost'!K508*'Engineering Assumptions'!$B$6</f>
        <v>5670</v>
      </c>
      <c r="L508" s="13" t="n">
        <f aca="false">SUM(H508:K508)</f>
        <v>65328</v>
      </c>
      <c r="M508" s="13" t="n">
        <f aca="false">L508*(1+'Engineering Assumptions'!$B$10)</f>
        <v>75127.2</v>
      </c>
    </row>
    <row r="509" customFormat="false" ht="15" hidden="false" customHeight="true" outlineLevel="0" collapsed="false">
      <c r="A509" s="9" t="n">
        <v>478</v>
      </c>
      <c r="B509" s="43" t="s">
        <v>145</v>
      </c>
      <c r="C509" s="43" t="s">
        <v>2492</v>
      </c>
      <c r="D509" s="43" t="s">
        <v>1317</v>
      </c>
      <c r="E509" s="43" t="s">
        <v>1319</v>
      </c>
      <c r="F509" s="45" t="s">
        <v>810</v>
      </c>
      <c r="G509" s="9" t="n">
        <v>19</v>
      </c>
      <c r="H509" s="12" t="n">
        <f aca="false">'Engineering Cost'!H509*'Engineering Assumptions'!$B$6</f>
        <v>55008</v>
      </c>
      <c r="I509" s="12" t="n">
        <f aca="false">IF('Engineering Cost'!I509=0,0,MAX('Engineering Cost'!I509*'Engineering Assumptions'!$B$6,'Engineering Assumptions'!$B$9))</f>
        <v>0</v>
      </c>
      <c r="J509" s="12" t="n">
        <f aca="false">'Engineering Cost'!J509*'Engineering Assumptions'!$B$6</f>
        <v>5850</v>
      </c>
      <c r="K509" s="12" t="n">
        <f aca="false">'Engineering Cost'!K509*'Engineering Assumptions'!$B$6</f>
        <v>8820</v>
      </c>
      <c r="L509" s="13" t="n">
        <f aca="false">SUM(H509:K509)</f>
        <v>69678</v>
      </c>
      <c r="M509" s="13" t="n">
        <f aca="false">L509*(1+'Engineering Assumptions'!$B$10)</f>
        <v>80129.7</v>
      </c>
    </row>
    <row r="510" customFormat="false" ht="15" hidden="false" customHeight="true" outlineLevel="0" collapsed="false">
      <c r="A510" s="9" t="n">
        <v>479</v>
      </c>
      <c r="B510" s="43" t="s">
        <v>145</v>
      </c>
      <c r="C510" s="43" t="s">
        <v>2493</v>
      </c>
      <c r="D510" s="43" t="s">
        <v>1320</v>
      </c>
      <c r="E510" s="43" t="s">
        <v>1322</v>
      </c>
      <c r="F510" s="45" t="s">
        <v>348</v>
      </c>
      <c r="G510" s="9" t="n">
        <v>20</v>
      </c>
      <c r="H510" s="12" t="n">
        <f aca="false">'Engineering Cost'!H510*'Engineering Assumptions'!$B$6</f>
        <v>55008</v>
      </c>
      <c r="I510" s="12" t="n">
        <f aca="false">IF('Engineering Cost'!I510=0,0,MAX('Engineering Cost'!I510*'Engineering Assumptions'!$B$6,'Engineering Assumptions'!$B$9))</f>
        <v>0</v>
      </c>
      <c r="J510" s="12" t="n">
        <f aca="false">'Engineering Cost'!J510*'Engineering Assumptions'!$B$6</f>
        <v>5850</v>
      </c>
      <c r="K510" s="12" t="n">
        <f aca="false">'Engineering Cost'!K510*'Engineering Assumptions'!$B$6</f>
        <v>8820</v>
      </c>
      <c r="L510" s="13" t="n">
        <f aca="false">SUM(H510:K510)</f>
        <v>69678</v>
      </c>
      <c r="M510" s="13" t="n">
        <f aca="false">L510*(1+'Engineering Assumptions'!$B$10)</f>
        <v>80129.7</v>
      </c>
    </row>
    <row r="511" customFormat="false" ht="15" hidden="false" customHeight="true" outlineLevel="0" collapsed="false">
      <c r="A511" s="9" t="n">
        <v>480</v>
      </c>
      <c r="B511" s="43" t="s">
        <v>145</v>
      </c>
      <c r="C511" s="43" t="s">
        <v>2493</v>
      </c>
      <c r="D511" s="43" t="s">
        <v>1289</v>
      </c>
      <c r="E511" s="43" t="s">
        <v>1291</v>
      </c>
      <c r="F511" s="45" t="s">
        <v>348</v>
      </c>
      <c r="G511" s="9" t="n">
        <v>20</v>
      </c>
      <c r="H511" s="12" t="n">
        <f aca="false">'Engineering Cost'!H511*'Engineering Assumptions'!$B$6</f>
        <v>55008</v>
      </c>
      <c r="I511" s="12" t="n">
        <f aca="false">IF('Engineering Cost'!I511=0,0,MAX('Engineering Cost'!I511*'Engineering Assumptions'!$B$6,'Engineering Assumptions'!$B$9))</f>
        <v>0</v>
      </c>
      <c r="J511" s="12" t="n">
        <f aca="false">'Engineering Cost'!J511*'Engineering Assumptions'!$B$6</f>
        <v>5850</v>
      </c>
      <c r="K511" s="12" t="n">
        <f aca="false">'Engineering Cost'!K511*'Engineering Assumptions'!$B$6</f>
        <v>8820</v>
      </c>
      <c r="L511" s="13" t="n">
        <f aca="false">SUM(H511:K511)</f>
        <v>69678</v>
      </c>
      <c r="M511" s="13" t="n">
        <f aca="false">L511*(1+'Engineering Assumptions'!$B$10)</f>
        <v>80129.7</v>
      </c>
    </row>
    <row r="512" customFormat="false" ht="15" hidden="false" customHeight="true" outlineLevel="0" collapsed="false">
      <c r="A512" s="9" t="n">
        <v>481</v>
      </c>
      <c r="B512" s="43" t="s">
        <v>145</v>
      </c>
      <c r="C512" s="43" t="s">
        <v>2494</v>
      </c>
      <c r="D512" s="43" t="s">
        <v>1324</v>
      </c>
      <c r="E512" s="43" t="s">
        <v>1326</v>
      </c>
      <c r="F512" s="45" t="s">
        <v>348</v>
      </c>
      <c r="G512" s="9" t="n">
        <v>20</v>
      </c>
      <c r="H512" s="12" t="n">
        <f aca="false">'Engineering Cost'!H512*'Engineering Assumptions'!$B$6</f>
        <v>55008</v>
      </c>
      <c r="I512" s="12" t="n">
        <f aca="false">IF('Engineering Cost'!I512=0,0,MAX('Engineering Cost'!I512*'Engineering Assumptions'!$B$6,'Engineering Assumptions'!$B$9))</f>
        <v>0</v>
      </c>
      <c r="J512" s="12" t="n">
        <f aca="false">'Engineering Cost'!J512*'Engineering Assumptions'!$B$6</f>
        <v>5850</v>
      </c>
      <c r="K512" s="12" t="n">
        <f aca="false">'Engineering Cost'!K512*'Engineering Assumptions'!$B$6</f>
        <v>8820</v>
      </c>
      <c r="L512" s="13" t="n">
        <f aca="false">SUM(H512:K512)</f>
        <v>69678</v>
      </c>
      <c r="M512" s="13" t="n">
        <f aca="false">L512*(1+'Engineering Assumptions'!$B$10)</f>
        <v>80129.7</v>
      </c>
    </row>
    <row r="513" customFormat="false" ht="15" hidden="false" customHeight="true" outlineLevel="0" collapsed="false">
      <c r="A513" s="9" t="n">
        <v>482</v>
      </c>
      <c r="B513" s="43" t="s">
        <v>145</v>
      </c>
      <c r="C513" s="43" t="s">
        <v>2495</v>
      </c>
      <c r="D513" s="43"/>
      <c r="E513" s="43"/>
      <c r="F513" s="45" t="s">
        <v>353</v>
      </c>
      <c r="G513" s="9" t="n">
        <v>22</v>
      </c>
      <c r="H513" s="12" t="n">
        <f aca="false">'Engineering Cost'!H513*'Engineering Assumptions'!$B$6</f>
        <v>55008</v>
      </c>
      <c r="I513" s="12" t="n">
        <f aca="false">IF('Engineering Cost'!I513=0,0,MAX('Engineering Cost'!I513*'Engineering Assumptions'!$B$6,'Engineering Assumptions'!$B$9))</f>
        <v>0</v>
      </c>
      <c r="J513" s="12" t="n">
        <f aca="false">'Engineering Cost'!J513*'Engineering Assumptions'!$B$6</f>
        <v>7200</v>
      </c>
      <c r="K513" s="12" t="n">
        <f aca="false">'Engineering Cost'!K513*'Engineering Assumptions'!$B$6</f>
        <v>12600</v>
      </c>
      <c r="L513" s="13" t="n">
        <f aca="false">SUM(H513:K513)</f>
        <v>74808</v>
      </c>
      <c r="M513" s="13" t="n">
        <f aca="false">L513*(1+'Engineering Assumptions'!$B$10)</f>
        <v>86029.2</v>
      </c>
    </row>
    <row r="514" customFormat="false" ht="15" hidden="false" customHeight="true" outlineLevel="0" collapsed="false">
      <c r="A514" s="9" t="n">
        <v>483</v>
      </c>
      <c r="B514" s="43" t="s">
        <v>145</v>
      </c>
      <c r="C514" s="43" t="s">
        <v>2496</v>
      </c>
      <c r="D514" s="43" t="s">
        <v>1331</v>
      </c>
      <c r="E514" s="43" t="s">
        <v>1333</v>
      </c>
      <c r="F514" s="45" t="s">
        <v>423</v>
      </c>
      <c r="G514" s="9" t="n">
        <v>23</v>
      </c>
      <c r="H514" s="12" t="n">
        <f aca="false">'Engineering Cost'!H514*'Engineering Assumptions'!$B$6</f>
        <v>55008</v>
      </c>
      <c r="I514" s="12" t="n">
        <f aca="false">IF('Engineering Cost'!I514=0,0,MAX('Engineering Cost'!I514*'Engineering Assumptions'!$B$6,'Engineering Assumptions'!$B$9))</f>
        <v>0</v>
      </c>
      <c r="J514" s="12" t="n">
        <f aca="false">'Engineering Cost'!J514*'Engineering Assumptions'!$B$6</f>
        <v>7200</v>
      </c>
      <c r="K514" s="12" t="n">
        <f aca="false">'Engineering Cost'!K514*'Engineering Assumptions'!$B$6</f>
        <v>12600</v>
      </c>
      <c r="L514" s="13" t="n">
        <f aca="false">SUM(H514:K514)</f>
        <v>74808</v>
      </c>
      <c r="M514" s="13" t="n">
        <f aca="false">L514*(1+'Engineering Assumptions'!$B$10)</f>
        <v>86029.2</v>
      </c>
    </row>
    <row r="515" customFormat="false" ht="15" hidden="false" customHeight="true" outlineLevel="0" collapsed="false">
      <c r="A515" s="9" t="n">
        <v>484</v>
      </c>
      <c r="B515" s="43" t="s">
        <v>145</v>
      </c>
      <c r="C515" s="43" t="s">
        <v>2313</v>
      </c>
      <c r="D515" s="43" t="s">
        <v>1371</v>
      </c>
      <c r="E515" s="43" t="s">
        <v>1372</v>
      </c>
      <c r="F515" s="45" t="s">
        <v>472</v>
      </c>
      <c r="G515" s="9" t="n">
        <v>30</v>
      </c>
      <c r="H515" s="12" t="n">
        <f aca="false">'Engineering Cost'!H515*'Engineering Assumptions'!$B$6</f>
        <v>55008</v>
      </c>
      <c r="I515" s="12" t="n">
        <f aca="false">IF('Engineering Cost'!I515=0,0,MAX('Engineering Cost'!I515*'Engineering Assumptions'!$B$6,'Engineering Assumptions'!$B$9))</f>
        <v>0</v>
      </c>
      <c r="J515" s="12" t="n">
        <f aca="false">'Engineering Cost'!J515*'Engineering Assumptions'!$B$6</f>
        <v>7200</v>
      </c>
      <c r="K515" s="12" t="n">
        <f aca="false">'Engineering Cost'!K515*'Engineering Assumptions'!$B$6</f>
        <v>12600</v>
      </c>
      <c r="L515" s="13" t="n">
        <f aca="false">SUM(H515:K515)</f>
        <v>74808</v>
      </c>
      <c r="M515" s="13" t="n">
        <f aca="false">L515*(1+'Engineering Assumptions'!$B$10)</f>
        <v>86029.2</v>
      </c>
    </row>
    <row r="516" customFormat="false" ht="15" hidden="false" customHeight="true" outlineLevel="0" collapsed="false">
      <c r="A516" s="9" t="n">
        <v>485</v>
      </c>
      <c r="B516" s="43" t="s">
        <v>145</v>
      </c>
      <c r="C516" s="43" t="s">
        <v>2313</v>
      </c>
      <c r="D516" s="43"/>
      <c r="E516" s="43"/>
      <c r="F516" s="45" t="s">
        <v>472</v>
      </c>
      <c r="G516" s="9" t="n">
        <v>30</v>
      </c>
      <c r="H516" s="12" t="n">
        <f aca="false">'Engineering Cost'!H516*'Engineering Assumptions'!$B$6</f>
        <v>55008</v>
      </c>
      <c r="I516" s="12" t="n">
        <f aca="false">IF('Engineering Cost'!I516=0,0,MAX('Engineering Cost'!I516*'Engineering Assumptions'!$B$6,'Engineering Assumptions'!$B$9))</f>
        <v>0</v>
      </c>
      <c r="J516" s="12" t="n">
        <f aca="false">'Engineering Cost'!J516*'Engineering Assumptions'!$B$6</f>
        <v>7200</v>
      </c>
      <c r="K516" s="12" t="n">
        <f aca="false">'Engineering Cost'!K516*'Engineering Assumptions'!$B$6</f>
        <v>12600</v>
      </c>
      <c r="L516" s="13" t="n">
        <f aca="false">SUM(H516:K516)</f>
        <v>74808</v>
      </c>
      <c r="M516" s="13" t="n">
        <f aca="false">L516*(1+'Engineering Assumptions'!$B$10)</f>
        <v>86029.2</v>
      </c>
    </row>
    <row r="517" customFormat="false" ht="15" hidden="false" customHeight="true" outlineLevel="0" collapsed="false">
      <c r="A517" s="9" t="n">
        <v>486</v>
      </c>
      <c r="B517" s="43" t="s">
        <v>145</v>
      </c>
      <c r="C517" s="43" t="s">
        <v>2313</v>
      </c>
      <c r="D517" s="43"/>
      <c r="E517" s="43"/>
      <c r="F517" s="45" t="s">
        <v>472</v>
      </c>
      <c r="G517" s="9" t="n">
        <v>30</v>
      </c>
      <c r="H517" s="12" t="n">
        <f aca="false">'Engineering Cost'!H517*'Engineering Assumptions'!$B$6</f>
        <v>55008</v>
      </c>
      <c r="I517" s="12" t="n">
        <f aca="false">IF('Engineering Cost'!I517=0,0,MAX('Engineering Cost'!I517*'Engineering Assumptions'!$B$6,'Engineering Assumptions'!$B$9))</f>
        <v>0</v>
      </c>
      <c r="J517" s="12" t="n">
        <f aca="false">'Engineering Cost'!J517*'Engineering Assumptions'!$B$6</f>
        <v>7200</v>
      </c>
      <c r="K517" s="12" t="n">
        <f aca="false">'Engineering Cost'!K517*'Engineering Assumptions'!$B$6</f>
        <v>12600</v>
      </c>
      <c r="L517" s="13" t="n">
        <f aca="false">SUM(H517:K517)</f>
        <v>74808</v>
      </c>
      <c r="M517" s="13" t="n">
        <f aca="false">L517*(1+'Engineering Assumptions'!$B$10)</f>
        <v>86029.2</v>
      </c>
    </row>
    <row r="518" customFormat="false" ht="15" hidden="false" customHeight="true" outlineLevel="0" collapsed="false">
      <c r="A518" s="9" t="n">
        <v>487</v>
      </c>
      <c r="B518" s="43" t="s">
        <v>145</v>
      </c>
      <c r="C518" s="43" t="s">
        <v>2313</v>
      </c>
      <c r="D518" s="43"/>
      <c r="E518" s="43"/>
      <c r="F518" s="45" t="s">
        <v>472</v>
      </c>
      <c r="G518" s="9" t="n">
        <v>30</v>
      </c>
      <c r="H518" s="12" t="n">
        <f aca="false">'Engineering Cost'!H518*'Engineering Assumptions'!$B$6</f>
        <v>55008</v>
      </c>
      <c r="I518" s="12" t="n">
        <f aca="false">IF('Engineering Cost'!I518=0,0,MAX('Engineering Cost'!I518*'Engineering Assumptions'!$B$6,'Engineering Assumptions'!$B$9))</f>
        <v>0</v>
      </c>
      <c r="J518" s="12" t="n">
        <f aca="false">'Engineering Cost'!J518*'Engineering Assumptions'!$B$6</f>
        <v>7200</v>
      </c>
      <c r="K518" s="12" t="n">
        <f aca="false">'Engineering Cost'!K518*'Engineering Assumptions'!$B$6</f>
        <v>12600</v>
      </c>
      <c r="L518" s="13" t="n">
        <f aca="false">SUM(H518:K518)</f>
        <v>74808</v>
      </c>
      <c r="M518" s="13" t="n">
        <f aca="false">L518*(1+'Engineering Assumptions'!$B$10)</f>
        <v>86029.2</v>
      </c>
    </row>
    <row r="519" customFormat="false" ht="41.25" hidden="false" customHeight="true" outlineLevel="0" collapsed="false">
      <c r="A519" s="9" t="n">
        <v>488</v>
      </c>
      <c r="B519" s="43" t="s">
        <v>145</v>
      </c>
      <c r="C519" s="43" t="s">
        <v>2313</v>
      </c>
      <c r="D519" s="43"/>
      <c r="E519" s="43"/>
      <c r="F519" s="45" t="s">
        <v>2119</v>
      </c>
      <c r="G519" s="9" t="n">
        <v>30</v>
      </c>
      <c r="H519" s="12" t="n">
        <f aca="false">'Engineering Cost'!H519*'Engineering Assumptions'!$B$6</f>
        <v>55008</v>
      </c>
      <c r="I519" s="12" t="n">
        <f aca="false">IF('Engineering Cost'!I519=0,0,MAX('Engineering Cost'!I519*'Engineering Assumptions'!$B$6,'Engineering Assumptions'!$B$9))</f>
        <v>0</v>
      </c>
      <c r="J519" s="12" t="n">
        <f aca="false">'Engineering Cost'!J519*'Engineering Assumptions'!$B$6</f>
        <v>7200</v>
      </c>
      <c r="K519" s="12" t="n">
        <f aca="false">'Engineering Cost'!K519*'Engineering Assumptions'!$B$6</f>
        <v>12600</v>
      </c>
      <c r="L519" s="13" t="n">
        <f aca="false">SUM(H519:K519)</f>
        <v>74808</v>
      </c>
      <c r="M519" s="13" t="n">
        <f aca="false">L519*(1+'Engineering Assumptions'!$B$10)</f>
        <v>86029.2</v>
      </c>
    </row>
    <row r="520" customFormat="false" ht="41.25" hidden="false" customHeight="true" outlineLevel="0" collapsed="false">
      <c r="A520" s="9" t="n">
        <v>489</v>
      </c>
      <c r="B520" s="43" t="s">
        <v>145</v>
      </c>
      <c r="C520" s="43" t="s">
        <v>2313</v>
      </c>
      <c r="D520" s="43"/>
      <c r="E520" s="43"/>
      <c r="F520" s="45" t="s">
        <v>2120</v>
      </c>
      <c r="G520" s="9" t="n">
        <v>30</v>
      </c>
      <c r="H520" s="12" t="n">
        <f aca="false">'Engineering Cost'!H520*'Engineering Assumptions'!$B$6</f>
        <v>55008</v>
      </c>
      <c r="I520" s="12" t="n">
        <f aca="false">IF('Engineering Cost'!I520=0,0,MAX('Engineering Cost'!I520*'Engineering Assumptions'!$B$6,'Engineering Assumptions'!$B$9))</f>
        <v>0</v>
      </c>
      <c r="J520" s="12" t="n">
        <f aca="false">'Engineering Cost'!J520*'Engineering Assumptions'!$B$6</f>
        <v>7200</v>
      </c>
      <c r="K520" s="12" t="n">
        <f aca="false">'Engineering Cost'!K520*'Engineering Assumptions'!$B$6</f>
        <v>12600</v>
      </c>
      <c r="L520" s="13" t="n">
        <f aca="false">SUM(H520:K520)</f>
        <v>74808</v>
      </c>
      <c r="M520" s="13" t="n">
        <f aca="false">L520*(1+'Engineering Assumptions'!$B$10)</f>
        <v>86029.2</v>
      </c>
    </row>
    <row r="521" customFormat="false" ht="41.25" hidden="false" customHeight="true" outlineLevel="0" collapsed="false">
      <c r="A521" s="9" t="n">
        <v>490</v>
      </c>
      <c r="B521" s="43" t="s">
        <v>145</v>
      </c>
      <c r="C521" s="43" t="s">
        <v>2313</v>
      </c>
      <c r="D521" s="43"/>
      <c r="E521" s="43"/>
      <c r="F521" s="45" t="s">
        <v>2121</v>
      </c>
      <c r="G521" s="9" t="n">
        <v>30</v>
      </c>
      <c r="H521" s="12" t="n">
        <f aca="false">'Engineering Cost'!H521*'Engineering Assumptions'!$B$6</f>
        <v>55008</v>
      </c>
      <c r="I521" s="12" t="n">
        <f aca="false">IF('Engineering Cost'!I521=0,0,MAX('Engineering Cost'!I521*'Engineering Assumptions'!$B$6,'Engineering Assumptions'!$B$9))</f>
        <v>0</v>
      </c>
      <c r="J521" s="12" t="n">
        <f aca="false">'Engineering Cost'!J521*'Engineering Assumptions'!$B$6</f>
        <v>7200</v>
      </c>
      <c r="K521" s="12" t="n">
        <f aca="false">'Engineering Cost'!K521*'Engineering Assumptions'!$B$6</f>
        <v>12600</v>
      </c>
      <c r="L521" s="13" t="n">
        <f aca="false">SUM(H521:K521)</f>
        <v>74808</v>
      </c>
      <c r="M521" s="13" t="n">
        <f aca="false">L521*(1+'Engineering Assumptions'!$B$10)</f>
        <v>86029.2</v>
      </c>
    </row>
    <row r="522" customFormat="false" ht="54.75" hidden="false" customHeight="true" outlineLevel="0" collapsed="false">
      <c r="A522" s="9" t="n">
        <v>491</v>
      </c>
      <c r="B522" s="43" t="s">
        <v>145</v>
      </c>
      <c r="C522" s="43" t="s">
        <v>2313</v>
      </c>
      <c r="D522" s="43"/>
      <c r="E522" s="43"/>
      <c r="F522" s="45" t="s">
        <v>2122</v>
      </c>
      <c r="G522" s="9" t="n">
        <v>30</v>
      </c>
      <c r="H522" s="12" t="n">
        <f aca="false">'Engineering Cost'!H522*'Engineering Assumptions'!$B$6</f>
        <v>55008</v>
      </c>
      <c r="I522" s="12" t="n">
        <f aca="false">IF('Engineering Cost'!I522=0,0,MAX('Engineering Cost'!I522*'Engineering Assumptions'!$B$6,'Engineering Assumptions'!$B$9))</f>
        <v>0</v>
      </c>
      <c r="J522" s="12" t="n">
        <f aca="false">'Engineering Cost'!J522*'Engineering Assumptions'!$B$6</f>
        <v>7200</v>
      </c>
      <c r="K522" s="12" t="n">
        <f aca="false">'Engineering Cost'!K522*'Engineering Assumptions'!$B$6</f>
        <v>12600</v>
      </c>
      <c r="L522" s="13" t="n">
        <f aca="false">SUM(H522:K522)</f>
        <v>74808</v>
      </c>
      <c r="M522" s="13" t="n">
        <f aca="false">L522*(1+'Engineering Assumptions'!$B$10)</f>
        <v>86029.2</v>
      </c>
    </row>
    <row r="523" customFormat="false" ht="15" hidden="false" customHeight="true" outlineLevel="0" collapsed="false">
      <c r="A523" s="9" t="n">
        <v>492</v>
      </c>
      <c r="B523" s="43" t="s">
        <v>145</v>
      </c>
      <c r="C523" s="43" t="s">
        <v>2313</v>
      </c>
      <c r="D523" s="43"/>
      <c r="E523" s="43"/>
      <c r="F523" s="45" t="s">
        <v>472</v>
      </c>
      <c r="G523" s="9" t="n">
        <v>30</v>
      </c>
      <c r="H523" s="12" t="n">
        <f aca="false">'Engineering Cost'!H523*'Engineering Assumptions'!$B$6</f>
        <v>55008</v>
      </c>
      <c r="I523" s="12" t="n">
        <f aca="false">IF('Engineering Cost'!I523=0,0,MAX('Engineering Cost'!I523*'Engineering Assumptions'!$B$6,'Engineering Assumptions'!$B$9))</f>
        <v>0</v>
      </c>
      <c r="J523" s="12" t="n">
        <f aca="false">'Engineering Cost'!J523*'Engineering Assumptions'!$B$6</f>
        <v>7200</v>
      </c>
      <c r="K523" s="12" t="n">
        <f aca="false">'Engineering Cost'!K523*'Engineering Assumptions'!$B$6</f>
        <v>12600</v>
      </c>
      <c r="L523" s="13" t="n">
        <f aca="false">SUM(H523:K523)</f>
        <v>74808</v>
      </c>
      <c r="M523" s="13" t="n">
        <f aca="false">L523*(1+'Engineering Assumptions'!$B$10)</f>
        <v>86029.2</v>
      </c>
    </row>
    <row r="524" customFormat="false" ht="41.25" hidden="false" customHeight="true" outlineLevel="0" collapsed="false">
      <c r="A524" s="9" t="n">
        <v>493</v>
      </c>
      <c r="B524" s="43" t="s">
        <v>145</v>
      </c>
      <c r="C524" s="43" t="s">
        <v>2313</v>
      </c>
      <c r="D524" s="43"/>
      <c r="E524" s="43"/>
      <c r="F524" s="45" t="s">
        <v>2124</v>
      </c>
      <c r="G524" s="9" t="n">
        <v>30</v>
      </c>
      <c r="H524" s="12" t="n">
        <f aca="false">'Engineering Cost'!H524*'Engineering Assumptions'!$B$6</f>
        <v>55008</v>
      </c>
      <c r="I524" s="12" t="n">
        <f aca="false">IF('Engineering Cost'!I524=0,0,MAX('Engineering Cost'!I524*'Engineering Assumptions'!$B$6,'Engineering Assumptions'!$B$9))</f>
        <v>0</v>
      </c>
      <c r="J524" s="12" t="n">
        <f aca="false">'Engineering Cost'!J524*'Engineering Assumptions'!$B$6</f>
        <v>7200</v>
      </c>
      <c r="K524" s="12" t="n">
        <f aca="false">'Engineering Cost'!K524*'Engineering Assumptions'!$B$6</f>
        <v>12600</v>
      </c>
      <c r="L524" s="13" t="n">
        <f aca="false">SUM(H524:K524)</f>
        <v>74808</v>
      </c>
      <c r="M524" s="13" t="n">
        <f aca="false">L524*(1+'Engineering Assumptions'!$B$10)</f>
        <v>86029.2</v>
      </c>
    </row>
    <row r="525" customFormat="false" ht="41.25" hidden="false" customHeight="true" outlineLevel="0" collapsed="false">
      <c r="A525" s="9" t="n">
        <v>494</v>
      </c>
      <c r="B525" s="43" t="s">
        <v>145</v>
      </c>
      <c r="C525" s="43" t="s">
        <v>2313</v>
      </c>
      <c r="D525" s="43"/>
      <c r="E525" s="43"/>
      <c r="F525" s="45" t="s">
        <v>1354</v>
      </c>
      <c r="G525" s="9" t="n">
        <v>30</v>
      </c>
      <c r="H525" s="12" t="n">
        <f aca="false">'Engineering Cost'!H525*'Engineering Assumptions'!$B$6</f>
        <v>55008</v>
      </c>
      <c r="I525" s="12" t="n">
        <f aca="false">IF('Engineering Cost'!I525=0,0,MAX('Engineering Cost'!I525*'Engineering Assumptions'!$B$6,'Engineering Assumptions'!$B$9))</f>
        <v>0</v>
      </c>
      <c r="J525" s="12" t="n">
        <f aca="false">'Engineering Cost'!J525*'Engineering Assumptions'!$B$6</f>
        <v>7200</v>
      </c>
      <c r="K525" s="12" t="n">
        <f aca="false">'Engineering Cost'!K525*'Engineering Assumptions'!$B$6</f>
        <v>12600</v>
      </c>
      <c r="L525" s="13" t="n">
        <f aca="false">SUM(H525:K525)</f>
        <v>74808</v>
      </c>
      <c r="M525" s="13" t="n">
        <f aca="false">L525*(1+'Engineering Assumptions'!$B$10)</f>
        <v>86029.2</v>
      </c>
    </row>
    <row r="526" customFormat="false" ht="54.75" hidden="false" customHeight="true" outlineLevel="0" collapsed="false">
      <c r="A526" s="9" t="n">
        <v>495</v>
      </c>
      <c r="B526" s="43" t="s">
        <v>145</v>
      </c>
      <c r="C526" s="43" t="s">
        <v>2313</v>
      </c>
      <c r="D526" s="43"/>
      <c r="E526" s="43"/>
      <c r="F526" s="45" t="s">
        <v>2127</v>
      </c>
      <c r="G526" s="9" t="n">
        <v>30</v>
      </c>
      <c r="H526" s="12" t="n">
        <f aca="false">'Engineering Cost'!H526*'Engineering Assumptions'!$B$6</f>
        <v>55008</v>
      </c>
      <c r="I526" s="12" t="n">
        <f aca="false">IF('Engineering Cost'!I526=0,0,MAX('Engineering Cost'!I526*'Engineering Assumptions'!$B$6,'Engineering Assumptions'!$B$9))</f>
        <v>0</v>
      </c>
      <c r="J526" s="12" t="n">
        <f aca="false">'Engineering Cost'!J526*'Engineering Assumptions'!$B$6</f>
        <v>7200</v>
      </c>
      <c r="K526" s="12" t="n">
        <f aca="false">'Engineering Cost'!K526*'Engineering Assumptions'!$B$6</f>
        <v>12600</v>
      </c>
      <c r="L526" s="13" t="n">
        <f aca="false">SUM(H526:K526)</f>
        <v>74808</v>
      </c>
      <c r="M526" s="13" t="n">
        <f aca="false">L526*(1+'Engineering Assumptions'!$B$10)</f>
        <v>86029.2</v>
      </c>
    </row>
    <row r="527" customFormat="false" ht="54.75" hidden="false" customHeight="true" outlineLevel="0" collapsed="false">
      <c r="A527" s="9" t="n">
        <v>496</v>
      </c>
      <c r="B527" s="43" t="s">
        <v>145</v>
      </c>
      <c r="C527" s="43" t="s">
        <v>2313</v>
      </c>
      <c r="D527" s="43"/>
      <c r="E527" s="43"/>
      <c r="F527" s="45" t="s">
        <v>1358</v>
      </c>
      <c r="G527" s="9" t="n">
        <v>30</v>
      </c>
      <c r="H527" s="12" t="n">
        <f aca="false">'Engineering Cost'!H527*'Engineering Assumptions'!$B$6</f>
        <v>55008</v>
      </c>
      <c r="I527" s="12" t="n">
        <f aca="false">IF('Engineering Cost'!I527=0,0,MAX('Engineering Cost'!I527*'Engineering Assumptions'!$B$6,'Engineering Assumptions'!$B$9))</f>
        <v>0</v>
      </c>
      <c r="J527" s="12" t="n">
        <f aca="false">'Engineering Cost'!J527*'Engineering Assumptions'!$B$6</f>
        <v>7200</v>
      </c>
      <c r="K527" s="12" t="n">
        <f aca="false">'Engineering Cost'!K527*'Engineering Assumptions'!$B$6</f>
        <v>12600</v>
      </c>
      <c r="L527" s="13" t="n">
        <f aca="false">SUM(H527:K527)</f>
        <v>74808</v>
      </c>
      <c r="M527" s="13" t="n">
        <f aca="false">L527*(1+'Engineering Assumptions'!$B$10)</f>
        <v>86029.2</v>
      </c>
    </row>
    <row r="528" customFormat="false" ht="54.75" hidden="false" customHeight="true" outlineLevel="0" collapsed="false">
      <c r="A528" s="9" t="n">
        <v>497</v>
      </c>
      <c r="B528" s="43" t="s">
        <v>145</v>
      </c>
      <c r="C528" s="43" t="s">
        <v>2313</v>
      </c>
      <c r="D528" s="43"/>
      <c r="E528" s="43"/>
      <c r="F528" s="45" t="s">
        <v>1360</v>
      </c>
      <c r="G528" s="9" t="n">
        <v>30</v>
      </c>
      <c r="H528" s="12" t="n">
        <f aca="false">'Engineering Cost'!H528*'Engineering Assumptions'!$B$6</f>
        <v>55008</v>
      </c>
      <c r="I528" s="12" t="n">
        <f aca="false">IF('Engineering Cost'!I528=0,0,MAX('Engineering Cost'!I528*'Engineering Assumptions'!$B$6,'Engineering Assumptions'!$B$9))</f>
        <v>0</v>
      </c>
      <c r="J528" s="12" t="n">
        <f aca="false">'Engineering Cost'!J528*'Engineering Assumptions'!$B$6</f>
        <v>7200</v>
      </c>
      <c r="K528" s="12" t="n">
        <f aca="false">'Engineering Cost'!K528*'Engineering Assumptions'!$B$6</f>
        <v>12600</v>
      </c>
      <c r="L528" s="13" t="n">
        <f aca="false">SUM(H528:K528)</f>
        <v>74808</v>
      </c>
      <c r="M528" s="13" t="n">
        <f aca="false">L528*(1+'Engineering Assumptions'!$B$10)</f>
        <v>86029.2</v>
      </c>
    </row>
    <row r="529" customFormat="false" ht="15" hidden="false" customHeight="true" outlineLevel="0" collapsed="false">
      <c r="A529" s="9" t="n">
        <v>498</v>
      </c>
      <c r="B529" s="43" t="s">
        <v>145</v>
      </c>
      <c r="C529" s="43" t="s">
        <v>2313</v>
      </c>
      <c r="D529" s="43"/>
      <c r="E529" s="43"/>
      <c r="F529" s="45" t="s">
        <v>472</v>
      </c>
      <c r="G529" s="9" t="n">
        <v>30</v>
      </c>
      <c r="H529" s="12" t="n">
        <f aca="false">'Engineering Cost'!H529*'Engineering Assumptions'!$B$6</f>
        <v>55008</v>
      </c>
      <c r="I529" s="12" t="n">
        <f aca="false">IF('Engineering Cost'!I529=0,0,MAX('Engineering Cost'!I529*'Engineering Assumptions'!$B$6,'Engineering Assumptions'!$B$9))</f>
        <v>0</v>
      </c>
      <c r="J529" s="12" t="n">
        <f aca="false">'Engineering Cost'!J529*'Engineering Assumptions'!$B$6</f>
        <v>7200</v>
      </c>
      <c r="K529" s="12" t="n">
        <f aca="false">'Engineering Cost'!K529*'Engineering Assumptions'!$B$6</f>
        <v>12600</v>
      </c>
      <c r="L529" s="13" t="n">
        <f aca="false">SUM(H529:K529)</f>
        <v>74808</v>
      </c>
      <c r="M529" s="13" t="n">
        <f aca="false">L529*(1+'Engineering Assumptions'!$B$10)</f>
        <v>86029.2</v>
      </c>
    </row>
    <row r="530" customFormat="false" ht="15" hidden="false" customHeight="true" outlineLevel="0" collapsed="false">
      <c r="A530" s="9" t="n">
        <v>499</v>
      </c>
      <c r="B530" s="43" t="s">
        <v>145</v>
      </c>
      <c r="C530" s="43" t="s">
        <v>2313</v>
      </c>
      <c r="D530" s="43"/>
      <c r="E530" s="43"/>
      <c r="F530" s="45" t="s">
        <v>472</v>
      </c>
      <c r="G530" s="9" t="n">
        <v>30</v>
      </c>
      <c r="H530" s="12" t="n">
        <f aca="false">'Engineering Cost'!H530*'Engineering Assumptions'!$B$6</f>
        <v>55008</v>
      </c>
      <c r="I530" s="12" t="n">
        <f aca="false">IF('Engineering Cost'!I530=0,0,MAX('Engineering Cost'!I530*'Engineering Assumptions'!$B$6,'Engineering Assumptions'!$B$9))</f>
        <v>0</v>
      </c>
      <c r="J530" s="12" t="n">
        <f aca="false">'Engineering Cost'!J530*'Engineering Assumptions'!$B$6</f>
        <v>7200</v>
      </c>
      <c r="K530" s="12" t="n">
        <f aca="false">'Engineering Cost'!K530*'Engineering Assumptions'!$B$6</f>
        <v>12600</v>
      </c>
      <c r="L530" s="13" t="n">
        <f aca="false">SUM(H530:K530)</f>
        <v>74808</v>
      </c>
      <c r="M530" s="13" t="n">
        <f aca="false">L530*(1+'Engineering Assumptions'!$B$10)</f>
        <v>86029.2</v>
      </c>
    </row>
    <row r="531" customFormat="false" ht="15" hidden="false" customHeight="true" outlineLevel="0" collapsed="false">
      <c r="A531" s="9" t="n">
        <v>500</v>
      </c>
      <c r="B531" s="43" t="s">
        <v>145</v>
      </c>
      <c r="C531" s="43" t="s">
        <v>2313</v>
      </c>
      <c r="D531" s="43"/>
      <c r="E531" s="43"/>
      <c r="F531" s="45" t="s">
        <v>472</v>
      </c>
      <c r="G531" s="9" t="n">
        <v>30</v>
      </c>
      <c r="H531" s="12" t="n">
        <f aca="false">'Engineering Cost'!H531*'Engineering Assumptions'!$B$6</f>
        <v>55008</v>
      </c>
      <c r="I531" s="12" t="n">
        <f aca="false">IF('Engineering Cost'!I531=0,0,MAX('Engineering Cost'!I531*'Engineering Assumptions'!$B$6,'Engineering Assumptions'!$B$9))</f>
        <v>0</v>
      </c>
      <c r="J531" s="12" t="n">
        <f aca="false">'Engineering Cost'!J531*'Engineering Assumptions'!$B$6</f>
        <v>7200</v>
      </c>
      <c r="K531" s="12" t="n">
        <f aca="false">'Engineering Cost'!K531*'Engineering Assumptions'!$B$6</f>
        <v>12600</v>
      </c>
      <c r="L531" s="13" t="n">
        <f aca="false">SUM(H531:K531)</f>
        <v>74808</v>
      </c>
      <c r="M531" s="13" t="n">
        <f aca="false">L531*(1+'Engineering Assumptions'!$B$10)</f>
        <v>86029.2</v>
      </c>
    </row>
    <row r="532" customFormat="false" ht="15" hidden="false" customHeight="true" outlineLevel="0" collapsed="false">
      <c r="A532" s="9" t="n">
        <v>501</v>
      </c>
      <c r="B532" s="43" t="s">
        <v>145</v>
      </c>
      <c r="C532" s="43" t="s">
        <v>2313</v>
      </c>
      <c r="D532" s="43"/>
      <c r="E532" s="43"/>
      <c r="F532" s="45" t="s">
        <v>472</v>
      </c>
      <c r="G532" s="9" t="n">
        <v>30</v>
      </c>
      <c r="H532" s="12" t="n">
        <f aca="false">'Engineering Cost'!H532*'Engineering Assumptions'!$B$6</f>
        <v>55008</v>
      </c>
      <c r="I532" s="12" t="n">
        <f aca="false">IF('Engineering Cost'!I532=0,0,MAX('Engineering Cost'!I532*'Engineering Assumptions'!$B$6,'Engineering Assumptions'!$B$9))</f>
        <v>0</v>
      </c>
      <c r="J532" s="12" t="n">
        <f aca="false">'Engineering Cost'!J532*'Engineering Assumptions'!$B$6</f>
        <v>7200</v>
      </c>
      <c r="K532" s="12" t="n">
        <f aca="false">'Engineering Cost'!K532*'Engineering Assumptions'!$B$6</f>
        <v>12600</v>
      </c>
      <c r="L532" s="13" t="n">
        <f aca="false">SUM(H532:K532)</f>
        <v>74808</v>
      </c>
      <c r="M532" s="13" t="n">
        <f aca="false">L532*(1+'Engineering Assumptions'!$B$10)</f>
        <v>86029.2</v>
      </c>
    </row>
    <row r="533" customFormat="false" ht="41.25" hidden="false" customHeight="true" outlineLevel="0" collapsed="false">
      <c r="A533" s="9" t="n">
        <v>502</v>
      </c>
      <c r="B533" s="43" t="s">
        <v>145</v>
      </c>
      <c r="C533" s="43" t="s">
        <v>2313</v>
      </c>
      <c r="D533" s="43"/>
      <c r="E533" s="43"/>
      <c r="F533" s="45" t="s">
        <v>1366</v>
      </c>
      <c r="G533" s="9" t="n">
        <v>30</v>
      </c>
      <c r="H533" s="12" t="n">
        <f aca="false">'Engineering Cost'!H533*'Engineering Assumptions'!$B$6</f>
        <v>55008</v>
      </c>
      <c r="I533" s="12" t="n">
        <f aca="false">IF('Engineering Cost'!I533=0,0,MAX('Engineering Cost'!I533*'Engineering Assumptions'!$B$6,'Engineering Assumptions'!$B$9))</f>
        <v>0</v>
      </c>
      <c r="J533" s="12" t="n">
        <f aca="false">'Engineering Cost'!J533*'Engineering Assumptions'!$B$6</f>
        <v>7200</v>
      </c>
      <c r="K533" s="12" t="n">
        <f aca="false">'Engineering Cost'!K533*'Engineering Assumptions'!$B$6</f>
        <v>12600</v>
      </c>
      <c r="L533" s="13" t="n">
        <f aca="false">SUM(H533:K533)</f>
        <v>74808</v>
      </c>
      <c r="M533" s="13" t="n">
        <f aca="false">L533*(1+'Engineering Assumptions'!$B$10)</f>
        <v>86029.2</v>
      </c>
    </row>
    <row r="534" customFormat="false" ht="54.75" hidden="false" customHeight="true" outlineLevel="0" collapsed="false">
      <c r="A534" s="9" t="n">
        <v>503</v>
      </c>
      <c r="B534" s="43" t="s">
        <v>145</v>
      </c>
      <c r="C534" s="43" t="s">
        <v>2313</v>
      </c>
      <c r="D534" s="43"/>
      <c r="E534" s="43"/>
      <c r="F534" s="45" t="s">
        <v>1368</v>
      </c>
      <c r="G534" s="9" t="n">
        <v>30</v>
      </c>
      <c r="H534" s="12" t="n">
        <f aca="false">'Engineering Cost'!H534*'Engineering Assumptions'!$B$6</f>
        <v>55008</v>
      </c>
      <c r="I534" s="12" t="n">
        <f aca="false">IF('Engineering Cost'!I534=0,0,MAX('Engineering Cost'!I534*'Engineering Assumptions'!$B$6,'Engineering Assumptions'!$B$9))</f>
        <v>0</v>
      </c>
      <c r="J534" s="12" t="n">
        <f aca="false">'Engineering Cost'!J534*'Engineering Assumptions'!$B$6</f>
        <v>7200</v>
      </c>
      <c r="K534" s="12" t="n">
        <f aca="false">'Engineering Cost'!K534*'Engineering Assumptions'!$B$6</f>
        <v>12600</v>
      </c>
      <c r="L534" s="13" t="n">
        <f aca="false">SUM(H534:K534)</f>
        <v>74808</v>
      </c>
      <c r="M534" s="13" t="n">
        <f aca="false">L534*(1+'Engineering Assumptions'!$B$10)</f>
        <v>86029.2</v>
      </c>
    </row>
    <row r="535" customFormat="false" ht="15" hidden="false" customHeight="true" outlineLevel="0" collapsed="false">
      <c r="A535" s="9" t="n">
        <v>504</v>
      </c>
      <c r="B535" s="43" t="s">
        <v>145</v>
      </c>
      <c r="C535" s="43" t="s">
        <v>2497</v>
      </c>
      <c r="D535" s="43"/>
      <c r="E535" s="43"/>
      <c r="F535" s="45" t="s">
        <v>472</v>
      </c>
      <c r="G535" s="9" t="n">
        <v>30</v>
      </c>
      <c r="H535" s="12" t="n">
        <f aca="false">'Engineering Cost'!H535*'Engineering Assumptions'!$B$6</f>
        <v>55008</v>
      </c>
      <c r="I535" s="12" t="n">
        <f aca="false">IF('Engineering Cost'!I535=0,0,MAX('Engineering Cost'!I535*'Engineering Assumptions'!$B$6,'Engineering Assumptions'!$B$9))</f>
        <v>0</v>
      </c>
      <c r="J535" s="12" t="n">
        <f aca="false">'Engineering Cost'!J535*'Engineering Assumptions'!$B$6</f>
        <v>7200</v>
      </c>
      <c r="K535" s="12" t="n">
        <f aca="false">'Engineering Cost'!K535*'Engineering Assumptions'!$B$6</f>
        <v>12600</v>
      </c>
      <c r="L535" s="13" t="n">
        <f aca="false">SUM(H535:K535)</f>
        <v>74808</v>
      </c>
      <c r="M535" s="13" t="n">
        <f aca="false">L535*(1+'Engineering Assumptions'!$B$10)</f>
        <v>86029.2</v>
      </c>
    </row>
    <row r="536" customFormat="false" ht="41.25" hidden="false" customHeight="true" outlineLevel="0" collapsed="false">
      <c r="A536" s="9" t="n">
        <v>505</v>
      </c>
      <c r="B536" s="43" t="s">
        <v>145</v>
      </c>
      <c r="C536" s="43" t="s">
        <v>2498</v>
      </c>
      <c r="D536" s="43"/>
      <c r="E536" s="43"/>
      <c r="F536" s="45" t="s">
        <v>1373</v>
      </c>
      <c r="G536" s="9" t="n">
        <v>30</v>
      </c>
      <c r="H536" s="12" t="n">
        <f aca="false">'Engineering Cost'!H536*'Engineering Assumptions'!$B$6</f>
        <v>55008</v>
      </c>
      <c r="I536" s="12" t="n">
        <f aca="false">IF('Engineering Cost'!I536=0,0,MAX('Engineering Cost'!I536*'Engineering Assumptions'!$B$6,'Engineering Assumptions'!$B$9))</f>
        <v>0</v>
      </c>
      <c r="J536" s="12" t="n">
        <f aca="false">'Engineering Cost'!J536*'Engineering Assumptions'!$B$6</f>
        <v>7200</v>
      </c>
      <c r="K536" s="12" t="n">
        <f aca="false">'Engineering Cost'!K536*'Engineering Assumptions'!$B$6</f>
        <v>12600</v>
      </c>
      <c r="L536" s="13" t="n">
        <f aca="false">SUM(H536:K536)</f>
        <v>74808</v>
      </c>
      <c r="M536" s="13" t="n">
        <f aca="false">L536*(1+'Engineering Assumptions'!$B$10)</f>
        <v>86029.2</v>
      </c>
    </row>
    <row r="537" customFormat="false" ht="15" hidden="false" customHeight="true" outlineLevel="0" collapsed="false">
      <c r="A537" s="42" t="s">
        <v>1375</v>
      </c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</row>
    <row r="538" customFormat="false" ht="27.75" hidden="false" customHeight="true" outlineLevel="0" collapsed="false">
      <c r="A538" s="9" t="n">
        <v>506</v>
      </c>
      <c r="B538" s="43" t="s">
        <v>147</v>
      </c>
      <c r="C538" s="43" t="s">
        <v>2499</v>
      </c>
      <c r="D538" s="43" t="s">
        <v>1376</v>
      </c>
      <c r="E538" s="43" t="s">
        <v>1244</v>
      </c>
      <c r="F538" s="45" t="s">
        <v>397</v>
      </c>
      <c r="G538" s="9" t="n">
        <v>9</v>
      </c>
      <c r="H538" s="12" t="n">
        <f aca="false">'Engineering Cost'!H538*'Engineering Assumptions'!$B$6</f>
        <v>206280</v>
      </c>
      <c r="I538" s="12" t="n">
        <f aca="false">IF('Engineering Cost'!I538=0,0,MAX('Engineering Cost'!I538*'Engineering Assumptions'!$B$6,'Engineering Assumptions'!$B$9))</f>
        <v>78000</v>
      </c>
      <c r="J538" s="12" t="n">
        <f aca="false">'Engineering Cost'!J538*'Engineering Assumptions'!$B$6</f>
        <v>16500</v>
      </c>
      <c r="K538" s="12" t="n">
        <f aca="false">'Engineering Cost'!K538*'Engineering Assumptions'!$B$6</f>
        <v>12600</v>
      </c>
      <c r="L538" s="13" t="n">
        <f aca="false">SUM(H538:K538)</f>
        <v>313380</v>
      </c>
      <c r="M538" s="13" t="n">
        <f aca="false">L538*(1+'Engineering Assumptions'!$B$10)</f>
        <v>360387</v>
      </c>
    </row>
    <row r="539" customFormat="false" ht="27.75" hidden="false" customHeight="true" outlineLevel="0" collapsed="false">
      <c r="A539" s="9" t="n">
        <v>507</v>
      </c>
      <c r="B539" s="43" t="s">
        <v>147</v>
      </c>
      <c r="C539" s="43" t="s">
        <v>2499</v>
      </c>
      <c r="D539" s="43" t="s">
        <v>1377</v>
      </c>
      <c r="E539" s="43" t="s">
        <v>1242</v>
      </c>
      <c r="F539" s="45" t="s">
        <v>397</v>
      </c>
      <c r="G539" s="9" t="n">
        <v>9</v>
      </c>
      <c r="H539" s="12" t="n">
        <f aca="false">'Engineering Cost'!H539*'Engineering Assumptions'!$B$6</f>
        <v>206280</v>
      </c>
      <c r="I539" s="12" t="n">
        <f aca="false">IF('Engineering Cost'!I539=0,0,MAX('Engineering Cost'!I539*'Engineering Assumptions'!$B$6,'Engineering Assumptions'!$B$9))</f>
        <v>78000</v>
      </c>
      <c r="J539" s="12" t="n">
        <f aca="false">'Engineering Cost'!J539*'Engineering Assumptions'!$B$6</f>
        <v>16500</v>
      </c>
      <c r="K539" s="12" t="n">
        <f aca="false">'Engineering Cost'!K539*'Engineering Assumptions'!$B$6</f>
        <v>12600</v>
      </c>
      <c r="L539" s="13" t="n">
        <f aca="false">SUM(H539:K539)</f>
        <v>313380</v>
      </c>
      <c r="M539" s="13" t="n">
        <f aca="false">L539*(1+'Engineering Assumptions'!$B$10)</f>
        <v>360387</v>
      </c>
    </row>
    <row r="540" customFormat="false" ht="15" hidden="false" customHeight="true" outlineLevel="0" collapsed="false">
      <c r="A540" s="9" t="n">
        <v>508</v>
      </c>
      <c r="B540" s="43" t="s">
        <v>147</v>
      </c>
      <c r="C540" s="43" t="s">
        <v>2500</v>
      </c>
      <c r="D540" s="43" t="s">
        <v>1378</v>
      </c>
      <c r="E540" s="43"/>
      <c r="F540" s="45" t="s">
        <v>397</v>
      </c>
      <c r="G540" s="9" t="n">
        <v>9</v>
      </c>
      <c r="H540" s="12" t="n">
        <f aca="false">'Engineering Cost'!H540*'Engineering Assumptions'!$B$6</f>
        <v>206280</v>
      </c>
      <c r="I540" s="12" t="n">
        <f aca="false">IF('Engineering Cost'!I540=0,0,MAX('Engineering Cost'!I540*'Engineering Assumptions'!$B$6,'Engineering Assumptions'!$B$9))</f>
        <v>78000</v>
      </c>
      <c r="J540" s="12" t="n">
        <f aca="false">'Engineering Cost'!J540*'Engineering Assumptions'!$B$6</f>
        <v>16500</v>
      </c>
      <c r="K540" s="12" t="n">
        <f aca="false">'Engineering Cost'!K540*'Engineering Assumptions'!$B$6</f>
        <v>12600</v>
      </c>
      <c r="L540" s="13" t="n">
        <f aca="false">SUM(H540:K540)</f>
        <v>313380</v>
      </c>
      <c r="M540" s="13" t="n">
        <f aca="false">L540*(1+'Engineering Assumptions'!$B$10)</f>
        <v>360387</v>
      </c>
    </row>
    <row r="541" customFormat="false" ht="27.75" hidden="false" customHeight="true" outlineLevel="0" collapsed="false">
      <c r="A541" s="9" t="n">
        <v>509</v>
      </c>
      <c r="B541" s="43" t="s">
        <v>147</v>
      </c>
      <c r="C541" s="43" t="s">
        <v>2501</v>
      </c>
      <c r="D541" s="43" t="s">
        <v>1380</v>
      </c>
      <c r="E541" s="43" t="s">
        <v>1238</v>
      </c>
      <c r="F541" s="45" t="s">
        <v>397</v>
      </c>
      <c r="G541" s="9" t="n">
        <v>9</v>
      </c>
      <c r="H541" s="12" t="n">
        <f aca="false">'Engineering Cost'!H541*'Engineering Assumptions'!$B$6</f>
        <v>206280</v>
      </c>
      <c r="I541" s="12" t="n">
        <f aca="false">IF('Engineering Cost'!I541=0,0,MAX('Engineering Cost'!I541*'Engineering Assumptions'!$B$6,'Engineering Assumptions'!$B$9))</f>
        <v>78000</v>
      </c>
      <c r="J541" s="12" t="n">
        <f aca="false">'Engineering Cost'!J541*'Engineering Assumptions'!$B$6</f>
        <v>16500</v>
      </c>
      <c r="K541" s="12" t="n">
        <f aca="false">'Engineering Cost'!K541*'Engineering Assumptions'!$B$6</f>
        <v>12600</v>
      </c>
      <c r="L541" s="13" t="n">
        <f aca="false">SUM(H541:K541)</f>
        <v>313380</v>
      </c>
      <c r="M541" s="13" t="n">
        <f aca="false">L541*(1+'Engineering Assumptions'!$B$10)</f>
        <v>360387</v>
      </c>
    </row>
    <row r="542" customFormat="false" ht="27.75" hidden="false" customHeight="true" outlineLevel="0" collapsed="false">
      <c r="A542" s="9" t="n">
        <v>510</v>
      </c>
      <c r="B542" s="43" t="s">
        <v>147</v>
      </c>
      <c r="C542" s="43" t="s">
        <v>2501</v>
      </c>
      <c r="D542" s="43" t="s">
        <v>1381</v>
      </c>
      <c r="E542" s="43"/>
      <c r="F542" s="45" t="s">
        <v>472</v>
      </c>
      <c r="G542" s="9" t="n">
        <v>30</v>
      </c>
      <c r="H542" s="12" t="n">
        <f aca="false">'Engineering Cost'!H542*'Engineering Assumptions'!$B$6</f>
        <v>206280</v>
      </c>
      <c r="I542" s="12" t="n">
        <f aca="false">IF('Engineering Cost'!I542=0,0,MAX('Engineering Cost'!I542*'Engineering Assumptions'!$B$6,'Engineering Assumptions'!$B$9))</f>
        <v>78000</v>
      </c>
      <c r="J542" s="12" t="n">
        <f aca="false">'Engineering Cost'!J542*'Engineering Assumptions'!$B$6</f>
        <v>31680</v>
      </c>
      <c r="K542" s="12" t="n">
        <f aca="false">'Engineering Cost'!K542*'Engineering Assumptions'!$B$6</f>
        <v>50400</v>
      </c>
      <c r="L542" s="13" t="n">
        <f aca="false">SUM(H542:K542)</f>
        <v>366360</v>
      </c>
      <c r="M542" s="13" t="n">
        <f aca="false">L542*(1+'Engineering Assumptions'!$B$10)</f>
        <v>421314</v>
      </c>
    </row>
    <row r="543" customFormat="false" ht="27.75" hidden="false" customHeight="true" outlineLevel="0" collapsed="false">
      <c r="A543" s="9" t="n">
        <v>511</v>
      </c>
      <c r="B543" s="43" t="s">
        <v>147</v>
      </c>
      <c r="C543" s="43" t="s">
        <v>2501</v>
      </c>
      <c r="D543" s="43" t="s">
        <v>1382</v>
      </c>
      <c r="E543" s="43"/>
      <c r="F543" s="45" t="s">
        <v>472</v>
      </c>
      <c r="G543" s="9" t="n">
        <v>30</v>
      </c>
      <c r="H543" s="12" t="n">
        <f aca="false">'Engineering Cost'!H543*'Engineering Assumptions'!$B$6</f>
        <v>206280</v>
      </c>
      <c r="I543" s="12" t="n">
        <f aca="false">IF('Engineering Cost'!I543=0,0,MAX('Engineering Cost'!I543*'Engineering Assumptions'!$B$6,'Engineering Assumptions'!$B$9))</f>
        <v>78000</v>
      </c>
      <c r="J543" s="12" t="n">
        <f aca="false">'Engineering Cost'!J543*'Engineering Assumptions'!$B$6</f>
        <v>31680</v>
      </c>
      <c r="K543" s="12" t="n">
        <f aca="false">'Engineering Cost'!K543*'Engineering Assumptions'!$B$6</f>
        <v>50400</v>
      </c>
      <c r="L543" s="13" t="n">
        <f aca="false">SUM(H543:K543)</f>
        <v>366360</v>
      </c>
      <c r="M543" s="13" t="n">
        <f aca="false">L543*(1+'Engineering Assumptions'!$B$10)</f>
        <v>421314</v>
      </c>
    </row>
    <row r="544" customFormat="false" ht="27.75" hidden="false" customHeight="true" outlineLevel="0" collapsed="false">
      <c r="A544" s="9" t="n">
        <v>512</v>
      </c>
      <c r="B544" s="43" t="s">
        <v>147</v>
      </c>
      <c r="C544" s="43" t="s">
        <v>2501</v>
      </c>
      <c r="D544" s="43" t="s">
        <v>1383</v>
      </c>
      <c r="E544" s="43"/>
      <c r="F544" s="45" t="s">
        <v>472</v>
      </c>
      <c r="G544" s="9" t="n">
        <v>30</v>
      </c>
      <c r="H544" s="12" t="n">
        <f aca="false">'Engineering Cost'!H544*'Engineering Assumptions'!$B$6</f>
        <v>206280</v>
      </c>
      <c r="I544" s="12" t="n">
        <f aca="false">IF('Engineering Cost'!I544=0,0,MAX('Engineering Cost'!I544*'Engineering Assumptions'!$B$6,'Engineering Assumptions'!$B$9))</f>
        <v>78000</v>
      </c>
      <c r="J544" s="12" t="n">
        <f aca="false">'Engineering Cost'!J544*'Engineering Assumptions'!$B$6</f>
        <v>31680</v>
      </c>
      <c r="K544" s="12" t="n">
        <f aca="false">'Engineering Cost'!K544*'Engineering Assumptions'!$B$6</f>
        <v>50400</v>
      </c>
      <c r="L544" s="13" t="n">
        <f aca="false">SUM(H544:K544)</f>
        <v>366360</v>
      </c>
      <c r="M544" s="13" t="n">
        <f aca="false">L544*(1+'Engineering Assumptions'!$B$10)</f>
        <v>421314</v>
      </c>
    </row>
    <row r="545" customFormat="false" ht="27.75" hidden="false" customHeight="true" outlineLevel="0" collapsed="false">
      <c r="A545" s="9" t="n">
        <v>513</v>
      </c>
      <c r="B545" s="43" t="s">
        <v>147</v>
      </c>
      <c r="C545" s="43" t="s">
        <v>2501</v>
      </c>
      <c r="D545" s="43" t="s">
        <v>1384</v>
      </c>
      <c r="E545" s="43"/>
      <c r="F545" s="45" t="s">
        <v>472</v>
      </c>
      <c r="G545" s="9" t="n">
        <v>30</v>
      </c>
      <c r="H545" s="12" t="n">
        <f aca="false">'Engineering Cost'!H545*'Engineering Assumptions'!$B$6</f>
        <v>206280</v>
      </c>
      <c r="I545" s="12" t="n">
        <f aca="false">IF('Engineering Cost'!I545=0,0,MAX('Engineering Cost'!I545*'Engineering Assumptions'!$B$6,'Engineering Assumptions'!$B$9))</f>
        <v>78000</v>
      </c>
      <c r="J545" s="12" t="n">
        <f aca="false">'Engineering Cost'!J545*'Engineering Assumptions'!$B$6</f>
        <v>31680</v>
      </c>
      <c r="K545" s="12" t="n">
        <f aca="false">'Engineering Cost'!K545*'Engineering Assumptions'!$B$6</f>
        <v>50400</v>
      </c>
      <c r="L545" s="13" t="n">
        <f aca="false">SUM(H545:K545)</f>
        <v>366360</v>
      </c>
      <c r="M545" s="13" t="n">
        <f aca="false">L545*(1+'Engineering Assumptions'!$B$10)</f>
        <v>421314</v>
      </c>
    </row>
    <row r="546" customFormat="false" ht="27.75" hidden="false" customHeight="true" outlineLevel="0" collapsed="false">
      <c r="A546" s="9" t="n">
        <v>514</v>
      </c>
      <c r="B546" s="43" t="s">
        <v>147</v>
      </c>
      <c r="C546" s="43" t="s">
        <v>2501</v>
      </c>
      <c r="D546" s="43" t="s">
        <v>1385</v>
      </c>
      <c r="E546" s="43"/>
      <c r="F546" s="45" t="s">
        <v>472</v>
      </c>
      <c r="G546" s="9" t="n">
        <v>30</v>
      </c>
      <c r="H546" s="12" t="n">
        <f aca="false">'Engineering Cost'!H546*'Engineering Assumptions'!$B$6</f>
        <v>206280</v>
      </c>
      <c r="I546" s="12" t="n">
        <f aca="false">IF('Engineering Cost'!I546=0,0,MAX('Engineering Cost'!I546*'Engineering Assumptions'!$B$6,'Engineering Assumptions'!$B$9))</f>
        <v>78000</v>
      </c>
      <c r="J546" s="12" t="n">
        <f aca="false">'Engineering Cost'!J546*'Engineering Assumptions'!$B$6</f>
        <v>31680</v>
      </c>
      <c r="K546" s="12" t="n">
        <f aca="false">'Engineering Cost'!K546*'Engineering Assumptions'!$B$6</f>
        <v>50400</v>
      </c>
      <c r="L546" s="13" t="n">
        <f aca="false">SUM(H546:K546)</f>
        <v>366360</v>
      </c>
      <c r="M546" s="13" t="n">
        <f aca="false">L546*(1+'Engineering Assumptions'!$B$10)</f>
        <v>421314</v>
      </c>
    </row>
    <row r="547" customFormat="false" ht="27.75" hidden="false" customHeight="true" outlineLevel="0" collapsed="false">
      <c r="A547" s="9" t="n">
        <v>515</v>
      </c>
      <c r="B547" s="43" t="s">
        <v>147</v>
      </c>
      <c r="C547" s="43" t="s">
        <v>2501</v>
      </c>
      <c r="D547" s="43" t="s">
        <v>1386</v>
      </c>
      <c r="E547" s="43"/>
      <c r="F547" s="45" t="s">
        <v>472</v>
      </c>
      <c r="G547" s="9" t="n">
        <v>30</v>
      </c>
      <c r="H547" s="12" t="n">
        <f aca="false">'Engineering Cost'!H547*'Engineering Assumptions'!$B$6</f>
        <v>206280</v>
      </c>
      <c r="I547" s="12" t="n">
        <f aca="false">IF('Engineering Cost'!I547=0,0,MAX('Engineering Cost'!I547*'Engineering Assumptions'!$B$6,'Engineering Assumptions'!$B$9))</f>
        <v>78000</v>
      </c>
      <c r="J547" s="12" t="n">
        <f aca="false">'Engineering Cost'!J547*'Engineering Assumptions'!$B$6</f>
        <v>31680</v>
      </c>
      <c r="K547" s="12" t="n">
        <f aca="false">'Engineering Cost'!K547*'Engineering Assumptions'!$B$6</f>
        <v>50400</v>
      </c>
      <c r="L547" s="13" t="n">
        <f aca="false">SUM(H547:K547)</f>
        <v>366360</v>
      </c>
      <c r="M547" s="13" t="n">
        <f aca="false">L547*(1+'Engineering Assumptions'!$B$10)</f>
        <v>421314</v>
      </c>
    </row>
    <row r="548" customFormat="false" ht="15" hidden="false" customHeight="true" outlineLevel="0" collapsed="false">
      <c r="A548" s="42" t="s">
        <v>1387</v>
      </c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</row>
    <row r="549" customFormat="false" ht="15" hidden="false" customHeight="true" outlineLevel="0" collapsed="false">
      <c r="A549" s="9" t="n">
        <v>516</v>
      </c>
      <c r="B549" s="43" t="s">
        <v>149</v>
      </c>
      <c r="C549" s="43" t="s">
        <v>2502</v>
      </c>
      <c r="D549" s="43" t="s">
        <v>1389</v>
      </c>
      <c r="E549" s="43"/>
      <c r="F549" s="45" t="s">
        <v>472</v>
      </c>
      <c r="G549" s="9" t="n">
        <v>30</v>
      </c>
      <c r="H549" s="12" t="n">
        <f aca="false">'Engineering Cost'!H549*'Engineering Assumptions'!$B$6</f>
        <v>160440</v>
      </c>
      <c r="I549" s="12" t="n">
        <f aca="false">IF('Engineering Cost'!I549=0,0,MAX('Engineering Cost'!I549*'Engineering Assumptions'!$B$6,'Engineering Assumptions'!$B$9))</f>
        <v>78000</v>
      </c>
      <c r="J549" s="12" t="n">
        <f aca="false">'Engineering Cost'!J549*'Engineering Assumptions'!$B$6</f>
        <v>46080</v>
      </c>
      <c r="K549" s="12" t="n">
        <f aca="false">'Engineering Cost'!K549*'Engineering Assumptions'!$B$6</f>
        <v>75600</v>
      </c>
      <c r="L549" s="13" t="n">
        <f aca="false">SUM(H549:K549)</f>
        <v>360120</v>
      </c>
      <c r="M549" s="13" t="n">
        <f aca="false">L549*(1+'Engineering Assumptions'!$B$10)</f>
        <v>414138</v>
      </c>
    </row>
    <row r="550" customFormat="false" ht="15" hidden="false" customHeight="true" outlineLevel="0" collapsed="false">
      <c r="A550" s="9" t="n">
        <v>517</v>
      </c>
      <c r="B550" s="43" t="s">
        <v>149</v>
      </c>
      <c r="C550" s="43" t="s">
        <v>2503</v>
      </c>
      <c r="D550" s="43" t="s">
        <v>1391</v>
      </c>
      <c r="E550" s="43"/>
      <c r="F550" s="45" t="s">
        <v>472</v>
      </c>
      <c r="G550" s="9" t="n">
        <v>30</v>
      </c>
      <c r="H550" s="12" t="n">
        <f aca="false">'Engineering Cost'!H550*'Engineering Assumptions'!$B$6</f>
        <v>160440</v>
      </c>
      <c r="I550" s="12" t="n">
        <f aca="false">IF('Engineering Cost'!I550=0,0,MAX('Engineering Cost'!I550*'Engineering Assumptions'!$B$6,'Engineering Assumptions'!$B$9))</f>
        <v>78000</v>
      </c>
      <c r="J550" s="12" t="n">
        <f aca="false">'Engineering Cost'!J550*'Engineering Assumptions'!$B$6</f>
        <v>46080</v>
      </c>
      <c r="K550" s="12" t="n">
        <f aca="false">'Engineering Cost'!K550*'Engineering Assumptions'!$B$6</f>
        <v>75600</v>
      </c>
      <c r="L550" s="13" t="n">
        <f aca="false">SUM(H550:K550)</f>
        <v>360120</v>
      </c>
      <c r="M550" s="13" t="n">
        <f aca="false">L550*(1+'Engineering Assumptions'!$B$10)</f>
        <v>414138</v>
      </c>
    </row>
    <row r="551" customFormat="false" ht="15" hidden="false" customHeight="true" outlineLevel="0" collapsed="false">
      <c r="A551" s="9" t="n">
        <v>518</v>
      </c>
      <c r="B551" s="43" t="s">
        <v>149</v>
      </c>
      <c r="C551" s="43" t="s">
        <v>2503</v>
      </c>
      <c r="D551" s="43" t="s">
        <v>1392</v>
      </c>
      <c r="E551" s="43"/>
      <c r="F551" s="45" t="s">
        <v>472</v>
      </c>
      <c r="G551" s="9" t="n">
        <v>30</v>
      </c>
      <c r="H551" s="12" t="n">
        <f aca="false">'Engineering Cost'!H551*'Engineering Assumptions'!$B$6</f>
        <v>160440</v>
      </c>
      <c r="I551" s="12" t="n">
        <f aca="false">IF('Engineering Cost'!I551=0,0,MAX('Engineering Cost'!I551*'Engineering Assumptions'!$B$6,'Engineering Assumptions'!$B$9))</f>
        <v>78000</v>
      </c>
      <c r="J551" s="12" t="n">
        <f aca="false">'Engineering Cost'!J551*'Engineering Assumptions'!$B$6</f>
        <v>46080</v>
      </c>
      <c r="K551" s="12" t="n">
        <f aca="false">'Engineering Cost'!K551*'Engineering Assumptions'!$B$6</f>
        <v>75600</v>
      </c>
      <c r="L551" s="13" t="n">
        <f aca="false">SUM(H551:K551)</f>
        <v>360120</v>
      </c>
      <c r="M551" s="13" t="n">
        <f aca="false">L551*(1+'Engineering Assumptions'!$B$10)</f>
        <v>414138</v>
      </c>
    </row>
  </sheetData>
  <mergeCells count="31">
    <mergeCell ref="A1:M1"/>
    <mergeCell ref="A2:M2"/>
    <mergeCell ref="A5:M5"/>
    <mergeCell ref="A30:M30"/>
    <mergeCell ref="A40:M40"/>
    <mergeCell ref="A57:M57"/>
    <mergeCell ref="A61:M61"/>
    <mergeCell ref="A81:M81"/>
    <mergeCell ref="A154:M154"/>
    <mergeCell ref="A165:M165"/>
    <mergeCell ref="A182:M182"/>
    <mergeCell ref="A208:M208"/>
    <mergeCell ref="A220:M220"/>
    <mergeCell ref="A225:M225"/>
    <mergeCell ref="A228:M228"/>
    <mergeCell ref="A233:M233"/>
    <mergeCell ref="A242:M242"/>
    <mergeCell ref="A245:M245"/>
    <mergeCell ref="A271:M271"/>
    <mergeCell ref="A275:M275"/>
    <mergeCell ref="A287:M287"/>
    <mergeCell ref="A301:M301"/>
    <mergeCell ref="A390:M390"/>
    <mergeCell ref="A397:M397"/>
    <mergeCell ref="A401:M401"/>
    <mergeCell ref="A408:M408"/>
    <mergeCell ref="A450:M450"/>
    <mergeCell ref="A470:M470"/>
    <mergeCell ref="A483:M483"/>
    <mergeCell ref="A537:M537"/>
    <mergeCell ref="A548:M5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83" activePane="bottomRight" state="frozen"/>
      <selection pane="topLeft" activeCell="A1" activeCellId="0" sqref="A1"/>
      <selection pane="topRight" activeCell="G1" activeCellId="0" sqref="G1"/>
      <selection pane="bottomLeft" activeCell="A83" activeCellId="0" sqref="A83"/>
      <selection pane="bottomRight" activeCell="K82" activeCellId="0" sqref="K8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28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4"/>
    <col collapsed="false" customWidth="true" hidden="false" outlineLevel="0" max="11" min="9" style="0" width="16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32"/>
    <col collapsed="false" customWidth="true" hidden="false" outlineLevel="0" max="16" min="16" style="0" width="40"/>
  </cols>
  <sheetData>
    <row r="1" customFormat="false" ht="24" hidden="false" customHeight="true" outlineLevel="0" collapsed="false">
      <c r="A1" s="1" t="s">
        <v>2513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7" t="s">
        <v>2514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customFormat="false" ht="55.5" hidden="false" customHeight="true" outlineLevel="0" collapsed="false">
      <c r="A4" s="8" t="s">
        <v>77</v>
      </c>
      <c r="B4" s="8" t="s">
        <v>78</v>
      </c>
      <c r="C4" s="8" t="s">
        <v>2262</v>
      </c>
      <c r="D4" s="8" t="s">
        <v>280</v>
      </c>
      <c r="E4" s="8" t="s">
        <v>283</v>
      </c>
      <c r="F4" s="8" t="s">
        <v>282</v>
      </c>
      <c r="G4" s="8" t="s">
        <v>2263</v>
      </c>
      <c r="H4" s="8" t="s">
        <v>2515</v>
      </c>
      <c r="I4" s="8" t="s">
        <v>2516</v>
      </c>
      <c r="J4" s="8" t="s">
        <v>2517</v>
      </c>
      <c r="K4" s="8" t="s">
        <v>2518</v>
      </c>
      <c r="L4" s="8" t="s">
        <v>2519</v>
      </c>
      <c r="M4" s="8" t="s">
        <v>2520</v>
      </c>
      <c r="N4" s="8" t="s">
        <v>2521</v>
      </c>
      <c r="O4" s="8" t="s">
        <v>155</v>
      </c>
      <c r="P4" s="8" t="s">
        <v>2522</v>
      </c>
    </row>
    <row r="5" customFormat="false" ht="15" hidden="false" customHeight="true" outlineLevel="0" collapsed="false">
      <c r="A5" s="42" t="s">
        <v>293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customFormat="false" ht="15" hidden="false" customHeight="true" outlineLevel="0" collapsed="false">
      <c r="A6" s="9" t="n">
        <v>1</v>
      </c>
      <c r="B6" s="184" t="s">
        <v>92</v>
      </c>
      <c r="C6" s="184" t="s">
        <v>2278</v>
      </c>
      <c r="D6" s="184" t="s">
        <v>295</v>
      </c>
      <c r="E6" s="184" t="s">
        <v>298</v>
      </c>
      <c r="F6" s="45" t="s">
        <v>297</v>
      </c>
      <c r="G6" s="9" t="n">
        <v>5</v>
      </c>
      <c r="H6" s="185" t="n">
        <f aca="false">'Engineering Assumptions'!$F$18*0.5*1</f>
        <v>9.25</v>
      </c>
      <c r="I6" s="185" t="n">
        <f aca="false">'Engineering Assumptions'!$F$18*1</f>
        <v>18.5</v>
      </c>
      <c r="J6" s="12" t="n">
        <f aca="false">'Fleet Pricing'!L6</f>
        <v>423500</v>
      </c>
      <c r="K6" s="12" t="n">
        <f aca="false">'Maintenance &amp; Repair'!J6+'Maintenance &amp; Repair'!K6</f>
        <v>29520</v>
      </c>
      <c r="L6" s="186" t="n">
        <f aca="false">IFERROR(K6/J6,0)</f>
        <v>0.0697048406139315</v>
      </c>
      <c r="M6" s="9" t="n">
        <f aca="false">MAX(0,'Engineering Assumptions'!$G$18-G6)</f>
        <v>7</v>
      </c>
      <c r="N6" s="187" t="str">
        <f aca="false">IF(G6&gt;=20,"REPLACE",IF(L6&gt;0.6,"REPLACE",IF(G6&gt;=15,"REPLACE",IF(OR(G6&gt;=11,L6&gt;0.4),"MONITOR","KEEP"))))</f>
        <v>KEEP</v>
      </c>
      <c r="O6" s="188" t="str">
        <f aca="false">IF(G6&gt;=20,"End of life (age &gt; 20)",IF(L6&gt;0.6,"Repairs exceed 60% of revenue",IF(G6&gt;=15,"Age 15+ → replace",IF(OR(G6&gt;=11,L6&gt;0.4),"Watch costs; plan replacement","Healthy — continue operating"))))</f>
        <v>Healthy — continue operating</v>
      </c>
      <c r="P6" s="188" t="str">
        <f aca="false">'Engineering Assumptions'!H18</f>
        <v>JCB 3DX Plus new ~Rs. 15–18M; strong resale</v>
      </c>
    </row>
    <row r="7" customFormat="false" ht="15" hidden="false" customHeight="true" outlineLevel="0" collapsed="false">
      <c r="A7" s="9" t="n">
        <v>2</v>
      </c>
      <c r="B7" s="184" t="s">
        <v>92</v>
      </c>
      <c r="C7" s="184" t="s">
        <v>2278</v>
      </c>
      <c r="D7" s="184" t="s">
        <v>299</v>
      </c>
      <c r="E7" s="184" t="s">
        <v>300</v>
      </c>
      <c r="F7" s="45" t="s">
        <v>297</v>
      </c>
      <c r="G7" s="9" t="n">
        <v>5</v>
      </c>
      <c r="H7" s="185" t="n">
        <f aca="false">'Engineering Assumptions'!$F$18*0.5*1</f>
        <v>9.25</v>
      </c>
      <c r="I7" s="185" t="n">
        <f aca="false">'Engineering Assumptions'!$F$18*1</f>
        <v>18.5</v>
      </c>
      <c r="J7" s="12" t="n">
        <f aca="false">'Fleet Pricing'!L7</f>
        <v>423500</v>
      </c>
      <c r="K7" s="12" t="n">
        <f aca="false">'Maintenance &amp; Repair'!J7+'Maintenance &amp; Repair'!K7</f>
        <v>29520</v>
      </c>
      <c r="L7" s="186" t="n">
        <f aca="false">IFERROR(K7/J7,0)</f>
        <v>0.0697048406139315</v>
      </c>
      <c r="M7" s="9" t="n">
        <f aca="false">MAX(0,'Engineering Assumptions'!$G$18-G7)</f>
        <v>7</v>
      </c>
      <c r="N7" s="187" t="str">
        <f aca="false">IF(G7&gt;=20,"REPLACE",IF(L7&gt;0.6,"REPLACE",IF(G7&gt;=15,"REPLACE",IF(OR(G7&gt;=11,L7&gt;0.4),"MONITOR","KEEP"))))</f>
        <v>KEEP</v>
      </c>
      <c r="O7" s="188" t="str">
        <f aca="false">IF(G7&gt;=20,"End of life (age &gt; 20)",IF(L7&gt;0.6,"Repairs exceed 60% of revenue",IF(G7&gt;=15,"Age 15+ → replace",IF(OR(G7&gt;=11,L7&gt;0.4),"Watch costs; plan replacement","Healthy — continue operating"))))</f>
        <v>Healthy — continue operating</v>
      </c>
      <c r="P7" s="188" t="str">
        <f aca="false">'Engineering Assumptions'!H18</f>
        <v>JCB 3DX Plus new ~Rs. 15–18M; strong resale</v>
      </c>
    </row>
    <row r="8" customFormat="false" ht="15" hidden="false" customHeight="true" outlineLevel="0" collapsed="false">
      <c r="A8" s="9" t="n">
        <v>3</v>
      </c>
      <c r="B8" s="184" t="s">
        <v>92</v>
      </c>
      <c r="C8" s="184" t="s">
        <v>2278</v>
      </c>
      <c r="D8" s="184" t="s">
        <v>301</v>
      </c>
      <c r="E8" s="184" t="s">
        <v>302</v>
      </c>
      <c r="F8" s="45" t="s">
        <v>297</v>
      </c>
      <c r="G8" s="9" t="n">
        <v>5</v>
      </c>
      <c r="H8" s="185" t="n">
        <f aca="false">'Engineering Assumptions'!$F$18*0.5*1</f>
        <v>9.25</v>
      </c>
      <c r="I8" s="185" t="n">
        <f aca="false">'Engineering Assumptions'!$F$18*1</f>
        <v>18.5</v>
      </c>
      <c r="J8" s="12" t="n">
        <f aca="false">'Fleet Pricing'!L8</f>
        <v>423500</v>
      </c>
      <c r="K8" s="12" t="n">
        <f aca="false">'Maintenance &amp; Repair'!J8+'Maintenance &amp; Repair'!K8</f>
        <v>29520</v>
      </c>
      <c r="L8" s="186" t="n">
        <f aca="false">IFERROR(K8/J8,0)</f>
        <v>0.0697048406139315</v>
      </c>
      <c r="M8" s="9" t="n">
        <f aca="false">MAX(0,'Engineering Assumptions'!$G$18-G8)</f>
        <v>7</v>
      </c>
      <c r="N8" s="187" t="str">
        <f aca="false">IF(G8&gt;=20,"REPLACE",IF(L8&gt;0.6,"REPLACE",IF(G8&gt;=15,"REPLACE",IF(OR(G8&gt;=11,L8&gt;0.4),"MONITOR","KEEP"))))</f>
        <v>KEEP</v>
      </c>
      <c r="O8" s="188" t="str">
        <f aca="false">IF(G8&gt;=20,"End of life (age &gt; 20)",IF(L8&gt;0.6,"Repairs exceed 60% of revenue",IF(G8&gt;=15,"Age 15+ → replace",IF(OR(G8&gt;=11,L8&gt;0.4),"Watch costs; plan replacement","Healthy — continue operating"))))</f>
        <v>Healthy — continue operating</v>
      </c>
      <c r="P8" s="188" t="str">
        <f aca="false">'Engineering Assumptions'!H18</f>
        <v>JCB 3DX Plus new ~Rs. 15–18M; strong resale</v>
      </c>
    </row>
    <row r="9" customFormat="false" ht="15" hidden="false" customHeight="true" outlineLevel="0" collapsed="false">
      <c r="A9" s="9" t="n">
        <v>4</v>
      </c>
      <c r="B9" s="184" t="s">
        <v>92</v>
      </c>
      <c r="C9" s="184" t="s">
        <v>2279</v>
      </c>
      <c r="D9" s="184" t="s">
        <v>304</v>
      </c>
      <c r="E9" s="184" t="s">
        <v>307</v>
      </c>
      <c r="F9" s="45" t="s">
        <v>306</v>
      </c>
      <c r="G9" s="9" t="n">
        <v>6</v>
      </c>
      <c r="H9" s="185" t="n">
        <f aca="false">'Engineering Assumptions'!$F$18*0.35*1</f>
        <v>6.475</v>
      </c>
      <c r="I9" s="185" t="n">
        <f aca="false">'Engineering Assumptions'!$F$18*1</f>
        <v>18.5</v>
      </c>
      <c r="J9" s="12" t="n">
        <f aca="false">'Fleet Pricing'!L9</f>
        <v>423500</v>
      </c>
      <c r="K9" s="12" t="n">
        <f aca="false">'Maintenance &amp; Repair'!J9+'Maintenance &amp; Repair'!K9</f>
        <v>46800</v>
      </c>
      <c r="L9" s="186" t="n">
        <f aca="false">IFERROR(K9/J9,0)</f>
        <v>0.110507674144038</v>
      </c>
      <c r="M9" s="9" t="n">
        <f aca="false">MAX(0,'Engineering Assumptions'!$G$18-G9)</f>
        <v>6</v>
      </c>
      <c r="N9" s="187" t="str">
        <f aca="false">IF(G9&gt;=20,"REPLACE",IF(L9&gt;0.6,"REPLACE",IF(G9&gt;=15,"REPLACE",IF(OR(G9&gt;=11,L9&gt;0.4),"MONITOR","KEEP"))))</f>
        <v>KEEP</v>
      </c>
      <c r="O9" s="188" t="str">
        <f aca="false">IF(G9&gt;=20,"End of life (age &gt; 20)",IF(L9&gt;0.6,"Repairs exceed 60% of revenue",IF(G9&gt;=15,"Age 15+ → replace",IF(OR(G9&gt;=11,L9&gt;0.4),"Watch costs; plan replacement","Healthy — continue operating"))))</f>
        <v>Healthy — continue operating</v>
      </c>
      <c r="P9" s="188" t="str">
        <f aca="false">'Engineering Assumptions'!H18</f>
        <v>JCB 3DX Plus new ~Rs. 15–18M; strong resale</v>
      </c>
    </row>
    <row r="10" customFormat="false" ht="15" hidden="false" customHeight="true" outlineLevel="0" collapsed="false">
      <c r="A10" s="9" t="n">
        <v>5</v>
      </c>
      <c r="B10" s="184" t="s">
        <v>92</v>
      </c>
      <c r="C10" s="184" t="s">
        <v>2279</v>
      </c>
      <c r="D10" s="184" t="s">
        <v>333</v>
      </c>
      <c r="E10" s="184" t="s">
        <v>334</v>
      </c>
      <c r="F10" s="45" t="s">
        <v>306</v>
      </c>
      <c r="G10" s="9" t="n">
        <v>6</v>
      </c>
      <c r="H10" s="185" t="n">
        <f aca="false">'Engineering Assumptions'!$F$18*0.35*1</f>
        <v>6.475</v>
      </c>
      <c r="I10" s="185" t="n">
        <f aca="false">'Engineering Assumptions'!$F$18*1</f>
        <v>18.5</v>
      </c>
      <c r="J10" s="12" t="n">
        <f aca="false">'Fleet Pricing'!L10</f>
        <v>423500</v>
      </c>
      <c r="K10" s="12" t="n">
        <f aca="false">'Maintenance &amp; Repair'!J10+'Maintenance &amp; Repair'!K10</f>
        <v>46800</v>
      </c>
      <c r="L10" s="186" t="n">
        <f aca="false">IFERROR(K10/J10,0)</f>
        <v>0.110507674144038</v>
      </c>
      <c r="M10" s="9" t="n">
        <f aca="false">MAX(0,'Engineering Assumptions'!$G$18-G10)</f>
        <v>6</v>
      </c>
      <c r="N10" s="187" t="str">
        <f aca="false">IF(G10&gt;=20,"REPLACE",IF(L10&gt;0.6,"REPLACE",IF(G10&gt;=15,"REPLACE",IF(OR(G10&gt;=11,L10&gt;0.4),"MONITOR","KEEP"))))</f>
        <v>KEEP</v>
      </c>
      <c r="O10" s="188" t="str">
        <f aca="false">IF(G10&gt;=20,"End of life (age &gt; 20)",IF(L10&gt;0.6,"Repairs exceed 60% of revenue",IF(G10&gt;=15,"Age 15+ → replace",IF(OR(G10&gt;=11,L10&gt;0.4),"Watch costs; plan replacement","Healthy — continue operating"))))</f>
        <v>Healthy — continue operating</v>
      </c>
      <c r="P10" s="188" t="str">
        <f aca="false">'Engineering Assumptions'!H18</f>
        <v>JCB 3DX Plus new ~Rs. 15–18M; strong resale</v>
      </c>
    </row>
    <row r="11" customFormat="false" ht="15" hidden="false" customHeight="true" outlineLevel="0" collapsed="false">
      <c r="A11" s="9" t="n">
        <v>6</v>
      </c>
      <c r="B11" s="184" t="s">
        <v>92</v>
      </c>
      <c r="C11" s="184" t="s">
        <v>2279</v>
      </c>
      <c r="D11" s="184" t="s">
        <v>335</v>
      </c>
      <c r="E11" s="184" t="s">
        <v>336</v>
      </c>
      <c r="F11" s="45" t="s">
        <v>306</v>
      </c>
      <c r="G11" s="9" t="n">
        <v>6</v>
      </c>
      <c r="H11" s="185" t="n">
        <f aca="false">'Engineering Assumptions'!$F$18*0.35*1</f>
        <v>6.475</v>
      </c>
      <c r="I11" s="185" t="n">
        <f aca="false">'Engineering Assumptions'!$F$18*1</f>
        <v>18.5</v>
      </c>
      <c r="J11" s="12" t="n">
        <f aca="false">'Fleet Pricing'!L11</f>
        <v>423500</v>
      </c>
      <c r="K11" s="12" t="n">
        <f aca="false">'Maintenance &amp; Repair'!J11+'Maintenance &amp; Repair'!K11</f>
        <v>46800</v>
      </c>
      <c r="L11" s="186" t="n">
        <f aca="false">IFERROR(K11/J11,0)</f>
        <v>0.110507674144038</v>
      </c>
      <c r="M11" s="9" t="n">
        <f aca="false">MAX(0,'Engineering Assumptions'!$G$18-G11)</f>
        <v>6</v>
      </c>
      <c r="N11" s="187" t="str">
        <f aca="false">IF(G11&gt;=20,"REPLACE",IF(L11&gt;0.6,"REPLACE",IF(G11&gt;=15,"REPLACE",IF(OR(G11&gt;=11,L11&gt;0.4),"MONITOR","KEEP"))))</f>
        <v>KEEP</v>
      </c>
      <c r="O11" s="188" t="str">
        <f aca="false">IF(G11&gt;=20,"End of life (age &gt; 20)",IF(L11&gt;0.6,"Repairs exceed 60% of revenue",IF(G11&gt;=15,"Age 15+ → replace",IF(OR(G11&gt;=11,L11&gt;0.4),"Watch costs; plan replacement","Healthy — continue operating"))))</f>
        <v>Healthy — continue operating</v>
      </c>
      <c r="P11" s="188" t="str">
        <f aca="false">'Engineering Assumptions'!H18</f>
        <v>JCB 3DX Plus new ~Rs. 15–18M; strong resale</v>
      </c>
    </row>
    <row r="12" customFormat="false" ht="15" hidden="false" customHeight="true" outlineLevel="0" collapsed="false">
      <c r="A12" s="9" t="n">
        <v>7</v>
      </c>
      <c r="B12" s="184" t="s">
        <v>92</v>
      </c>
      <c r="C12" s="184" t="s">
        <v>2279</v>
      </c>
      <c r="D12" s="184" t="s">
        <v>339</v>
      </c>
      <c r="E12" s="184" t="s">
        <v>340</v>
      </c>
      <c r="F12" s="45" t="s">
        <v>306</v>
      </c>
      <c r="G12" s="9" t="n">
        <v>6</v>
      </c>
      <c r="H12" s="185" t="n">
        <f aca="false">'Engineering Assumptions'!$F$18*0.35*1</f>
        <v>6.475</v>
      </c>
      <c r="I12" s="185" t="n">
        <f aca="false">'Engineering Assumptions'!$F$18*1</f>
        <v>18.5</v>
      </c>
      <c r="J12" s="12" t="n">
        <f aca="false">'Fleet Pricing'!L12</f>
        <v>423500</v>
      </c>
      <c r="K12" s="12" t="n">
        <f aca="false">'Maintenance &amp; Repair'!J12+'Maintenance &amp; Repair'!K12</f>
        <v>46800</v>
      </c>
      <c r="L12" s="186" t="n">
        <f aca="false">IFERROR(K12/J12,0)</f>
        <v>0.110507674144038</v>
      </c>
      <c r="M12" s="9" t="n">
        <f aca="false">MAX(0,'Engineering Assumptions'!$G$18-G12)</f>
        <v>6</v>
      </c>
      <c r="N12" s="187" t="str">
        <f aca="false">IF(G12&gt;=20,"REPLACE",IF(L12&gt;0.6,"REPLACE",IF(G12&gt;=15,"REPLACE",IF(OR(G12&gt;=11,L12&gt;0.4),"MONITOR","KEEP"))))</f>
        <v>KEEP</v>
      </c>
      <c r="O12" s="188" t="str">
        <f aca="false">IF(G12&gt;=20,"End of life (age &gt; 20)",IF(L12&gt;0.6,"Repairs exceed 60% of revenue",IF(G12&gt;=15,"Age 15+ → replace",IF(OR(G12&gt;=11,L12&gt;0.4),"Watch costs; plan replacement","Healthy — continue operating"))))</f>
        <v>Healthy — continue operating</v>
      </c>
      <c r="P12" s="188" t="str">
        <f aca="false">'Engineering Assumptions'!H18</f>
        <v>JCB 3DX Plus new ~Rs. 15–18M; strong resale</v>
      </c>
    </row>
    <row r="13" customFormat="false" ht="15" hidden="false" customHeight="true" outlineLevel="0" collapsed="false">
      <c r="A13" s="9" t="n">
        <v>8</v>
      </c>
      <c r="B13" s="184" t="s">
        <v>92</v>
      </c>
      <c r="C13" s="184" t="s">
        <v>2279</v>
      </c>
      <c r="D13" s="184" t="s">
        <v>343</v>
      </c>
      <c r="E13" s="184" t="s">
        <v>344</v>
      </c>
      <c r="F13" s="45" t="s">
        <v>306</v>
      </c>
      <c r="G13" s="9" t="n">
        <v>6</v>
      </c>
      <c r="H13" s="185" t="n">
        <f aca="false">'Engineering Assumptions'!$F$18*0.35*1</f>
        <v>6.475</v>
      </c>
      <c r="I13" s="185" t="n">
        <f aca="false">'Engineering Assumptions'!$F$18*1</f>
        <v>18.5</v>
      </c>
      <c r="J13" s="12" t="n">
        <f aca="false">'Fleet Pricing'!L13</f>
        <v>423500</v>
      </c>
      <c r="K13" s="12" t="n">
        <f aca="false">'Maintenance &amp; Repair'!J13+'Maintenance &amp; Repair'!K13</f>
        <v>46800</v>
      </c>
      <c r="L13" s="186" t="n">
        <f aca="false">IFERROR(K13/J13,0)</f>
        <v>0.110507674144038</v>
      </c>
      <c r="M13" s="9" t="n">
        <f aca="false">MAX(0,'Engineering Assumptions'!$G$18-G13)</f>
        <v>6</v>
      </c>
      <c r="N13" s="187" t="str">
        <f aca="false">IF(G13&gt;=20,"REPLACE",IF(L13&gt;0.6,"REPLACE",IF(G13&gt;=15,"REPLACE",IF(OR(G13&gt;=11,L13&gt;0.4),"MONITOR","KEEP"))))</f>
        <v>KEEP</v>
      </c>
      <c r="O13" s="188" t="str">
        <f aca="false">IF(G13&gt;=20,"End of life (age &gt; 20)",IF(L13&gt;0.6,"Repairs exceed 60% of revenue",IF(G13&gt;=15,"Age 15+ → replace",IF(OR(G13&gt;=11,L13&gt;0.4),"Watch costs; plan replacement","Healthy — continue operating"))))</f>
        <v>Healthy — continue operating</v>
      </c>
      <c r="P13" s="188" t="str">
        <f aca="false">'Engineering Assumptions'!H18</f>
        <v>JCB 3DX Plus new ~Rs. 15–18M; strong resale</v>
      </c>
    </row>
    <row r="14" customFormat="false" ht="15" hidden="false" customHeight="true" outlineLevel="0" collapsed="false">
      <c r="A14" s="9" t="n">
        <v>9</v>
      </c>
      <c r="B14" s="184" t="s">
        <v>92</v>
      </c>
      <c r="C14" s="184" t="s">
        <v>2279</v>
      </c>
      <c r="D14" s="184" t="s">
        <v>345</v>
      </c>
      <c r="E14" s="184" t="s">
        <v>346</v>
      </c>
      <c r="F14" s="45" t="s">
        <v>306</v>
      </c>
      <c r="G14" s="9" t="n">
        <v>6</v>
      </c>
      <c r="H14" s="185" t="n">
        <f aca="false">'Engineering Assumptions'!$F$18*0.35*1</f>
        <v>6.475</v>
      </c>
      <c r="I14" s="185" t="n">
        <f aca="false">'Engineering Assumptions'!$F$18*1</f>
        <v>18.5</v>
      </c>
      <c r="J14" s="12" t="n">
        <f aca="false">'Fleet Pricing'!L14</f>
        <v>423500</v>
      </c>
      <c r="K14" s="12" t="n">
        <f aca="false">'Maintenance &amp; Repair'!J14+'Maintenance &amp; Repair'!K14</f>
        <v>46800</v>
      </c>
      <c r="L14" s="186" t="n">
        <f aca="false">IFERROR(K14/J14,0)</f>
        <v>0.110507674144038</v>
      </c>
      <c r="M14" s="9" t="n">
        <f aca="false">MAX(0,'Engineering Assumptions'!$G$18-G14)</f>
        <v>6</v>
      </c>
      <c r="N14" s="187" t="str">
        <f aca="false">IF(G14&gt;=20,"REPLACE",IF(L14&gt;0.6,"REPLACE",IF(G14&gt;=15,"REPLACE",IF(OR(G14&gt;=11,L14&gt;0.4),"MONITOR","KEEP"))))</f>
        <v>KEEP</v>
      </c>
      <c r="O14" s="188" t="str">
        <f aca="false">IF(G14&gt;=20,"End of life (age &gt; 20)",IF(L14&gt;0.6,"Repairs exceed 60% of revenue",IF(G14&gt;=15,"Age 15+ → replace",IF(OR(G14&gt;=11,L14&gt;0.4),"Watch costs; plan replacement","Healthy — continue operating"))))</f>
        <v>Healthy — continue operating</v>
      </c>
      <c r="P14" s="188" t="str">
        <f aca="false">'Engineering Assumptions'!H18</f>
        <v>JCB 3DX Plus new ~Rs. 15–18M; strong resale</v>
      </c>
    </row>
    <row r="15" customFormat="false" ht="15" hidden="false" customHeight="true" outlineLevel="0" collapsed="false">
      <c r="A15" s="9" t="n">
        <v>10</v>
      </c>
      <c r="B15" s="184" t="s">
        <v>92</v>
      </c>
      <c r="C15" s="184" t="s">
        <v>2280</v>
      </c>
      <c r="D15" s="184" t="s">
        <v>322</v>
      </c>
      <c r="E15" s="184" t="s">
        <v>325</v>
      </c>
      <c r="F15" s="45" t="s">
        <v>324</v>
      </c>
      <c r="G15" s="9" t="n">
        <v>7</v>
      </c>
      <c r="H15" s="185" t="n">
        <f aca="false">'Engineering Assumptions'!$F$18*0.35*1</f>
        <v>6.475</v>
      </c>
      <c r="I15" s="185" t="n">
        <f aca="false">'Engineering Assumptions'!$F$18*1</f>
        <v>18.5</v>
      </c>
      <c r="J15" s="12" t="n">
        <f aca="false">'Fleet Pricing'!L15</f>
        <v>389500</v>
      </c>
      <c r="K15" s="12" t="n">
        <f aca="false">'Maintenance &amp; Repair'!J15+'Maintenance &amp; Repair'!K15</f>
        <v>46800</v>
      </c>
      <c r="L15" s="186" t="n">
        <f aca="false">IFERROR(K15/J15,0)</f>
        <v>0.1201540436457</v>
      </c>
      <c r="M15" s="9" t="n">
        <f aca="false">MAX(0,'Engineering Assumptions'!$G$18-G15)</f>
        <v>5</v>
      </c>
      <c r="N15" s="187" t="str">
        <f aca="false">IF(G15&gt;=20,"REPLACE",IF(L15&gt;0.6,"REPLACE",IF(G15&gt;=15,"REPLACE",IF(OR(G15&gt;=11,L15&gt;0.4),"MONITOR","KEEP"))))</f>
        <v>KEEP</v>
      </c>
      <c r="O15" s="188" t="str">
        <f aca="false">IF(G15&gt;=20,"End of life (age &gt; 20)",IF(L15&gt;0.6,"Repairs exceed 60% of revenue",IF(G15&gt;=15,"Age 15+ → replace",IF(OR(G15&gt;=11,L15&gt;0.4),"Watch costs; plan replacement","Healthy — continue operating"))))</f>
        <v>Healthy — continue operating</v>
      </c>
      <c r="P15" s="188" t="str">
        <f aca="false">'Engineering Assumptions'!H18</f>
        <v>JCB 3DX Plus new ~Rs. 15–18M; strong resale</v>
      </c>
    </row>
    <row r="16" customFormat="false" ht="15" hidden="false" customHeight="true" outlineLevel="0" collapsed="false">
      <c r="A16" s="9" t="n">
        <v>11</v>
      </c>
      <c r="B16" s="184" t="s">
        <v>92</v>
      </c>
      <c r="C16" s="184" t="s">
        <v>2281</v>
      </c>
      <c r="D16" s="184" t="s">
        <v>326</v>
      </c>
      <c r="E16" s="184" t="s">
        <v>328</v>
      </c>
      <c r="F16" s="45" t="s">
        <v>318</v>
      </c>
      <c r="G16" s="9" t="n">
        <v>10</v>
      </c>
      <c r="H16" s="185" t="n">
        <f aca="false">'Engineering Assumptions'!$F$18*0.22*1</f>
        <v>4.07</v>
      </c>
      <c r="I16" s="185" t="n">
        <f aca="false">'Engineering Assumptions'!$F$18*1</f>
        <v>18.5</v>
      </c>
      <c r="J16" s="12" t="n">
        <f aca="false">'Fleet Pricing'!L16</f>
        <v>389500</v>
      </c>
      <c r="K16" s="12" t="n">
        <f aca="false">'Maintenance &amp; Repair'!J16+'Maintenance &amp; Repair'!K16</f>
        <v>46800</v>
      </c>
      <c r="L16" s="186" t="n">
        <f aca="false">IFERROR(K16/J16,0)</f>
        <v>0.1201540436457</v>
      </c>
      <c r="M16" s="9" t="n">
        <f aca="false">MAX(0,'Engineering Assumptions'!$G$18-G16)</f>
        <v>2</v>
      </c>
      <c r="N16" s="187" t="str">
        <f aca="false">IF(G16&gt;=20,"REPLACE",IF(L16&gt;0.6,"REPLACE",IF(G16&gt;=15,"REPLACE",IF(OR(G16&gt;=11,L16&gt;0.4),"MONITOR","KEEP"))))</f>
        <v>KEEP</v>
      </c>
      <c r="O16" s="188" t="str">
        <f aca="false">IF(G16&gt;=20,"End of life (age &gt; 20)",IF(L16&gt;0.6,"Repairs exceed 60% of revenue",IF(G16&gt;=15,"Age 15+ → replace",IF(OR(G16&gt;=11,L16&gt;0.4),"Watch costs; plan replacement","Healthy — continue operating"))))</f>
        <v>Healthy — continue operating</v>
      </c>
      <c r="P16" s="188" t="str">
        <f aca="false">'Engineering Assumptions'!H18</f>
        <v>JCB 3DX Plus new ~Rs. 15–18M; strong resale</v>
      </c>
    </row>
    <row r="17" customFormat="false" ht="15" hidden="false" customHeight="true" outlineLevel="0" collapsed="false">
      <c r="A17" s="9" t="n">
        <v>12</v>
      </c>
      <c r="B17" s="184" t="s">
        <v>92</v>
      </c>
      <c r="C17" s="184" t="s">
        <v>2281</v>
      </c>
      <c r="D17" s="184" t="s">
        <v>317</v>
      </c>
      <c r="E17" s="184" t="s">
        <v>319</v>
      </c>
      <c r="F17" s="45" t="s">
        <v>318</v>
      </c>
      <c r="G17" s="9" t="n">
        <v>10</v>
      </c>
      <c r="H17" s="185" t="n">
        <f aca="false">'Engineering Assumptions'!$F$18*0.22*1</f>
        <v>4.07</v>
      </c>
      <c r="I17" s="185" t="n">
        <f aca="false">'Engineering Assumptions'!$F$18*1</f>
        <v>18.5</v>
      </c>
      <c r="J17" s="12" t="n">
        <f aca="false">'Fleet Pricing'!L17</f>
        <v>389500</v>
      </c>
      <c r="K17" s="12" t="n">
        <f aca="false">'Maintenance &amp; Repair'!J17+'Maintenance &amp; Repair'!K17</f>
        <v>46800</v>
      </c>
      <c r="L17" s="186" t="n">
        <f aca="false">IFERROR(K17/J17,0)</f>
        <v>0.1201540436457</v>
      </c>
      <c r="M17" s="9" t="n">
        <f aca="false">MAX(0,'Engineering Assumptions'!$G$18-G17)</f>
        <v>2</v>
      </c>
      <c r="N17" s="187" t="str">
        <f aca="false">IF(G17&gt;=20,"REPLACE",IF(L17&gt;0.6,"REPLACE",IF(G17&gt;=15,"REPLACE",IF(OR(G17&gt;=11,L17&gt;0.4),"MONITOR","KEEP"))))</f>
        <v>KEEP</v>
      </c>
      <c r="O17" s="188" t="str">
        <f aca="false">IF(G17&gt;=20,"End of life (age &gt; 20)",IF(L17&gt;0.6,"Repairs exceed 60% of revenue",IF(G17&gt;=15,"Age 15+ → replace",IF(OR(G17&gt;=11,L17&gt;0.4),"Watch costs; plan replacement","Healthy — continue operating"))))</f>
        <v>Healthy — continue operating</v>
      </c>
      <c r="P17" s="188" t="str">
        <f aca="false">'Engineering Assumptions'!H18</f>
        <v>JCB 3DX Plus new ~Rs. 15–18M; strong resale</v>
      </c>
    </row>
    <row r="18" customFormat="false" ht="15" hidden="false" customHeight="true" outlineLevel="0" collapsed="false">
      <c r="A18" s="9" t="n">
        <v>13</v>
      </c>
      <c r="B18" s="184" t="s">
        <v>92</v>
      </c>
      <c r="C18" s="184" t="s">
        <v>327</v>
      </c>
      <c r="D18" s="184" t="s">
        <v>331</v>
      </c>
      <c r="E18" s="184" t="s">
        <v>332</v>
      </c>
      <c r="F18" s="45" t="s">
        <v>318</v>
      </c>
      <c r="G18" s="9" t="n">
        <v>10</v>
      </c>
      <c r="H18" s="185" t="n">
        <f aca="false">'Engineering Assumptions'!$F$18*0.22*1</f>
        <v>4.07</v>
      </c>
      <c r="I18" s="185" t="n">
        <f aca="false">'Engineering Assumptions'!$F$18*1</f>
        <v>18.5</v>
      </c>
      <c r="J18" s="12" t="n">
        <f aca="false">'Fleet Pricing'!L18</f>
        <v>389500</v>
      </c>
      <c r="K18" s="12" t="n">
        <f aca="false">'Maintenance &amp; Repair'!J18+'Maintenance &amp; Repair'!K18</f>
        <v>46800</v>
      </c>
      <c r="L18" s="186" t="n">
        <f aca="false">IFERROR(K18/J18,0)</f>
        <v>0.1201540436457</v>
      </c>
      <c r="M18" s="9" t="n">
        <f aca="false">MAX(0,'Engineering Assumptions'!$G$18-G18)</f>
        <v>2</v>
      </c>
      <c r="N18" s="187" t="str">
        <f aca="false">IF(G18&gt;=20,"REPLACE",IF(L18&gt;0.6,"REPLACE",IF(G18&gt;=15,"REPLACE",IF(OR(G18&gt;=11,L18&gt;0.4),"MONITOR","KEEP"))))</f>
        <v>KEEP</v>
      </c>
      <c r="O18" s="188" t="str">
        <f aca="false">IF(G18&gt;=20,"End of life (age &gt; 20)",IF(L18&gt;0.6,"Repairs exceed 60% of revenue",IF(G18&gt;=15,"Age 15+ → replace",IF(OR(G18&gt;=11,L18&gt;0.4),"Watch costs; plan replacement","Healthy — continue operating"))))</f>
        <v>Healthy — continue operating</v>
      </c>
      <c r="P18" s="188" t="str">
        <f aca="false">'Engineering Assumptions'!H18</f>
        <v>JCB 3DX Plus new ~Rs. 15–18M; strong resale</v>
      </c>
    </row>
    <row r="19" customFormat="false" ht="15" hidden="false" customHeight="true" outlineLevel="0" collapsed="false">
      <c r="A19" s="9" t="n">
        <v>14</v>
      </c>
      <c r="B19" s="184" t="s">
        <v>92</v>
      </c>
      <c r="C19" s="184" t="s">
        <v>327</v>
      </c>
      <c r="D19" s="184" t="s">
        <v>320</v>
      </c>
      <c r="E19" s="184" t="s">
        <v>321</v>
      </c>
      <c r="F19" s="45" t="s">
        <v>318</v>
      </c>
      <c r="G19" s="9" t="n">
        <v>10</v>
      </c>
      <c r="H19" s="185" t="n">
        <f aca="false">'Engineering Assumptions'!$F$18*0.22*1</f>
        <v>4.07</v>
      </c>
      <c r="I19" s="185" t="n">
        <f aca="false">'Engineering Assumptions'!$F$18*1</f>
        <v>18.5</v>
      </c>
      <c r="J19" s="12" t="n">
        <f aca="false">'Fleet Pricing'!L19</f>
        <v>389500</v>
      </c>
      <c r="K19" s="12" t="n">
        <f aca="false">'Maintenance &amp; Repair'!J19+'Maintenance &amp; Repair'!K19</f>
        <v>46800</v>
      </c>
      <c r="L19" s="186" t="n">
        <f aca="false">IFERROR(K19/J19,0)</f>
        <v>0.1201540436457</v>
      </c>
      <c r="M19" s="9" t="n">
        <f aca="false">MAX(0,'Engineering Assumptions'!$G$18-G19)</f>
        <v>2</v>
      </c>
      <c r="N19" s="187" t="str">
        <f aca="false">IF(G19&gt;=20,"REPLACE",IF(L19&gt;0.6,"REPLACE",IF(G19&gt;=15,"REPLACE",IF(OR(G19&gt;=11,L19&gt;0.4),"MONITOR","KEEP"))))</f>
        <v>KEEP</v>
      </c>
      <c r="O19" s="188" t="str">
        <f aca="false">IF(G19&gt;=20,"End of life (age &gt; 20)",IF(L19&gt;0.6,"Repairs exceed 60% of revenue",IF(G19&gt;=15,"Age 15+ → replace",IF(OR(G19&gt;=11,L19&gt;0.4),"Watch costs; plan replacement","Healthy — continue operating"))))</f>
        <v>Healthy — continue operating</v>
      </c>
      <c r="P19" s="188" t="str">
        <f aca="false">'Engineering Assumptions'!H18</f>
        <v>JCB 3DX Plus new ~Rs. 15–18M; strong resale</v>
      </c>
    </row>
    <row r="20" customFormat="false" ht="15" hidden="false" customHeight="true" outlineLevel="0" collapsed="false">
      <c r="A20" s="9" t="n">
        <v>15</v>
      </c>
      <c r="B20" s="184" t="s">
        <v>92</v>
      </c>
      <c r="C20" s="184" t="s">
        <v>327</v>
      </c>
      <c r="D20" s="184" t="s">
        <v>329</v>
      </c>
      <c r="E20" s="184" t="s">
        <v>330</v>
      </c>
      <c r="F20" s="45" t="s">
        <v>318</v>
      </c>
      <c r="G20" s="9" t="n">
        <v>10</v>
      </c>
      <c r="H20" s="185" t="n">
        <f aca="false">'Engineering Assumptions'!$F$18*0.22*1</f>
        <v>4.07</v>
      </c>
      <c r="I20" s="185" t="n">
        <f aca="false">'Engineering Assumptions'!$F$18*1</f>
        <v>18.5</v>
      </c>
      <c r="J20" s="12" t="n">
        <f aca="false">'Fleet Pricing'!L20</f>
        <v>389500</v>
      </c>
      <c r="K20" s="12" t="n">
        <f aca="false">'Maintenance &amp; Repair'!J20+'Maintenance &amp; Repair'!K20</f>
        <v>46800</v>
      </c>
      <c r="L20" s="186" t="n">
        <f aca="false">IFERROR(K20/J20,0)</f>
        <v>0.1201540436457</v>
      </c>
      <c r="M20" s="9" t="n">
        <f aca="false">MAX(0,'Engineering Assumptions'!$G$18-G20)</f>
        <v>2</v>
      </c>
      <c r="N20" s="187" t="str">
        <f aca="false">IF(G20&gt;=20,"REPLACE",IF(L20&gt;0.6,"REPLACE",IF(G20&gt;=15,"REPLACE",IF(OR(G20&gt;=11,L20&gt;0.4),"MONITOR","KEEP"))))</f>
        <v>KEEP</v>
      </c>
      <c r="O20" s="188" t="str">
        <f aca="false">IF(G20&gt;=20,"End of life (age &gt; 20)",IF(L20&gt;0.6,"Repairs exceed 60% of revenue",IF(G20&gt;=15,"Age 15+ → replace",IF(OR(G20&gt;=11,L20&gt;0.4),"Watch costs; plan replacement","Healthy — continue operating"))))</f>
        <v>Healthy — continue operating</v>
      </c>
      <c r="P20" s="188" t="str">
        <f aca="false">'Engineering Assumptions'!H18</f>
        <v>JCB 3DX Plus new ~Rs. 15–18M; strong resale</v>
      </c>
    </row>
    <row r="21" customFormat="false" ht="15" hidden="false" customHeight="true" outlineLevel="0" collapsed="false">
      <c r="A21" s="9" t="n">
        <v>16</v>
      </c>
      <c r="B21" s="184" t="s">
        <v>92</v>
      </c>
      <c r="C21" s="184" t="s">
        <v>2281</v>
      </c>
      <c r="D21" s="184" t="s">
        <v>337</v>
      </c>
      <c r="E21" s="184" t="s">
        <v>338</v>
      </c>
      <c r="F21" s="45" t="s">
        <v>315</v>
      </c>
      <c r="G21" s="9" t="n">
        <v>11</v>
      </c>
      <c r="H21" s="185" t="n">
        <f aca="false">'Engineering Assumptions'!$F$18*0.22*1</f>
        <v>4.07</v>
      </c>
      <c r="I21" s="185" t="n">
        <f aca="false">'Engineering Assumptions'!$F$18*1</f>
        <v>18.5</v>
      </c>
      <c r="J21" s="12" t="n">
        <f aca="false">'Fleet Pricing'!L21</f>
        <v>389500</v>
      </c>
      <c r="K21" s="12" t="n">
        <f aca="false">'Maintenance &amp; Repair'!J21+'Maintenance &amp; Repair'!K21</f>
        <v>69120</v>
      </c>
      <c r="L21" s="186" t="n">
        <f aca="false">IFERROR(K21/J21,0)</f>
        <v>0.177458279845956</v>
      </c>
      <c r="M21" s="9" t="n">
        <f aca="false">MAX(0,'Engineering Assumptions'!$G$18-G21)</f>
        <v>1</v>
      </c>
      <c r="N21" s="187" t="str">
        <f aca="false">IF(G21&gt;=20,"REPLACE",IF(L21&gt;0.6,"REPLACE",IF(G21&gt;=15,"REPLACE",IF(OR(G21&gt;=11,L21&gt;0.4),"MONITOR","KEEP"))))</f>
        <v>MONITOR</v>
      </c>
      <c r="O21" s="188" t="str">
        <f aca="false">IF(G21&gt;=20,"End of life (age &gt; 20)",IF(L21&gt;0.6,"Repairs exceed 60% of revenue",IF(G21&gt;=15,"Age 15+ → replace",IF(OR(G21&gt;=11,L21&gt;0.4),"Watch costs; plan replacement","Healthy — continue operating"))))</f>
        <v>Watch costs; plan replacement</v>
      </c>
      <c r="P21" s="188" t="str">
        <f aca="false">'Engineering Assumptions'!H18</f>
        <v>JCB 3DX Plus new ~Rs. 15–18M; strong resale</v>
      </c>
    </row>
    <row r="22" customFormat="false" ht="15" hidden="false" customHeight="true" outlineLevel="0" collapsed="false">
      <c r="A22" s="9" t="n">
        <v>17</v>
      </c>
      <c r="B22" s="184" t="s">
        <v>92</v>
      </c>
      <c r="C22" s="184" t="s">
        <v>2281</v>
      </c>
      <c r="D22" s="184" t="s">
        <v>314</v>
      </c>
      <c r="E22" s="184" t="s">
        <v>316</v>
      </c>
      <c r="F22" s="45" t="s">
        <v>315</v>
      </c>
      <c r="G22" s="9" t="n">
        <v>11</v>
      </c>
      <c r="H22" s="185" t="n">
        <f aca="false">'Engineering Assumptions'!$F$18*0.22*1</f>
        <v>4.07</v>
      </c>
      <c r="I22" s="185" t="n">
        <f aca="false">'Engineering Assumptions'!$F$18*1</f>
        <v>18.5</v>
      </c>
      <c r="J22" s="12" t="n">
        <f aca="false">'Fleet Pricing'!L22</f>
        <v>389500</v>
      </c>
      <c r="K22" s="12" t="n">
        <f aca="false">'Maintenance &amp; Repair'!J22+'Maintenance &amp; Repair'!K22</f>
        <v>69120</v>
      </c>
      <c r="L22" s="186" t="n">
        <f aca="false">IFERROR(K22/J22,0)</f>
        <v>0.177458279845956</v>
      </c>
      <c r="M22" s="9" t="n">
        <f aca="false">MAX(0,'Engineering Assumptions'!$G$18-G22)</f>
        <v>1</v>
      </c>
      <c r="N22" s="187" t="str">
        <f aca="false">IF(G22&gt;=20,"REPLACE",IF(L22&gt;0.6,"REPLACE",IF(G22&gt;=15,"REPLACE",IF(OR(G22&gt;=11,L22&gt;0.4),"MONITOR","KEEP"))))</f>
        <v>MONITOR</v>
      </c>
      <c r="O22" s="188" t="str">
        <f aca="false">IF(G22&gt;=20,"End of life (age &gt; 20)",IF(L22&gt;0.6,"Repairs exceed 60% of revenue",IF(G22&gt;=15,"Age 15+ → replace",IF(OR(G22&gt;=11,L22&gt;0.4),"Watch costs; plan replacement","Healthy — continue operating"))))</f>
        <v>Watch costs; plan replacement</v>
      </c>
      <c r="P22" s="188" t="str">
        <f aca="false">'Engineering Assumptions'!H18</f>
        <v>JCB 3DX Plus new ~Rs. 15–18M; strong resale</v>
      </c>
    </row>
    <row r="23" customFormat="false" ht="15" hidden="false" customHeight="true" outlineLevel="0" collapsed="false">
      <c r="A23" s="9" t="n">
        <v>18</v>
      </c>
      <c r="B23" s="184" t="s">
        <v>92</v>
      </c>
      <c r="C23" s="184" t="s">
        <v>327</v>
      </c>
      <c r="D23" s="184" t="s">
        <v>341</v>
      </c>
      <c r="E23" s="184" t="s">
        <v>342</v>
      </c>
      <c r="F23" s="45" t="s">
        <v>310</v>
      </c>
      <c r="G23" s="9" t="n">
        <v>14</v>
      </c>
      <c r="H23" s="185" t="n">
        <f aca="false">'Engineering Assumptions'!$F$18*0.12*1</f>
        <v>2.22</v>
      </c>
      <c r="I23" s="185" t="n">
        <f aca="false">'Engineering Assumptions'!$F$18*1</f>
        <v>18.5</v>
      </c>
      <c r="J23" s="12" t="n">
        <f aca="false">'Fleet Pricing'!L23</f>
        <v>347000</v>
      </c>
      <c r="K23" s="12" t="n">
        <f aca="false">'Maintenance &amp; Repair'!J23+'Maintenance &amp; Repair'!K23</f>
        <v>69120</v>
      </c>
      <c r="L23" s="186" t="n">
        <f aca="false">IFERROR(K23/J23,0)</f>
        <v>0.199193083573487</v>
      </c>
      <c r="M23" s="9" t="n">
        <f aca="false">MAX(0,'Engineering Assumptions'!$G$18-G23)</f>
        <v>0</v>
      </c>
      <c r="N23" s="187" t="str">
        <f aca="false">IF(G23&gt;=20,"REPLACE",IF(L23&gt;0.6,"REPLACE",IF(G23&gt;=15,"REPLACE",IF(OR(G23&gt;=11,L23&gt;0.4),"MONITOR","KEEP"))))</f>
        <v>MONITOR</v>
      </c>
      <c r="O23" s="188" t="str">
        <f aca="false">IF(G23&gt;=20,"End of life (age &gt; 20)",IF(L23&gt;0.6,"Repairs exceed 60% of revenue",IF(G23&gt;=15,"Age 15+ → replace",IF(OR(G23&gt;=11,L23&gt;0.4),"Watch costs; plan replacement","Healthy — continue operating"))))</f>
        <v>Watch costs; plan replacement</v>
      </c>
      <c r="P23" s="188" t="str">
        <f aca="false">'Engineering Assumptions'!H18</f>
        <v>JCB 3DX Plus new ~Rs. 15–18M; strong resale</v>
      </c>
    </row>
    <row r="24" customFormat="false" ht="15" hidden="false" customHeight="true" outlineLevel="0" collapsed="false">
      <c r="A24" s="9" t="n">
        <v>19</v>
      </c>
      <c r="B24" s="184" t="s">
        <v>92</v>
      </c>
      <c r="C24" s="184" t="s">
        <v>327</v>
      </c>
      <c r="D24" s="184" t="s">
        <v>309</v>
      </c>
      <c r="E24" s="184" t="s">
        <v>311</v>
      </c>
      <c r="F24" s="45" t="s">
        <v>310</v>
      </c>
      <c r="G24" s="9" t="n">
        <v>14</v>
      </c>
      <c r="H24" s="185" t="n">
        <f aca="false">'Engineering Assumptions'!$F$18*0.12*1</f>
        <v>2.22</v>
      </c>
      <c r="I24" s="185" t="n">
        <f aca="false">'Engineering Assumptions'!$F$18*1</f>
        <v>18.5</v>
      </c>
      <c r="J24" s="12" t="n">
        <f aca="false">'Fleet Pricing'!L24</f>
        <v>347000</v>
      </c>
      <c r="K24" s="12" t="n">
        <f aca="false">'Maintenance &amp; Repair'!J24+'Maintenance &amp; Repair'!K24</f>
        <v>69120</v>
      </c>
      <c r="L24" s="186" t="n">
        <f aca="false">IFERROR(K24/J24,0)</f>
        <v>0.199193083573487</v>
      </c>
      <c r="M24" s="9" t="n">
        <f aca="false">MAX(0,'Engineering Assumptions'!$G$18-G24)</f>
        <v>0</v>
      </c>
      <c r="N24" s="187" t="str">
        <f aca="false">IF(G24&gt;=20,"REPLACE",IF(L24&gt;0.6,"REPLACE",IF(G24&gt;=15,"REPLACE",IF(OR(G24&gt;=11,L24&gt;0.4),"MONITOR","KEEP"))))</f>
        <v>MONITOR</v>
      </c>
      <c r="O24" s="188" t="str">
        <f aca="false">IF(G24&gt;=20,"End of life (age &gt; 20)",IF(L24&gt;0.6,"Repairs exceed 60% of revenue",IF(G24&gt;=15,"Age 15+ → replace",IF(OR(G24&gt;=11,L24&gt;0.4),"Watch costs; plan replacement","Healthy — continue operating"))))</f>
        <v>Watch costs; plan replacement</v>
      </c>
      <c r="P24" s="188" t="str">
        <f aca="false">'Engineering Assumptions'!H18</f>
        <v>JCB 3DX Plus new ~Rs. 15–18M; strong resale</v>
      </c>
    </row>
    <row r="25" customFormat="false" ht="15" hidden="false" customHeight="true" outlineLevel="0" collapsed="false">
      <c r="A25" s="9" t="n">
        <v>20</v>
      </c>
      <c r="B25" s="184" t="s">
        <v>92</v>
      </c>
      <c r="C25" s="184" t="s">
        <v>327</v>
      </c>
      <c r="D25" s="184" t="s">
        <v>312</v>
      </c>
      <c r="E25" s="184" t="s">
        <v>313</v>
      </c>
      <c r="F25" s="45" t="s">
        <v>310</v>
      </c>
      <c r="G25" s="9" t="n">
        <v>14</v>
      </c>
      <c r="H25" s="185" t="n">
        <f aca="false">'Engineering Assumptions'!$F$18*0.12*1</f>
        <v>2.22</v>
      </c>
      <c r="I25" s="185" t="n">
        <f aca="false">'Engineering Assumptions'!$F$18*1</f>
        <v>18.5</v>
      </c>
      <c r="J25" s="12" t="n">
        <f aca="false">'Fleet Pricing'!L25</f>
        <v>347000</v>
      </c>
      <c r="K25" s="12" t="n">
        <f aca="false">'Maintenance &amp; Repair'!J25+'Maintenance &amp; Repair'!K25</f>
        <v>69120</v>
      </c>
      <c r="L25" s="186" t="n">
        <f aca="false">IFERROR(K25/J25,0)</f>
        <v>0.199193083573487</v>
      </c>
      <c r="M25" s="9" t="n">
        <f aca="false">MAX(0,'Engineering Assumptions'!$G$18-G25)</f>
        <v>0</v>
      </c>
      <c r="N25" s="187" t="str">
        <f aca="false">IF(G25&gt;=20,"REPLACE",IF(L25&gt;0.6,"REPLACE",IF(G25&gt;=15,"REPLACE",IF(OR(G25&gt;=11,L25&gt;0.4),"MONITOR","KEEP"))))</f>
        <v>MONITOR</v>
      </c>
      <c r="O25" s="188" t="str">
        <f aca="false">IF(G25&gt;=20,"End of life (age &gt; 20)",IF(L25&gt;0.6,"Repairs exceed 60% of revenue",IF(G25&gt;=15,"Age 15+ → replace",IF(OR(G25&gt;=11,L25&gt;0.4),"Watch costs; plan replacement","Healthy — continue operating"))))</f>
        <v>Watch costs; plan replacement</v>
      </c>
      <c r="P25" s="188" t="str">
        <f aca="false">'Engineering Assumptions'!H18</f>
        <v>JCB 3DX Plus new ~Rs. 15–18M; strong resale</v>
      </c>
    </row>
    <row r="26" customFormat="false" ht="15" hidden="false" customHeight="true" outlineLevel="0" collapsed="false">
      <c r="A26" s="9" t="n">
        <v>21</v>
      </c>
      <c r="B26" s="184" t="s">
        <v>92</v>
      </c>
      <c r="C26" s="184" t="s">
        <v>327</v>
      </c>
      <c r="D26" s="184" t="s">
        <v>347</v>
      </c>
      <c r="E26" s="184" t="s">
        <v>349</v>
      </c>
      <c r="F26" s="45" t="s">
        <v>348</v>
      </c>
      <c r="G26" s="9" t="n">
        <v>20</v>
      </c>
      <c r="H26" s="185" t="n">
        <f aca="false">'Engineering Assumptions'!$F$18*0.06*1</f>
        <v>1.11</v>
      </c>
      <c r="I26" s="185" t="n">
        <f aca="false">'Engineering Assumptions'!$F$18*1</f>
        <v>18.5</v>
      </c>
      <c r="J26" s="12" t="n">
        <f aca="false">'Fleet Pricing'!L26</f>
        <v>305000</v>
      </c>
      <c r="K26" s="12" t="n">
        <f aca="false">'Maintenance &amp; Repair'!J26+'Maintenance &amp; Repair'!K26</f>
        <v>97560</v>
      </c>
      <c r="L26" s="186" t="n">
        <f aca="false">IFERROR(K26/J26,0)</f>
        <v>0.319868852459016</v>
      </c>
      <c r="M26" s="9" t="n">
        <f aca="false">MAX(0,'Engineering Assumptions'!$G$18-G26)</f>
        <v>0</v>
      </c>
      <c r="N26" s="187" t="str">
        <f aca="false">IF(G26&gt;=20,"REPLACE",IF(L26&gt;0.6,"REPLACE",IF(G26&gt;=15,"REPLACE",IF(OR(G26&gt;=11,L26&gt;0.4),"MONITOR","KEEP"))))</f>
        <v>REPLACE</v>
      </c>
      <c r="O26" s="188" t="str">
        <f aca="false">IF(G26&gt;=20,"End of life (age &gt; 20)",IF(L26&gt;0.6,"Repairs exceed 60% of revenue",IF(G26&gt;=15,"Age 15+ → replace",IF(OR(G26&gt;=11,L26&gt;0.4),"Watch costs; plan replacement","Healthy — continue operating"))))</f>
        <v>End of life (age &gt; 20)</v>
      </c>
      <c r="P26" s="188" t="str">
        <f aca="false">'Engineering Assumptions'!H18</f>
        <v>JCB 3DX Plus new ~Rs. 15–18M; strong resale</v>
      </c>
    </row>
    <row r="27" customFormat="false" ht="15" hidden="false" customHeight="true" outlineLevel="0" collapsed="false">
      <c r="A27" s="9" t="n">
        <v>22</v>
      </c>
      <c r="B27" s="184" t="s">
        <v>92</v>
      </c>
      <c r="C27" s="184" t="s">
        <v>2282</v>
      </c>
      <c r="D27" s="184" t="s">
        <v>351</v>
      </c>
      <c r="E27" s="184" t="s">
        <v>354</v>
      </c>
      <c r="F27" s="45" t="s">
        <v>353</v>
      </c>
      <c r="G27" s="9" t="n">
        <v>22</v>
      </c>
      <c r="H27" s="185" t="n">
        <f aca="false">'Engineering Assumptions'!$F$18*0.06*1</f>
        <v>1.11</v>
      </c>
      <c r="I27" s="185" t="n">
        <f aca="false">'Engineering Assumptions'!$F$18*1</f>
        <v>18.5</v>
      </c>
      <c r="J27" s="12" t="n">
        <f aca="false">'Fleet Pricing'!L27</f>
        <v>275500</v>
      </c>
      <c r="K27" s="12" t="n">
        <f aca="false">'Maintenance &amp; Repair'!J27+'Maintenance &amp; Repair'!K27</f>
        <v>131040</v>
      </c>
      <c r="L27" s="186" t="n">
        <f aca="false">IFERROR(K27/J27,0)</f>
        <v>0.475644283121597</v>
      </c>
      <c r="M27" s="9" t="n">
        <f aca="false">MAX(0,'Engineering Assumptions'!$G$18-G27)</f>
        <v>0</v>
      </c>
      <c r="N27" s="187" t="str">
        <f aca="false">IF(G27&gt;=20,"REPLACE",IF(L27&gt;0.6,"REPLACE",IF(G27&gt;=15,"REPLACE",IF(OR(G27&gt;=11,L27&gt;0.4),"MONITOR","KEEP"))))</f>
        <v>REPLACE</v>
      </c>
      <c r="O27" s="188" t="str">
        <f aca="false">IF(G27&gt;=20,"End of life (age &gt; 20)",IF(L27&gt;0.6,"Repairs exceed 60% of revenue",IF(G27&gt;=15,"Age 15+ → replace",IF(OR(G27&gt;=11,L27&gt;0.4),"Watch costs; plan replacement","Healthy — continue operating"))))</f>
        <v>End of life (age &gt; 20)</v>
      </c>
      <c r="P27" s="188" t="str">
        <f aca="false">'Engineering Assumptions'!H18</f>
        <v>JCB 3DX Plus new ~Rs. 15–18M; strong resale</v>
      </c>
    </row>
    <row r="28" customFormat="false" ht="15" hidden="false" customHeight="true" outlineLevel="0" collapsed="false">
      <c r="A28" s="9" t="n">
        <v>23</v>
      </c>
      <c r="B28" s="184" t="s">
        <v>92</v>
      </c>
      <c r="C28" s="184" t="s">
        <v>352</v>
      </c>
      <c r="D28" s="184" t="s">
        <v>356</v>
      </c>
      <c r="E28" s="184" t="s">
        <v>359</v>
      </c>
      <c r="F28" s="45" t="s">
        <v>358</v>
      </c>
      <c r="G28" s="9" t="n">
        <v>24</v>
      </c>
      <c r="H28" s="185" t="n">
        <f aca="false">'Engineering Assumptions'!$F$18*0.06*1</f>
        <v>1.11</v>
      </c>
      <c r="I28" s="185" t="n">
        <f aca="false">'Engineering Assumptions'!$F$18*1</f>
        <v>18.5</v>
      </c>
      <c r="J28" s="12" t="n">
        <f aca="false">'Fleet Pricing'!L28</f>
        <v>275500</v>
      </c>
      <c r="K28" s="12" t="n">
        <f aca="false">'Maintenance &amp; Repair'!J28+'Maintenance &amp; Repair'!K28</f>
        <v>131040</v>
      </c>
      <c r="L28" s="186" t="n">
        <f aca="false">IFERROR(K28/J28,0)</f>
        <v>0.475644283121597</v>
      </c>
      <c r="M28" s="9" t="n">
        <f aca="false">MAX(0,'Engineering Assumptions'!$G$18-G28)</f>
        <v>0</v>
      </c>
      <c r="N28" s="187" t="str">
        <f aca="false">IF(G28&gt;=20,"REPLACE",IF(L28&gt;0.6,"REPLACE",IF(G28&gt;=15,"REPLACE",IF(OR(G28&gt;=11,L28&gt;0.4),"MONITOR","KEEP"))))</f>
        <v>REPLACE</v>
      </c>
      <c r="O28" s="188" t="str">
        <f aca="false">IF(G28&gt;=20,"End of life (age &gt; 20)",IF(L28&gt;0.6,"Repairs exceed 60% of revenue",IF(G28&gt;=15,"Age 15+ → replace",IF(OR(G28&gt;=11,L28&gt;0.4),"Watch costs; plan replacement","Healthy — continue operating"))))</f>
        <v>End of life (age &gt; 20)</v>
      </c>
      <c r="P28" s="188" t="str">
        <f aca="false">'Engineering Assumptions'!H18</f>
        <v>JCB 3DX Plus new ~Rs. 15–18M; strong resale</v>
      </c>
    </row>
    <row r="29" customFormat="false" ht="15" hidden="false" customHeight="true" outlineLevel="0" collapsed="false">
      <c r="A29" s="9" t="n">
        <v>24</v>
      </c>
      <c r="B29" s="184" t="s">
        <v>92</v>
      </c>
      <c r="C29" s="184" t="s">
        <v>2283</v>
      </c>
      <c r="D29" s="184" t="s">
        <v>360</v>
      </c>
      <c r="E29" s="184" t="s">
        <v>363</v>
      </c>
      <c r="F29" s="45" t="s">
        <v>362</v>
      </c>
      <c r="G29" s="9" t="n">
        <v>27</v>
      </c>
      <c r="H29" s="185" t="n">
        <f aca="false">'Engineering Assumptions'!$F$18*0.03*1</f>
        <v>0.555</v>
      </c>
      <c r="I29" s="185" t="n">
        <f aca="false">'Engineering Assumptions'!$F$18*1</f>
        <v>18.5</v>
      </c>
      <c r="J29" s="12" t="n">
        <f aca="false">'Fleet Pricing'!L29</f>
        <v>246000</v>
      </c>
      <c r="K29" s="12" t="n">
        <f aca="false">'Maintenance &amp; Repair'!J29+'Maintenance &amp; Repair'!K29</f>
        <v>131040</v>
      </c>
      <c r="L29" s="186" t="n">
        <f aca="false">IFERROR(K29/J29,0)</f>
        <v>0.532682926829268</v>
      </c>
      <c r="M29" s="9" t="n">
        <f aca="false">MAX(0,'Engineering Assumptions'!$G$18-G29)</f>
        <v>0</v>
      </c>
      <c r="N29" s="187" t="str">
        <f aca="false">IF(G29&gt;=20,"REPLACE",IF(L29&gt;0.6,"REPLACE",IF(G29&gt;=15,"REPLACE",IF(OR(G29&gt;=11,L29&gt;0.4),"MONITOR","KEEP"))))</f>
        <v>REPLACE</v>
      </c>
      <c r="O29" s="188" t="str">
        <f aca="false">IF(G29&gt;=20,"End of life (age &gt; 20)",IF(L29&gt;0.6,"Repairs exceed 60% of revenue",IF(G29&gt;=15,"Age 15+ → replace",IF(OR(G29&gt;=11,L29&gt;0.4),"Watch costs; plan replacement","Healthy — continue operating"))))</f>
        <v>End of life (age &gt; 20)</v>
      </c>
      <c r="P29" s="188" t="str">
        <f aca="false">'Engineering Assumptions'!H18</f>
        <v>JCB 3DX Plus new ~Rs. 15–18M; strong resale</v>
      </c>
    </row>
    <row r="30" customFormat="false" ht="15" hidden="false" customHeight="true" outlineLevel="0" collapsed="false">
      <c r="A30" s="42" t="s">
        <v>365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</row>
    <row r="31" customFormat="false" ht="15" hidden="false" customHeight="true" outlineLevel="0" collapsed="false">
      <c r="A31" s="9" t="n">
        <v>25</v>
      </c>
      <c r="B31" s="184" t="s">
        <v>95</v>
      </c>
      <c r="C31" s="184" t="s">
        <v>2284</v>
      </c>
      <c r="D31" s="184" t="s">
        <v>367</v>
      </c>
      <c r="E31" s="184"/>
      <c r="F31" s="45" t="s">
        <v>306</v>
      </c>
      <c r="G31" s="9" t="n">
        <v>6</v>
      </c>
      <c r="H31" s="185" t="n">
        <f aca="false">'Engineering Assumptions'!$F$19*0.35*1</f>
        <v>14.7</v>
      </c>
      <c r="I31" s="185" t="n">
        <f aca="false">'Engineering Assumptions'!$F$19*1</f>
        <v>42</v>
      </c>
      <c r="J31" s="12" t="n">
        <f aca="false">'Fleet Pricing'!L31</f>
        <v>862000</v>
      </c>
      <c r="K31" s="12" t="n">
        <f aca="false">'Maintenance &amp; Repair'!J31+'Maintenance &amp; Repair'!K31</f>
        <v>95700</v>
      </c>
      <c r="L31" s="186" t="n">
        <f aca="false">IFERROR(K31/J31,0)</f>
        <v>0.111020881670534</v>
      </c>
      <c r="M31" s="9" t="n">
        <f aca="false">MAX(0,'Engineering Assumptions'!$G$19-G31)</f>
        <v>9</v>
      </c>
      <c r="N31" s="187" t="str">
        <f aca="false">IF(G31&gt;=20,"REPLACE",IF(L31&gt;0.6,"REPLACE",IF(G31&gt;=15,"REPLACE",IF(OR(G31&gt;=11,L31&gt;0.4),"MONITOR","KEEP"))))</f>
        <v>KEEP</v>
      </c>
      <c r="O31" s="188" t="str">
        <f aca="false">IF(G31&gt;=20,"End of life (age &gt; 20)",IF(L31&gt;0.6,"Repairs exceed 60% of revenue",IF(G31&gt;=15,"Age 15+ → replace",IF(OR(G31&gt;=11,L31&gt;0.4),"Watch costs; plan replacement","Healthy — continue operating"))))</f>
        <v>Healthy — continue operating</v>
      </c>
      <c r="P31" s="188" t="str">
        <f aca="false">'Engineering Assumptions'!H19</f>
        <v>SHANTUI SL50W / CAT 910E ~Rs. 35–55M</v>
      </c>
    </row>
    <row r="32" customFormat="false" ht="15" hidden="false" customHeight="true" outlineLevel="0" collapsed="false">
      <c r="A32" s="9" t="n">
        <v>26</v>
      </c>
      <c r="B32" s="184" t="s">
        <v>95</v>
      </c>
      <c r="C32" s="184" t="s">
        <v>2285</v>
      </c>
      <c r="D32" s="184" t="s">
        <v>370</v>
      </c>
      <c r="E32" s="184"/>
      <c r="F32" s="45" t="s">
        <v>315</v>
      </c>
      <c r="G32" s="9" t="n">
        <v>11</v>
      </c>
      <c r="H32" s="185" t="n">
        <f aca="false">'Engineering Assumptions'!$F$19*0.22*1</f>
        <v>9.24</v>
      </c>
      <c r="I32" s="185" t="n">
        <f aca="false">'Engineering Assumptions'!$F$19*1</f>
        <v>42</v>
      </c>
      <c r="J32" s="12" t="n">
        <f aca="false">'Fleet Pricing'!L32</f>
        <v>792500</v>
      </c>
      <c r="K32" s="12" t="n">
        <f aca="false">'Maintenance &amp; Repair'!J32+'Maintenance &amp; Repair'!K32</f>
        <v>142860</v>
      </c>
      <c r="L32" s="186" t="n">
        <f aca="false">IFERROR(K32/J32,0)</f>
        <v>0.180264984227129</v>
      </c>
      <c r="M32" s="9" t="n">
        <f aca="false">MAX(0,'Engineering Assumptions'!$G$19-G32)</f>
        <v>4</v>
      </c>
      <c r="N32" s="187" t="str">
        <f aca="false">IF(G32&gt;=20,"REPLACE",IF(L32&gt;0.6,"REPLACE",IF(G32&gt;=15,"REPLACE",IF(OR(G32&gt;=11,L32&gt;0.4),"MONITOR","KEEP"))))</f>
        <v>MONITOR</v>
      </c>
      <c r="O32" s="188" t="str">
        <f aca="false">IF(G32&gt;=20,"End of life (age &gt; 20)",IF(L32&gt;0.6,"Repairs exceed 60% of revenue",IF(G32&gt;=15,"Age 15+ → replace",IF(OR(G32&gt;=11,L32&gt;0.4),"Watch costs; plan replacement","Healthy — continue operating"))))</f>
        <v>Watch costs; plan replacement</v>
      </c>
      <c r="P32" s="188" t="str">
        <f aca="false">'Engineering Assumptions'!H19</f>
        <v>SHANTUI SL50W / CAT 910E ~Rs. 35–55M</v>
      </c>
    </row>
    <row r="33" customFormat="false" ht="15" hidden="false" customHeight="true" outlineLevel="0" collapsed="false">
      <c r="A33" s="9" t="n">
        <v>27</v>
      </c>
      <c r="B33" s="184" t="s">
        <v>95</v>
      </c>
      <c r="C33" s="184" t="s">
        <v>2286</v>
      </c>
      <c r="D33" s="184" t="s">
        <v>372</v>
      </c>
      <c r="E33" s="184"/>
      <c r="F33" s="45" t="s">
        <v>374</v>
      </c>
      <c r="G33" s="9" t="n">
        <v>12</v>
      </c>
      <c r="H33" s="185" t="n">
        <f aca="false">'Engineering Assumptions'!$F$19*0.22*1</f>
        <v>9.24</v>
      </c>
      <c r="I33" s="185" t="n">
        <f aca="false">'Engineering Assumptions'!$F$19*1</f>
        <v>42</v>
      </c>
      <c r="J33" s="12" t="n">
        <f aca="false">'Fleet Pricing'!L33</f>
        <v>707000</v>
      </c>
      <c r="K33" s="12" t="n">
        <f aca="false">'Maintenance &amp; Repair'!J33+'Maintenance &amp; Repair'!K33</f>
        <v>142860</v>
      </c>
      <c r="L33" s="186" t="n">
        <f aca="false">IFERROR(K33/J33,0)</f>
        <v>0.202065063649222</v>
      </c>
      <c r="M33" s="9" t="n">
        <f aca="false">MAX(0,'Engineering Assumptions'!$G$19-G33)</f>
        <v>3</v>
      </c>
      <c r="N33" s="187" t="str">
        <f aca="false">IF(G33&gt;=20,"REPLACE",IF(L33&gt;0.6,"REPLACE",IF(G33&gt;=15,"REPLACE",IF(OR(G33&gt;=11,L33&gt;0.4),"MONITOR","KEEP"))))</f>
        <v>MONITOR</v>
      </c>
      <c r="O33" s="188" t="str">
        <f aca="false">IF(G33&gt;=20,"End of life (age &gt; 20)",IF(L33&gt;0.6,"Repairs exceed 60% of revenue",IF(G33&gt;=15,"Age 15+ → replace",IF(OR(G33&gt;=11,L33&gt;0.4),"Watch costs; plan replacement","Healthy — continue operating"))))</f>
        <v>Watch costs; plan replacement</v>
      </c>
      <c r="P33" s="188" t="str">
        <f aca="false">'Engineering Assumptions'!H19</f>
        <v>SHANTUI SL50W / CAT 910E ~Rs. 35–55M</v>
      </c>
    </row>
    <row r="34" customFormat="false" ht="15" hidden="false" customHeight="true" outlineLevel="0" collapsed="false">
      <c r="A34" s="9" t="n">
        <v>28</v>
      </c>
      <c r="B34" s="184" t="s">
        <v>95</v>
      </c>
      <c r="C34" s="184" t="s">
        <v>2287</v>
      </c>
      <c r="D34" s="184" t="s">
        <v>376</v>
      </c>
      <c r="E34" s="184"/>
      <c r="F34" s="45" t="s">
        <v>374</v>
      </c>
      <c r="G34" s="9" t="n">
        <v>12</v>
      </c>
      <c r="H34" s="185" t="n">
        <f aca="false">'Engineering Assumptions'!$F$19*0.22*1</f>
        <v>9.24</v>
      </c>
      <c r="I34" s="185" t="n">
        <f aca="false">'Engineering Assumptions'!$F$19*1</f>
        <v>42</v>
      </c>
      <c r="J34" s="12" t="n">
        <f aca="false">'Fleet Pricing'!L34</f>
        <v>707000</v>
      </c>
      <c r="K34" s="12" t="n">
        <f aca="false">'Maintenance &amp; Repair'!J34+'Maintenance &amp; Repair'!K34</f>
        <v>142860</v>
      </c>
      <c r="L34" s="186" t="n">
        <f aca="false">IFERROR(K34/J34,0)</f>
        <v>0.202065063649222</v>
      </c>
      <c r="M34" s="9" t="n">
        <f aca="false">MAX(0,'Engineering Assumptions'!$G$19-G34)</f>
        <v>3</v>
      </c>
      <c r="N34" s="187" t="str">
        <f aca="false">IF(G34&gt;=20,"REPLACE",IF(L34&gt;0.6,"REPLACE",IF(G34&gt;=15,"REPLACE",IF(OR(G34&gt;=11,L34&gt;0.4),"MONITOR","KEEP"))))</f>
        <v>MONITOR</v>
      </c>
      <c r="O34" s="188" t="str">
        <f aca="false">IF(G34&gt;=20,"End of life (age &gt; 20)",IF(L34&gt;0.6,"Repairs exceed 60% of revenue",IF(G34&gt;=15,"Age 15+ → replace",IF(OR(G34&gt;=11,L34&gt;0.4),"Watch costs; plan replacement","Healthy — continue operating"))))</f>
        <v>Watch costs; plan replacement</v>
      </c>
      <c r="P34" s="188" t="str">
        <f aca="false">'Engineering Assumptions'!H19</f>
        <v>SHANTUI SL50W / CAT 910E ~Rs. 35–55M</v>
      </c>
    </row>
    <row r="35" customFormat="false" ht="15" hidden="false" customHeight="true" outlineLevel="0" collapsed="false">
      <c r="A35" s="9" t="n">
        <v>29</v>
      </c>
      <c r="B35" s="184" t="s">
        <v>95</v>
      </c>
      <c r="C35" s="184" t="s">
        <v>2288</v>
      </c>
      <c r="D35" s="184" t="s">
        <v>378</v>
      </c>
      <c r="E35" s="184"/>
      <c r="F35" s="45" t="s">
        <v>380</v>
      </c>
      <c r="G35" s="9" t="n">
        <v>13</v>
      </c>
      <c r="H35" s="185" t="n">
        <f aca="false">'Engineering Assumptions'!$F$19*0.12*1</f>
        <v>5.04</v>
      </c>
      <c r="I35" s="185" t="n">
        <f aca="false">'Engineering Assumptions'!$F$19*1</f>
        <v>42</v>
      </c>
      <c r="J35" s="12" t="n">
        <f aca="false">'Fleet Pricing'!L35</f>
        <v>707000</v>
      </c>
      <c r="K35" s="12" t="n">
        <f aca="false">'Maintenance &amp; Repair'!J35+'Maintenance &amp; Repair'!K35</f>
        <v>142860</v>
      </c>
      <c r="L35" s="186" t="n">
        <f aca="false">IFERROR(K35/J35,0)</f>
        <v>0.202065063649222</v>
      </c>
      <c r="M35" s="9" t="n">
        <f aca="false">MAX(0,'Engineering Assumptions'!$G$19-G35)</f>
        <v>2</v>
      </c>
      <c r="N35" s="187" t="str">
        <f aca="false">IF(G35&gt;=20,"REPLACE",IF(L35&gt;0.6,"REPLACE",IF(G35&gt;=15,"REPLACE",IF(OR(G35&gt;=11,L35&gt;0.4),"MONITOR","KEEP"))))</f>
        <v>MONITOR</v>
      </c>
      <c r="O35" s="188" t="str">
        <f aca="false">IF(G35&gt;=20,"End of life (age &gt; 20)",IF(L35&gt;0.6,"Repairs exceed 60% of revenue",IF(G35&gt;=15,"Age 15+ → replace",IF(OR(G35&gt;=11,L35&gt;0.4),"Watch costs; plan replacement","Healthy — continue operating"))))</f>
        <v>Watch costs; plan replacement</v>
      </c>
      <c r="P35" s="188" t="str">
        <f aca="false">'Engineering Assumptions'!H19</f>
        <v>SHANTUI SL50W / CAT 910E ~Rs. 35–55M</v>
      </c>
    </row>
    <row r="36" customFormat="false" ht="15" hidden="false" customHeight="true" outlineLevel="0" collapsed="false">
      <c r="A36" s="9" t="n">
        <v>30</v>
      </c>
      <c r="B36" s="184" t="s">
        <v>95</v>
      </c>
      <c r="C36" s="184" t="s">
        <v>2289</v>
      </c>
      <c r="D36" s="184" t="s">
        <v>381</v>
      </c>
      <c r="E36" s="184" t="s">
        <v>383</v>
      </c>
      <c r="F36" s="45" t="s">
        <v>380</v>
      </c>
      <c r="G36" s="9" t="n">
        <v>13</v>
      </c>
      <c r="H36" s="185" t="n">
        <f aca="false">'Engineering Assumptions'!$F$19*0.12*1</f>
        <v>5.04</v>
      </c>
      <c r="I36" s="185" t="n">
        <f aca="false">'Engineering Assumptions'!$F$19*1</f>
        <v>42</v>
      </c>
      <c r="J36" s="12" t="n">
        <f aca="false">'Fleet Pricing'!L36</f>
        <v>707000</v>
      </c>
      <c r="K36" s="12" t="n">
        <f aca="false">'Maintenance &amp; Repair'!J36+'Maintenance &amp; Repair'!K36</f>
        <v>142860</v>
      </c>
      <c r="L36" s="186" t="n">
        <f aca="false">IFERROR(K36/J36,0)</f>
        <v>0.202065063649222</v>
      </c>
      <c r="M36" s="9" t="n">
        <f aca="false">MAX(0,'Engineering Assumptions'!$G$19-G36)</f>
        <v>2</v>
      </c>
      <c r="N36" s="187" t="str">
        <f aca="false">IF(G36&gt;=20,"REPLACE",IF(L36&gt;0.6,"REPLACE",IF(G36&gt;=15,"REPLACE",IF(OR(G36&gt;=11,L36&gt;0.4),"MONITOR","KEEP"))))</f>
        <v>MONITOR</v>
      </c>
      <c r="O36" s="188" t="str">
        <f aca="false">IF(G36&gt;=20,"End of life (age &gt; 20)",IF(L36&gt;0.6,"Repairs exceed 60% of revenue",IF(G36&gt;=15,"Age 15+ → replace",IF(OR(G36&gt;=11,L36&gt;0.4),"Watch costs; plan replacement","Healthy — continue operating"))))</f>
        <v>Watch costs; plan replacement</v>
      </c>
      <c r="P36" s="188" t="str">
        <f aca="false">'Engineering Assumptions'!H19</f>
        <v>SHANTUI SL50W / CAT 910E ~Rs. 35–55M</v>
      </c>
    </row>
    <row r="37" customFormat="false" ht="15" hidden="false" customHeight="true" outlineLevel="0" collapsed="false">
      <c r="A37" s="9" t="n">
        <v>31</v>
      </c>
      <c r="B37" s="184" t="s">
        <v>95</v>
      </c>
      <c r="C37" s="184" t="s">
        <v>2290</v>
      </c>
      <c r="D37" s="184" t="s">
        <v>384</v>
      </c>
      <c r="E37" s="184"/>
      <c r="F37" s="45" t="s">
        <v>310</v>
      </c>
      <c r="G37" s="9" t="n">
        <v>14</v>
      </c>
      <c r="H37" s="185" t="n">
        <f aca="false">'Engineering Assumptions'!$F$19*0.12*1</f>
        <v>5.04</v>
      </c>
      <c r="I37" s="185" t="n">
        <f aca="false">'Engineering Assumptions'!$F$19*1</f>
        <v>42</v>
      </c>
      <c r="J37" s="12" t="n">
        <f aca="false">'Fleet Pricing'!L37</f>
        <v>707000</v>
      </c>
      <c r="K37" s="12" t="n">
        <f aca="false">'Maintenance &amp; Repair'!J37+'Maintenance &amp; Repair'!K37</f>
        <v>142860</v>
      </c>
      <c r="L37" s="186" t="n">
        <f aca="false">IFERROR(K37/J37,0)</f>
        <v>0.202065063649222</v>
      </c>
      <c r="M37" s="9" t="n">
        <f aca="false">MAX(0,'Engineering Assumptions'!$G$19-G37)</f>
        <v>1</v>
      </c>
      <c r="N37" s="187" t="str">
        <f aca="false">IF(G37&gt;=20,"REPLACE",IF(L37&gt;0.6,"REPLACE",IF(G37&gt;=15,"REPLACE",IF(OR(G37&gt;=11,L37&gt;0.4),"MONITOR","KEEP"))))</f>
        <v>MONITOR</v>
      </c>
      <c r="O37" s="188" t="str">
        <f aca="false">IF(G37&gt;=20,"End of life (age &gt; 20)",IF(L37&gt;0.6,"Repairs exceed 60% of revenue",IF(G37&gt;=15,"Age 15+ → replace",IF(OR(G37&gt;=11,L37&gt;0.4),"Watch costs; plan replacement","Healthy — continue operating"))))</f>
        <v>Watch costs; plan replacement</v>
      </c>
      <c r="P37" s="188" t="str">
        <f aca="false">'Engineering Assumptions'!H19</f>
        <v>SHANTUI SL50W / CAT 910E ~Rs. 35–55M</v>
      </c>
    </row>
    <row r="38" customFormat="false" ht="15" hidden="false" customHeight="true" outlineLevel="0" collapsed="false">
      <c r="A38" s="9" t="n">
        <v>32</v>
      </c>
      <c r="B38" s="184" t="s">
        <v>95</v>
      </c>
      <c r="C38" s="184" t="s">
        <v>2291</v>
      </c>
      <c r="D38" s="184" t="s">
        <v>387</v>
      </c>
      <c r="E38" s="184"/>
      <c r="F38" s="45" t="s">
        <v>389</v>
      </c>
      <c r="G38" s="9" t="n">
        <v>16</v>
      </c>
      <c r="H38" s="185" t="n">
        <f aca="false">'Engineering Assumptions'!$F$19*0.12*1</f>
        <v>5.04</v>
      </c>
      <c r="I38" s="185" t="n">
        <f aca="false">'Engineering Assumptions'!$F$19*1</f>
        <v>42</v>
      </c>
      <c r="J38" s="12" t="n">
        <f aca="false">'Fleet Pricing'!L38</f>
        <v>707000</v>
      </c>
      <c r="K38" s="12" t="n">
        <f aca="false">'Maintenance &amp; Repair'!J38+'Maintenance &amp; Repair'!K38</f>
        <v>202860</v>
      </c>
      <c r="L38" s="186" t="n">
        <f aca="false">IFERROR(K38/J38,0)</f>
        <v>0.286930693069307</v>
      </c>
      <c r="M38" s="9" t="n">
        <f aca="false">MAX(0,'Engineering Assumptions'!$G$19-G38)</f>
        <v>0</v>
      </c>
      <c r="N38" s="187" t="str">
        <f aca="false">IF(G38&gt;=20,"REPLACE",IF(L38&gt;0.6,"REPLACE",IF(G38&gt;=15,"REPLACE",IF(OR(G38&gt;=11,L38&gt;0.4),"MONITOR","KEEP"))))</f>
        <v>REPLACE</v>
      </c>
      <c r="O38" s="188" t="str">
        <f aca="false">IF(G38&gt;=20,"End of life (age &gt; 20)",IF(L38&gt;0.6,"Repairs exceed 60% of revenue",IF(G38&gt;=15,"Age 15+ → replace",IF(OR(G38&gt;=11,L38&gt;0.4),"Watch costs; plan replacement","Healthy — continue operating"))))</f>
        <v>Age 15+ → replace</v>
      </c>
      <c r="P38" s="188" t="str">
        <f aca="false">'Engineering Assumptions'!H19</f>
        <v>SHANTUI SL50W / CAT 910E ~Rs. 35–55M</v>
      </c>
    </row>
    <row r="39" customFormat="false" ht="15" hidden="false" customHeight="true" outlineLevel="0" collapsed="false">
      <c r="A39" s="9" t="n">
        <v>33</v>
      </c>
      <c r="B39" s="184" t="s">
        <v>95</v>
      </c>
      <c r="C39" s="184" t="s">
        <v>2292</v>
      </c>
      <c r="D39" s="184" t="s">
        <v>390</v>
      </c>
      <c r="E39" s="184"/>
      <c r="F39" s="45" t="s">
        <v>392</v>
      </c>
      <c r="G39" s="9" t="n">
        <v>17</v>
      </c>
      <c r="H39" s="185" t="n">
        <f aca="false">'Engineering Assumptions'!$F$19*0.12*1</f>
        <v>5.04</v>
      </c>
      <c r="I39" s="185" t="n">
        <f aca="false">'Engineering Assumptions'!$F$19*1</f>
        <v>42</v>
      </c>
      <c r="J39" s="12" t="n">
        <f aca="false">'Fleet Pricing'!L39</f>
        <v>620000</v>
      </c>
      <c r="K39" s="12" t="n">
        <f aca="false">'Maintenance &amp; Repair'!J39+'Maintenance &amp; Repair'!K39</f>
        <v>202860</v>
      </c>
      <c r="L39" s="186" t="n">
        <f aca="false">IFERROR(K39/J39,0)</f>
        <v>0.327193548387097</v>
      </c>
      <c r="M39" s="9" t="n">
        <f aca="false">MAX(0,'Engineering Assumptions'!$G$19-G39)</f>
        <v>0</v>
      </c>
      <c r="N39" s="187" t="str">
        <f aca="false">IF(G39&gt;=20,"REPLACE",IF(L39&gt;0.6,"REPLACE",IF(G39&gt;=15,"REPLACE",IF(OR(G39&gt;=11,L39&gt;0.4),"MONITOR","KEEP"))))</f>
        <v>REPLACE</v>
      </c>
      <c r="O39" s="188" t="str">
        <f aca="false">IF(G39&gt;=20,"End of life (age &gt; 20)",IF(L39&gt;0.6,"Repairs exceed 60% of revenue",IF(G39&gt;=15,"Age 15+ → replace",IF(OR(G39&gt;=11,L39&gt;0.4),"Watch costs; plan replacement","Healthy — continue operating"))))</f>
        <v>Age 15+ → replace</v>
      </c>
      <c r="P39" s="188" t="str">
        <f aca="false">'Engineering Assumptions'!H19</f>
        <v>SHANTUI SL50W / CAT 910E ~Rs. 35–55M</v>
      </c>
    </row>
    <row r="40" customFormat="false" ht="15" hidden="false" customHeight="true" outlineLevel="0" collapsed="false">
      <c r="A40" s="42" t="s">
        <v>393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</row>
    <row r="41" customFormat="false" ht="15" hidden="false" customHeight="true" outlineLevel="0" collapsed="false">
      <c r="A41" s="9" t="n">
        <v>34</v>
      </c>
      <c r="B41" s="184" t="s">
        <v>97</v>
      </c>
      <c r="C41" s="184" t="s">
        <v>2293</v>
      </c>
      <c r="D41" s="184" t="s">
        <v>395</v>
      </c>
      <c r="E41" s="184" t="s">
        <v>398</v>
      </c>
      <c r="F41" s="45" t="s">
        <v>397</v>
      </c>
      <c r="G41" s="9" t="n">
        <v>9</v>
      </c>
      <c r="H41" s="185" t="n">
        <f aca="false">'Engineering Assumptions'!$F$20*0.22*1</f>
        <v>4.84</v>
      </c>
      <c r="I41" s="185" t="n">
        <f aca="false">'Engineering Assumptions'!$F$20*1</f>
        <v>22</v>
      </c>
      <c r="J41" s="12" t="n">
        <f aca="false">'Fleet Pricing'!L41</f>
        <v>455000</v>
      </c>
      <c r="K41" s="12" t="n">
        <f aca="false">'Maintenance &amp; Repair'!J41+'Maintenance &amp; Repair'!K41</f>
        <v>58200</v>
      </c>
      <c r="L41" s="186" t="n">
        <f aca="false">IFERROR(K41/J41,0)</f>
        <v>0.127912087912088</v>
      </c>
      <c r="M41" s="9" t="n">
        <f aca="false">MAX(0,'Engineering Assumptions'!$G$20-G41)</f>
        <v>3</v>
      </c>
      <c r="N41" s="187" t="str">
        <f aca="false">IF(G41&gt;=20,"REPLACE",IF(L41&gt;0.6,"REPLACE",IF(G41&gt;=15,"REPLACE",IF(OR(G41&gt;=11,L41&gt;0.4),"MONITOR","KEEP"))))</f>
        <v>KEEP</v>
      </c>
      <c r="O41" s="188" t="str">
        <f aca="false">IF(G41&gt;=20,"End of life (age &gt; 20)",IF(L41&gt;0.6,"Repairs exceed 60% of revenue",IF(G41&gt;=15,"Age 15+ → replace",IF(OR(G41&gt;=11,L41&gt;0.4),"Watch costs; plan replacement","Healthy — continue operating"))))</f>
        <v>Healthy — continue operating</v>
      </c>
      <c r="P41" s="188" t="str">
        <f aca="false">'Engineering Assumptions'!H20</f>
        <v>TATA LPK2518 + mixer ~Rs. 20–25M</v>
      </c>
    </row>
    <row r="42" customFormat="false" ht="15" hidden="false" customHeight="true" outlineLevel="0" collapsed="false">
      <c r="A42" s="9" t="n">
        <v>35</v>
      </c>
      <c r="B42" s="184" t="s">
        <v>97</v>
      </c>
      <c r="C42" s="184" t="s">
        <v>2294</v>
      </c>
      <c r="D42" s="184" t="s">
        <v>399</v>
      </c>
      <c r="E42" s="184" t="s">
        <v>401</v>
      </c>
      <c r="F42" s="45" t="s">
        <v>397</v>
      </c>
      <c r="G42" s="9" t="n">
        <v>9</v>
      </c>
      <c r="H42" s="185" t="n">
        <f aca="false">'Engineering Assumptions'!$F$20*0.22*1</f>
        <v>4.84</v>
      </c>
      <c r="I42" s="185" t="n">
        <f aca="false">'Engineering Assumptions'!$F$20*1</f>
        <v>22</v>
      </c>
      <c r="J42" s="12" t="n">
        <f aca="false">'Fleet Pricing'!L42</f>
        <v>455000</v>
      </c>
      <c r="K42" s="12" t="n">
        <f aca="false">'Maintenance &amp; Repair'!J42+'Maintenance &amp; Repair'!K42</f>
        <v>58200</v>
      </c>
      <c r="L42" s="186" t="n">
        <f aca="false">IFERROR(K42/J42,0)</f>
        <v>0.127912087912088</v>
      </c>
      <c r="M42" s="9" t="n">
        <f aca="false">MAX(0,'Engineering Assumptions'!$G$20-G42)</f>
        <v>3</v>
      </c>
      <c r="N42" s="187" t="str">
        <f aca="false">IF(G42&gt;=20,"REPLACE",IF(L42&gt;0.6,"REPLACE",IF(G42&gt;=15,"REPLACE",IF(OR(G42&gt;=11,L42&gt;0.4),"MONITOR","KEEP"))))</f>
        <v>KEEP</v>
      </c>
      <c r="O42" s="188" t="str">
        <f aca="false">IF(G42&gt;=20,"End of life (age &gt; 20)",IF(L42&gt;0.6,"Repairs exceed 60% of revenue",IF(G42&gt;=15,"Age 15+ → replace",IF(OR(G42&gt;=11,L42&gt;0.4),"Watch costs; plan replacement","Healthy — continue operating"))))</f>
        <v>Healthy — continue operating</v>
      </c>
      <c r="P42" s="188" t="str">
        <f aca="false">'Engineering Assumptions'!H20</f>
        <v>TATA LPK2518 + mixer ~Rs. 20–25M</v>
      </c>
    </row>
    <row r="43" customFormat="false" ht="15" hidden="false" customHeight="true" outlineLevel="0" collapsed="false">
      <c r="A43" s="9" t="n">
        <v>36</v>
      </c>
      <c r="B43" s="184" t="s">
        <v>97</v>
      </c>
      <c r="C43" s="184" t="s">
        <v>2293</v>
      </c>
      <c r="D43" s="184" t="s">
        <v>414</v>
      </c>
      <c r="E43" s="184" t="s">
        <v>415</v>
      </c>
      <c r="F43" s="45" t="s">
        <v>397</v>
      </c>
      <c r="G43" s="9" t="n">
        <v>9</v>
      </c>
      <c r="H43" s="185" t="n">
        <f aca="false">'Engineering Assumptions'!$F$20*0.22*1</f>
        <v>4.84</v>
      </c>
      <c r="I43" s="185" t="n">
        <f aca="false">'Engineering Assumptions'!$F$20*1</f>
        <v>22</v>
      </c>
      <c r="J43" s="12" t="n">
        <f aca="false">'Fleet Pricing'!L43</f>
        <v>455000</v>
      </c>
      <c r="K43" s="12" t="n">
        <f aca="false">'Maintenance &amp; Repair'!J43+'Maintenance &amp; Repair'!K43</f>
        <v>58200</v>
      </c>
      <c r="L43" s="186" t="n">
        <f aca="false">IFERROR(K43/J43,0)</f>
        <v>0.127912087912088</v>
      </c>
      <c r="M43" s="9" t="n">
        <f aca="false">MAX(0,'Engineering Assumptions'!$G$20-G43)</f>
        <v>3</v>
      </c>
      <c r="N43" s="187" t="str">
        <f aca="false">IF(G43&gt;=20,"REPLACE",IF(L43&gt;0.6,"REPLACE",IF(G43&gt;=15,"REPLACE",IF(OR(G43&gt;=11,L43&gt;0.4),"MONITOR","KEEP"))))</f>
        <v>KEEP</v>
      </c>
      <c r="O43" s="188" t="str">
        <f aca="false">IF(G43&gt;=20,"End of life (age &gt; 20)",IF(L43&gt;0.6,"Repairs exceed 60% of revenue",IF(G43&gt;=15,"Age 15+ → replace",IF(OR(G43&gt;=11,L43&gt;0.4),"Watch costs; plan replacement","Healthy — continue operating"))))</f>
        <v>Healthy — continue operating</v>
      </c>
      <c r="P43" s="188" t="str">
        <f aca="false">'Engineering Assumptions'!H20</f>
        <v>TATA LPK2518 + mixer ~Rs. 20–25M</v>
      </c>
    </row>
    <row r="44" customFormat="false" ht="15" hidden="false" customHeight="true" outlineLevel="0" collapsed="false">
      <c r="A44" s="9" t="n">
        <v>37</v>
      </c>
      <c r="B44" s="184" t="s">
        <v>97</v>
      </c>
      <c r="C44" s="184" t="s">
        <v>2295</v>
      </c>
      <c r="D44" s="184" t="s">
        <v>405</v>
      </c>
      <c r="E44" s="184" t="s">
        <v>407</v>
      </c>
      <c r="F44" s="45" t="s">
        <v>318</v>
      </c>
      <c r="G44" s="9" t="n">
        <v>10</v>
      </c>
      <c r="H44" s="185" t="n">
        <f aca="false">'Engineering Assumptions'!$F$20*0.22*1</f>
        <v>4.84</v>
      </c>
      <c r="I44" s="185" t="n">
        <f aca="false">'Engineering Assumptions'!$F$20*1</f>
        <v>22</v>
      </c>
      <c r="J44" s="12" t="n">
        <f aca="false">'Fleet Pricing'!L44</f>
        <v>455000</v>
      </c>
      <c r="K44" s="12" t="n">
        <f aca="false">'Maintenance &amp; Repair'!J44+'Maintenance &amp; Repair'!K44</f>
        <v>58200</v>
      </c>
      <c r="L44" s="186" t="n">
        <f aca="false">IFERROR(K44/J44,0)</f>
        <v>0.127912087912088</v>
      </c>
      <c r="M44" s="9" t="n">
        <f aca="false">MAX(0,'Engineering Assumptions'!$G$20-G44)</f>
        <v>2</v>
      </c>
      <c r="N44" s="187" t="str">
        <f aca="false">IF(G44&gt;=20,"REPLACE",IF(L44&gt;0.6,"REPLACE",IF(G44&gt;=15,"REPLACE",IF(OR(G44&gt;=11,L44&gt;0.4),"MONITOR","KEEP"))))</f>
        <v>KEEP</v>
      </c>
      <c r="O44" s="188" t="str">
        <f aca="false">IF(G44&gt;=20,"End of life (age &gt; 20)",IF(L44&gt;0.6,"Repairs exceed 60% of revenue",IF(G44&gt;=15,"Age 15+ → replace",IF(OR(G44&gt;=11,L44&gt;0.4),"Watch costs; plan replacement","Healthy — continue operating"))))</f>
        <v>Healthy — continue operating</v>
      </c>
      <c r="P44" s="188" t="str">
        <f aca="false">'Engineering Assumptions'!H20</f>
        <v>TATA LPK2518 + mixer ~Rs. 20–25M</v>
      </c>
    </row>
    <row r="45" customFormat="false" ht="15" hidden="false" customHeight="true" outlineLevel="0" collapsed="false">
      <c r="A45" s="9" t="n">
        <v>38</v>
      </c>
      <c r="B45" s="184" t="s">
        <v>97</v>
      </c>
      <c r="C45" s="184" t="s">
        <v>2295</v>
      </c>
      <c r="D45" s="184" t="s">
        <v>408</v>
      </c>
      <c r="E45" s="184" t="s">
        <v>409</v>
      </c>
      <c r="F45" s="45" t="s">
        <v>318</v>
      </c>
      <c r="G45" s="9" t="n">
        <v>10</v>
      </c>
      <c r="H45" s="185" t="n">
        <f aca="false">'Engineering Assumptions'!$F$20*0.22*1</f>
        <v>4.84</v>
      </c>
      <c r="I45" s="185" t="n">
        <f aca="false">'Engineering Assumptions'!$F$20*1</f>
        <v>22</v>
      </c>
      <c r="J45" s="12" t="n">
        <f aca="false">'Fleet Pricing'!L45</f>
        <v>455000</v>
      </c>
      <c r="K45" s="12" t="n">
        <f aca="false">'Maintenance &amp; Repair'!J45+'Maintenance &amp; Repair'!K45</f>
        <v>58200</v>
      </c>
      <c r="L45" s="186" t="n">
        <f aca="false">IFERROR(K45/J45,0)</f>
        <v>0.127912087912088</v>
      </c>
      <c r="M45" s="9" t="n">
        <f aca="false">MAX(0,'Engineering Assumptions'!$G$20-G45)</f>
        <v>2</v>
      </c>
      <c r="N45" s="187" t="str">
        <f aca="false">IF(G45&gt;=20,"REPLACE",IF(L45&gt;0.6,"REPLACE",IF(G45&gt;=15,"REPLACE",IF(OR(G45&gt;=11,L45&gt;0.4),"MONITOR","KEEP"))))</f>
        <v>KEEP</v>
      </c>
      <c r="O45" s="188" t="str">
        <f aca="false">IF(G45&gt;=20,"End of life (age &gt; 20)",IF(L45&gt;0.6,"Repairs exceed 60% of revenue",IF(G45&gt;=15,"Age 15+ → replace",IF(OR(G45&gt;=11,L45&gt;0.4),"Watch costs; plan replacement","Healthy — continue operating"))))</f>
        <v>Healthy — continue operating</v>
      </c>
      <c r="P45" s="188" t="str">
        <f aca="false">'Engineering Assumptions'!H20</f>
        <v>TATA LPK2518 + mixer ~Rs. 20–25M</v>
      </c>
    </row>
    <row r="46" customFormat="false" ht="15" hidden="false" customHeight="true" outlineLevel="0" collapsed="false">
      <c r="A46" s="9" t="n">
        <v>39</v>
      </c>
      <c r="B46" s="184" t="s">
        <v>97</v>
      </c>
      <c r="C46" s="184" t="s">
        <v>2294</v>
      </c>
      <c r="D46" s="184" t="s">
        <v>410</v>
      </c>
      <c r="E46" s="184" t="s">
        <v>411</v>
      </c>
      <c r="F46" s="45" t="s">
        <v>318</v>
      </c>
      <c r="G46" s="9" t="n">
        <v>10</v>
      </c>
      <c r="H46" s="185" t="n">
        <f aca="false">'Engineering Assumptions'!$F$20*0.22*1</f>
        <v>4.84</v>
      </c>
      <c r="I46" s="185" t="n">
        <f aca="false">'Engineering Assumptions'!$F$20*1</f>
        <v>22</v>
      </c>
      <c r="J46" s="12" t="n">
        <f aca="false">'Fleet Pricing'!L46</f>
        <v>455000</v>
      </c>
      <c r="K46" s="12" t="n">
        <f aca="false">'Maintenance &amp; Repair'!J46+'Maintenance &amp; Repair'!K46</f>
        <v>58200</v>
      </c>
      <c r="L46" s="186" t="n">
        <f aca="false">IFERROR(K46/J46,0)</f>
        <v>0.127912087912088</v>
      </c>
      <c r="M46" s="9" t="n">
        <f aca="false">MAX(0,'Engineering Assumptions'!$G$20-G46)</f>
        <v>2</v>
      </c>
      <c r="N46" s="187" t="str">
        <f aca="false">IF(G46&gt;=20,"REPLACE",IF(L46&gt;0.6,"REPLACE",IF(G46&gt;=15,"REPLACE",IF(OR(G46&gt;=11,L46&gt;0.4),"MONITOR","KEEP"))))</f>
        <v>KEEP</v>
      </c>
      <c r="O46" s="188" t="str">
        <f aca="false">IF(G46&gt;=20,"End of life (age &gt; 20)",IF(L46&gt;0.6,"Repairs exceed 60% of revenue",IF(G46&gt;=15,"Age 15+ → replace",IF(OR(G46&gt;=11,L46&gt;0.4),"Watch costs; plan replacement","Healthy — continue operating"))))</f>
        <v>Healthy — continue operating</v>
      </c>
      <c r="P46" s="188" t="str">
        <f aca="false">'Engineering Assumptions'!H20</f>
        <v>TATA LPK2518 + mixer ~Rs. 20–25M</v>
      </c>
    </row>
    <row r="47" customFormat="false" ht="15" hidden="false" customHeight="true" outlineLevel="0" collapsed="false">
      <c r="A47" s="9" t="n">
        <v>40</v>
      </c>
      <c r="B47" s="184" t="s">
        <v>97</v>
      </c>
      <c r="C47" s="184" t="s">
        <v>2294</v>
      </c>
      <c r="D47" s="184" t="s">
        <v>402</v>
      </c>
      <c r="E47" s="184" t="s">
        <v>403</v>
      </c>
      <c r="F47" s="45" t="s">
        <v>318</v>
      </c>
      <c r="G47" s="9" t="n">
        <v>10</v>
      </c>
      <c r="H47" s="185" t="n">
        <f aca="false">'Engineering Assumptions'!$F$20*0.22*1</f>
        <v>4.84</v>
      </c>
      <c r="I47" s="185" t="n">
        <f aca="false">'Engineering Assumptions'!$F$20*1</f>
        <v>22</v>
      </c>
      <c r="J47" s="12" t="n">
        <f aca="false">'Fleet Pricing'!L47</f>
        <v>455000</v>
      </c>
      <c r="K47" s="12" t="n">
        <f aca="false">'Maintenance &amp; Repair'!J47+'Maintenance &amp; Repair'!K47</f>
        <v>58200</v>
      </c>
      <c r="L47" s="186" t="n">
        <f aca="false">IFERROR(K47/J47,0)</f>
        <v>0.127912087912088</v>
      </c>
      <c r="M47" s="9" t="n">
        <f aca="false">MAX(0,'Engineering Assumptions'!$G$20-G47)</f>
        <v>2</v>
      </c>
      <c r="N47" s="187" t="str">
        <f aca="false">IF(G47&gt;=20,"REPLACE",IF(L47&gt;0.6,"REPLACE",IF(G47&gt;=15,"REPLACE",IF(OR(G47&gt;=11,L47&gt;0.4),"MONITOR","KEEP"))))</f>
        <v>KEEP</v>
      </c>
      <c r="O47" s="188" t="str">
        <f aca="false">IF(G47&gt;=20,"End of life (age &gt; 20)",IF(L47&gt;0.6,"Repairs exceed 60% of revenue",IF(G47&gt;=15,"Age 15+ → replace",IF(OR(G47&gt;=11,L47&gt;0.4),"Watch costs; plan replacement","Healthy — continue operating"))))</f>
        <v>Healthy — continue operating</v>
      </c>
      <c r="P47" s="188" t="str">
        <f aca="false">'Engineering Assumptions'!H20</f>
        <v>TATA LPK2518 + mixer ~Rs. 20–25M</v>
      </c>
    </row>
    <row r="48" customFormat="false" ht="15" hidden="false" customHeight="true" outlineLevel="0" collapsed="false">
      <c r="A48" s="9" t="n">
        <v>41</v>
      </c>
      <c r="B48" s="184" t="s">
        <v>97</v>
      </c>
      <c r="C48" s="184" t="s">
        <v>2294</v>
      </c>
      <c r="D48" s="184" t="s">
        <v>412</v>
      </c>
      <c r="E48" s="184" t="s">
        <v>413</v>
      </c>
      <c r="F48" s="45" t="s">
        <v>318</v>
      </c>
      <c r="G48" s="9" t="n">
        <v>10</v>
      </c>
      <c r="H48" s="185" t="n">
        <f aca="false">'Engineering Assumptions'!$F$20*0.22*1</f>
        <v>4.84</v>
      </c>
      <c r="I48" s="185" t="n">
        <f aca="false">'Engineering Assumptions'!$F$20*1</f>
        <v>22</v>
      </c>
      <c r="J48" s="12" t="n">
        <f aca="false">'Fleet Pricing'!L48</f>
        <v>455000</v>
      </c>
      <c r="K48" s="12" t="n">
        <f aca="false">'Maintenance &amp; Repair'!J48+'Maintenance &amp; Repair'!K48</f>
        <v>58200</v>
      </c>
      <c r="L48" s="186" t="n">
        <f aca="false">IFERROR(K48/J48,0)</f>
        <v>0.127912087912088</v>
      </c>
      <c r="M48" s="9" t="n">
        <f aca="false">MAX(0,'Engineering Assumptions'!$G$20-G48)</f>
        <v>2</v>
      </c>
      <c r="N48" s="187" t="str">
        <f aca="false">IF(G48&gt;=20,"REPLACE",IF(L48&gt;0.6,"REPLACE",IF(G48&gt;=15,"REPLACE",IF(OR(G48&gt;=11,L48&gt;0.4),"MONITOR","KEEP"))))</f>
        <v>KEEP</v>
      </c>
      <c r="O48" s="188" t="str">
        <f aca="false">IF(G48&gt;=20,"End of life (age &gt; 20)",IF(L48&gt;0.6,"Repairs exceed 60% of revenue",IF(G48&gt;=15,"Age 15+ → replace",IF(OR(G48&gt;=11,L48&gt;0.4),"Watch costs; plan replacement","Healthy — continue operating"))))</f>
        <v>Healthy — continue operating</v>
      </c>
      <c r="P48" s="188" t="str">
        <f aca="false">'Engineering Assumptions'!H20</f>
        <v>TATA LPK2518 + mixer ~Rs. 20–25M</v>
      </c>
    </row>
    <row r="49" customFormat="false" ht="15" hidden="false" customHeight="true" outlineLevel="0" collapsed="false">
      <c r="A49" s="9" t="n">
        <v>42</v>
      </c>
      <c r="B49" s="184" t="s">
        <v>97</v>
      </c>
      <c r="C49" s="184" t="s">
        <v>2296</v>
      </c>
      <c r="D49" s="184" t="s">
        <v>417</v>
      </c>
      <c r="E49" s="184" t="s">
        <v>419</v>
      </c>
      <c r="F49" s="45" t="s">
        <v>315</v>
      </c>
      <c r="G49" s="9" t="n">
        <v>11</v>
      </c>
      <c r="H49" s="185" t="n">
        <f aca="false">'Engineering Assumptions'!$F$20*0.22*1</f>
        <v>4.84</v>
      </c>
      <c r="I49" s="185" t="n">
        <f aca="false">'Engineering Assumptions'!$F$20*1</f>
        <v>22</v>
      </c>
      <c r="J49" s="12" t="n">
        <f aca="false">'Fleet Pricing'!L49</f>
        <v>455000</v>
      </c>
      <c r="K49" s="12" t="n">
        <f aca="false">'Maintenance &amp; Repair'!J49+'Maintenance &amp; Repair'!K49</f>
        <v>86280</v>
      </c>
      <c r="L49" s="186" t="n">
        <f aca="false">IFERROR(K49/J49,0)</f>
        <v>0.189626373626374</v>
      </c>
      <c r="M49" s="9" t="n">
        <f aca="false">MAX(0,'Engineering Assumptions'!$G$20-G49)</f>
        <v>1</v>
      </c>
      <c r="N49" s="187" t="str">
        <f aca="false">IF(G49&gt;=20,"REPLACE",IF(L49&gt;0.6,"REPLACE",IF(G49&gt;=15,"REPLACE",IF(OR(G49&gt;=11,L49&gt;0.4),"MONITOR","KEEP"))))</f>
        <v>MONITOR</v>
      </c>
      <c r="O49" s="188" t="str">
        <f aca="false">IF(G49&gt;=20,"End of life (age &gt; 20)",IF(L49&gt;0.6,"Repairs exceed 60% of revenue",IF(G49&gt;=15,"Age 15+ → replace",IF(OR(G49&gt;=11,L49&gt;0.4),"Watch costs; plan replacement","Healthy — continue operating"))))</f>
        <v>Watch costs; plan replacement</v>
      </c>
      <c r="P49" s="188" t="str">
        <f aca="false">'Engineering Assumptions'!H20</f>
        <v>TATA LPK2518 + mixer ~Rs. 20–25M</v>
      </c>
    </row>
    <row r="50" customFormat="false" ht="15" hidden="false" customHeight="true" outlineLevel="0" collapsed="false">
      <c r="A50" s="9" t="n">
        <v>43</v>
      </c>
      <c r="B50" s="184" t="s">
        <v>97</v>
      </c>
      <c r="C50" s="184" t="s">
        <v>2297</v>
      </c>
      <c r="D50" s="184" t="s">
        <v>421</v>
      </c>
      <c r="E50" s="184" t="s">
        <v>424</v>
      </c>
      <c r="F50" s="45" t="s">
        <v>423</v>
      </c>
      <c r="G50" s="9" t="n">
        <v>23</v>
      </c>
      <c r="H50" s="185" t="n">
        <f aca="false">'Engineering Assumptions'!$F$20*0.06*1</f>
        <v>1.32</v>
      </c>
      <c r="I50" s="185" t="n">
        <f aca="false">'Engineering Assumptions'!$F$20*1</f>
        <v>22</v>
      </c>
      <c r="J50" s="12" t="n">
        <f aca="false">'Fleet Pricing'!L50</f>
        <v>321500</v>
      </c>
      <c r="K50" s="12" t="n">
        <f aca="false">'Maintenance &amp; Repair'!J50+'Maintenance &amp; Repair'!K50</f>
        <v>164160</v>
      </c>
      <c r="L50" s="186" t="n">
        <f aca="false">IFERROR(K50/J50,0)</f>
        <v>0.510606531881804</v>
      </c>
      <c r="M50" s="9" t="n">
        <f aca="false">MAX(0,'Engineering Assumptions'!$G$20-G50)</f>
        <v>0</v>
      </c>
      <c r="N50" s="187" t="str">
        <f aca="false">IF(G50&gt;=20,"REPLACE",IF(L50&gt;0.6,"REPLACE",IF(G50&gt;=15,"REPLACE",IF(OR(G50&gt;=11,L50&gt;0.4),"MONITOR","KEEP"))))</f>
        <v>REPLACE</v>
      </c>
      <c r="O50" s="188" t="str">
        <f aca="false">IF(G50&gt;=20,"End of life (age &gt; 20)",IF(L50&gt;0.6,"Repairs exceed 60% of revenue",IF(G50&gt;=15,"Age 15+ → replace",IF(OR(G50&gt;=11,L50&gt;0.4),"Watch costs; plan replacement","Healthy — continue operating"))))</f>
        <v>End of life (age &gt; 20)</v>
      </c>
      <c r="P50" s="188" t="str">
        <f aca="false">'Engineering Assumptions'!H20</f>
        <v>TATA LPK2518 + mixer ~Rs. 20–25M</v>
      </c>
    </row>
    <row r="51" customFormat="false" ht="15" hidden="false" customHeight="true" outlineLevel="0" collapsed="false">
      <c r="A51" s="9" t="n">
        <v>44</v>
      </c>
      <c r="B51" s="184" t="s">
        <v>97</v>
      </c>
      <c r="C51" s="184" t="s">
        <v>2298</v>
      </c>
      <c r="D51" s="184" t="s">
        <v>426</v>
      </c>
      <c r="E51" s="184" t="s">
        <v>429</v>
      </c>
      <c r="F51" s="45" t="s">
        <v>428</v>
      </c>
      <c r="G51" s="9" t="n">
        <v>26</v>
      </c>
      <c r="H51" s="185" t="n">
        <f aca="false">'Engineering Assumptions'!$F$20*0.03*1</f>
        <v>0.66</v>
      </c>
      <c r="I51" s="185" t="n">
        <f aca="false">'Engineering Assumptions'!$F$20*1</f>
        <v>22</v>
      </c>
      <c r="J51" s="12" t="n">
        <f aca="false">'Fleet Pricing'!L51</f>
        <v>321500</v>
      </c>
      <c r="K51" s="12" t="n">
        <f aca="false">'Maintenance &amp; Repair'!J51+'Maintenance &amp; Repair'!K51</f>
        <v>164160</v>
      </c>
      <c r="L51" s="186" t="n">
        <f aca="false">IFERROR(K51/J51,0)</f>
        <v>0.510606531881804</v>
      </c>
      <c r="M51" s="9" t="n">
        <f aca="false">MAX(0,'Engineering Assumptions'!$G$20-G51)</f>
        <v>0</v>
      </c>
      <c r="N51" s="187" t="str">
        <f aca="false">IF(G51&gt;=20,"REPLACE",IF(L51&gt;0.6,"REPLACE",IF(G51&gt;=15,"REPLACE",IF(OR(G51&gt;=11,L51&gt;0.4),"MONITOR","KEEP"))))</f>
        <v>REPLACE</v>
      </c>
      <c r="O51" s="188" t="str">
        <f aca="false">IF(G51&gt;=20,"End of life (age &gt; 20)",IF(L51&gt;0.6,"Repairs exceed 60% of revenue",IF(G51&gt;=15,"Age 15+ → replace",IF(OR(G51&gt;=11,L51&gt;0.4),"Watch costs; plan replacement","Healthy — continue operating"))))</f>
        <v>End of life (age &gt; 20)</v>
      </c>
      <c r="P51" s="188" t="str">
        <f aca="false">'Engineering Assumptions'!H20</f>
        <v>TATA LPK2518 + mixer ~Rs. 20–25M</v>
      </c>
    </row>
    <row r="52" customFormat="false" ht="15" hidden="false" customHeight="true" outlineLevel="0" collapsed="false">
      <c r="A52" s="9" t="n">
        <v>45</v>
      </c>
      <c r="B52" s="184" t="s">
        <v>97</v>
      </c>
      <c r="C52" s="184" t="s">
        <v>2299</v>
      </c>
      <c r="D52" s="184" t="s">
        <v>430</v>
      </c>
      <c r="E52" s="184" t="s">
        <v>433</v>
      </c>
      <c r="F52" s="45" t="s">
        <v>432</v>
      </c>
      <c r="G52" s="9" t="n">
        <v>30</v>
      </c>
      <c r="H52" s="185" t="n">
        <f aca="false">'Engineering Assumptions'!$F$20*0.03*1</f>
        <v>0.66</v>
      </c>
      <c r="I52" s="185" t="n">
        <f aca="false">'Engineering Assumptions'!$F$20*1</f>
        <v>22</v>
      </c>
      <c r="J52" s="12" t="n">
        <f aca="false">'Fleet Pricing'!L52</f>
        <v>286500</v>
      </c>
      <c r="K52" s="12" t="n">
        <f aca="false">'Maintenance &amp; Repair'!J52+'Maintenance &amp; Repair'!K52</f>
        <v>164160</v>
      </c>
      <c r="L52" s="186" t="n">
        <f aca="false">IFERROR(K52/J52,0)</f>
        <v>0.572984293193717</v>
      </c>
      <c r="M52" s="9" t="n">
        <f aca="false">MAX(0,'Engineering Assumptions'!$G$20-G52)</f>
        <v>0</v>
      </c>
      <c r="N52" s="187" t="str">
        <f aca="false">IF(G52&gt;=20,"REPLACE",IF(L52&gt;0.6,"REPLACE",IF(G52&gt;=15,"REPLACE",IF(OR(G52&gt;=11,L52&gt;0.4),"MONITOR","KEEP"))))</f>
        <v>REPLACE</v>
      </c>
      <c r="O52" s="188" t="str">
        <f aca="false">IF(G52&gt;=20,"End of life (age &gt; 20)",IF(L52&gt;0.6,"Repairs exceed 60% of revenue",IF(G52&gt;=15,"Age 15+ → replace",IF(OR(G52&gt;=11,L52&gt;0.4),"Watch costs; plan replacement","Healthy — continue operating"))))</f>
        <v>End of life (age &gt; 20)</v>
      </c>
      <c r="P52" s="188" t="str">
        <f aca="false">'Engineering Assumptions'!H20</f>
        <v>TATA LPK2518 + mixer ~Rs. 20–25M</v>
      </c>
    </row>
    <row r="53" customFormat="false" ht="15" hidden="false" customHeight="true" outlineLevel="0" collapsed="false">
      <c r="A53" s="9" t="n">
        <v>46</v>
      </c>
      <c r="B53" s="184" t="s">
        <v>97</v>
      </c>
      <c r="C53" s="184" t="s">
        <v>2299</v>
      </c>
      <c r="D53" s="184" t="s">
        <v>434</v>
      </c>
      <c r="E53" s="184" t="s">
        <v>435</v>
      </c>
      <c r="F53" s="45" t="s">
        <v>432</v>
      </c>
      <c r="G53" s="9" t="n">
        <v>30</v>
      </c>
      <c r="H53" s="185" t="n">
        <f aca="false">'Engineering Assumptions'!$F$20*0.03*1</f>
        <v>0.66</v>
      </c>
      <c r="I53" s="185" t="n">
        <f aca="false">'Engineering Assumptions'!$F$20*1</f>
        <v>22</v>
      </c>
      <c r="J53" s="12" t="n">
        <f aca="false">'Fleet Pricing'!L53</f>
        <v>286500</v>
      </c>
      <c r="K53" s="12" t="n">
        <f aca="false">'Maintenance &amp; Repair'!J53+'Maintenance &amp; Repair'!K53</f>
        <v>164160</v>
      </c>
      <c r="L53" s="186" t="n">
        <f aca="false">IFERROR(K53/J53,0)</f>
        <v>0.572984293193717</v>
      </c>
      <c r="M53" s="9" t="n">
        <f aca="false">MAX(0,'Engineering Assumptions'!$G$20-G53)</f>
        <v>0</v>
      </c>
      <c r="N53" s="187" t="str">
        <f aca="false">IF(G53&gt;=20,"REPLACE",IF(L53&gt;0.6,"REPLACE",IF(G53&gt;=15,"REPLACE",IF(OR(G53&gt;=11,L53&gt;0.4),"MONITOR","KEEP"))))</f>
        <v>REPLACE</v>
      </c>
      <c r="O53" s="188" t="str">
        <f aca="false">IF(G53&gt;=20,"End of life (age &gt; 20)",IF(L53&gt;0.6,"Repairs exceed 60% of revenue",IF(G53&gt;=15,"Age 15+ → replace",IF(OR(G53&gt;=11,L53&gt;0.4),"Watch costs; plan replacement","Healthy — continue operating"))))</f>
        <v>End of life (age &gt; 20)</v>
      </c>
      <c r="P53" s="188" t="str">
        <f aca="false">'Engineering Assumptions'!H20</f>
        <v>TATA LPK2518 + mixer ~Rs. 20–25M</v>
      </c>
    </row>
    <row r="54" customFormat="false" ht="15" hidden="false" customHeight="true" outlineLevel="0" collapsed="false">
      <c r="A54" s="9" t="n">
        <v>47</v>
      </c>
      <c r="B54" s="184" t="s">
        <v>97</v>
      </c>
      <c r="C54" s="184" t="s">
        <v>2300</v>
      </c>
      <c r="D54" s="184" t="s">
        <v>436</v>
      </c>
      <c r="E54" s="184" t="s">
        <v>438</v>
      </c>
      <c r="F54" s="45" t="s">
        <v>432</v>
      </c>
      <c r="G54" s="9" t="n">
        <v>30</v>
      </c>
      <c r="H54" s="185" t="n">
        <f aca="false">'Engineering Assumptions'!$F$20*0.03*1</f>
        <v>0.66</v>
      </c>
      <c r="I54" s="185" t="n">
        <f aca="false">'Engineering Assumptions'!$F$20*1</f>
        <v>22</v>
      </c>
      <c r="J54" s="12" t="n">
        <f aca="false">'Fleet Pricing'!L54</f>
        <v>286500</v>
      </c>
      <c r="K54" s="12" t="n">
        <f aca="false">'Maintenance &amp; Repair'!J54+'Maintenance &amp; Repair'!K54</f>
        <v>164160</v>
      </c>
      <c r="L54" s="186" t="n">
        <f aca="false">IFERROR(K54/J54,0)</f>
        <v>0.572984293193717</v>
      </c>
      <c r="M54" s="9" t="n">
        <f aca="false">MAX(0,'Engineering Assumptions'!$G$20-G54)</f>
        <v>0</v>
      </c>
      <c r="N54" s="187" t="str">
        <f aca="false">IF(G54&gt;=20,"REPLACE",IF(L54&gt;0.6,"REPLACE",IF(G54&gt;=15,"REPLACE",IF(OR(G54&gt;=11,L54&gt;0.4),"MONITOR","KEEP"))))</f>
        <v>REPLACE</v>
      </c>
      <c r="O54" s="188" t="str">
        <f aca="false">IF(G54&gt;=20,"End of life (age &gt; 20)",IF(L54&gt;0.6,"Repairs exceed 60% of revenue",IF(G54&gt;=15,"Age 15+ → replace",IF(OR(G54&gt;=11,L54&gt;0.4),"Watch costs; plan replacement","Healthy — continue operating"))))</f>
        <v>End of life (age &gt; 20)</v>
      </c>
      <c r="P54" s="188" t="str">
        <f aca="false">'Engineering Assumptions'!H20</f>
        <v>TATA LPK2518 + mixer ~Rs. 20–25M</v>
      </c>
    </row>
    <row r="55" customFormat="false" ht="15" hidden="false" customHeight="true" outlineLevel="0" collapsed="false">
      <c r="A55" s="9" t="n">
        <v>48</v>
      </c>
      <c r="B55" s="184" t="s">
        <v>97</v>
      </c>
      <c r="C55" s="184" t="s">
        <v>2301</v>
      </c>
      <c r="D55" s="184" t="s">
        <v>439</v>
      </c>
      <c r="E55" s="184" t="s">
        <v>441</v>
      </c>
      <c r="F55" s="45" t="s">
        <v>432</v>
      </c>
      <c r="G55" s="9" t="n">
        <v>30</v>
      </c>
      <c r="H55" s="185" t="n">
        <f aca="false">'Engineering Assumptions'!$F$20*0.03*1</f>
        <v>0.66</v>
      </c>
      <c r="I55" s="185" t="n">
        <f aca="false">'Engineering Assumptions'!$F$20*1</f>
        <v>22</v>
      </c>
      <c r="J55" s="12" t="n">
        <f aca="false">'Fleet Pricing'!L55</f>
        <v>286500</v>
      </c>
      <c r="K55" s="12" t="n">
        <f aca="false">'Maintenance &amp; Repair'!J55+'Maintenance &amp; Repair'!K55</f>
        <v>164160</v>
      </c>
      <c r="L55" s="186" t="n">
        <f aca="false">IFERROR(K55/J55,0)</f>
        <v>0.572984293193717</v>
      </c>
      <c r="M55" s="9" t="n">
        <f aca="false">MAX(0,'Engineering Assumptions'!$G$20-G55)</f>
        <v>0</v>
      </c>
      <c r="N55" s="187" t="str">
        <f aca="false">IF(G55&gt;=20,"REPLACE",IF(L55&gt;0.6,"REPLACE",IF(G55&gt;=15,"REPLACE",IF(OR(G55&gt;=11,L55&gt;0.4),"MONITOR","KEEP"))))</f>
        <v>REPLACE</v>
      </c>
      <c r="O55" s="188" t="str">
        <f aca="false">IF(G55&gt;=20,"End of life (age &gt; 20)",IF(L55&gt;0.6,"Repairs exceed 60% of revenue",IF(G55&gt;=15,"Age 15+ → replace",IF(OR(G55&gt;=11,L55&gt;0.4),"Watch costs; plan replacement","Healthy — continue operating"))))</f>
        <v>End of life (age &gt; 20)</v>
      </c>
      <c r="P55" s="188" t="str">
        <f aca="false">'Engineering Assumptions'!H20</f>
        <v>TATA LPK2518 + mixer ~Rs. 20–25M</v>
      </c>
    </row>
    <row r="56" customFormat="false" ht="15" hidden="false" customHeight="true" outlineLevel="0" collapsed="false">
      <c r="A56" s="9" t="n">
        <v>49</v>
      </c>
      <c r="B56" s="184" t="s">
        <v>97</v>
      </c>
      <c r="C56" s="184" t="s">
        <v>2302</v>
      </c>
      <c r="D56" s="184" t="s">
        <v>442</v>
      </c>
      <c r="E56" s="184" t="s">
        <v>445</v>
      </c>
      <c r="F56" s="45" t="s">
        <v>444</v>
      </c>
      <c r="G56" s="9" t="n">
        <v>35</v>
      </c>
      <c r="H56" s="185" t="n">
        <f aca="false">'Engineering Assumptions'!$F$20*0.03*1</f>
        <v>0.66</v>
      </c>
      <c r="I56" s="185" t="n">
        <f aca="false">'Engineering Assumptions'!$F$20*1</f>
        <v>22</v>
      </c>
      <c r="J56" s="12" t="n">
        <f aca="false">'Fleet Pricing'!L56</f>
        <v>286500</v>
      </c>
      <c r="K56" s="12" t="n">
        <f aca="false">'Maintenance &amp; Repair'!J56+'Maintenance &amp; Repair'!K56</f>
        <v>164160</v>
      </c>
      <c r="L56" s="186" t="n">
        <f aca="false">IFERROR(K56/J56,0)</f>
        <v>0.572984293193717</v>
      </c>
      <c r="M56" s="9" t="n">
        <f aca="false">MAX(0,'Engineering Assumptions'!$G$20-G56)</f>
        <v>0</v>
      </c>
      <c r="N56" s="187" t="str">
        <f aca="false">IF(G56&gt;=20,"REPLACE",IF(L56&gt;0.6,"REPLACE",IF(G56&gt;=15,"REPLACE",IF(OR(G56&gt;=11,L56&gt;0.4),"MONITOR","KEEP"))))</f>
        <v>REPLACE</v>
      </c>
      <c r="O56" s="188" t="str">
        <f aca="false">IF(G56&gt;=20,"End of life (age &gt; 20)",IF(L56&gt;0.6,"Repairs exceed 60% of revenue",IF(G56&gt;=15,"Age 15+ → replace",IF(OR(G56&gt;=11,L56&gt;0.4),"Watch costs; plan replacement","Healthy — continue operating"))))</f>
        <v>End of life (age &gt; 20)</v>
      </c>
      <c r="P56" s="188" t="str">
        <f aca="false">'Engineering Assumptions'!H20</f>
        <v>TATA LPK2518 + mixer ~Rs. 20–25M</v>
      </c>
    </row>
    <row r="57" customFormat="false" ht="15" hidden="false" customHeight="true" outlineLevel="0" collapsed="false">
      <c r="A57" s="42" t="s">
        <v>446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</row>
    <row r="58" customFormat="false" ht="15" hidden="false" customHeight="true" outlineLevel="0" collapsed="false">
      <c r="A58" s="9" t="n">
        <v>50</v>
      </c>
      <c r="B58" s="184" t="s">
        <v>99</v>
      </c>
      <c r="C58" s="184" t="s">
        <v>2303</v>
      </c>
      <c r="D58" s="184" t="s">
        <v>448</v>
      </c>
      <c r="E58" s="184" t="s">
        <v>451</v>
      </c>
      <c r="F58" s="45" t="s">
        <v>450</v>
      </c>
      <c r="G58" s="9" t="n">
        <v>8</v>
      </c>
      <c r="H58" s="185" t="n">
        <f aca="false">'Engineering Assumptions'!$F$21*0.35*1</f>
        <v>9.8</v>
      </c>
      <c r="I58" s="185" t="n">
        <f aca="false">'Engineering Assumptions'!$F$21*1</f>
        <v>28</v>
      </c>
      <c r="J58" s="12" t="n">
        <f aca="false">'Fleet Pricing'!L58</f>
        <v>498000</v>
      </c>
      <c r="K58" s="12" t="n">
        <f aca="false">'Maintenance &amp; Repair'!J58+'Maintenance &amp; Repair'!K58</f>
        <v>67800</v>
      </c>
      <c r="L58" s="186" t="n">
        <f aca="false">IFERROR(K58/J58,0)</f>
        <v>0.136144578313253</v>
      </c>
      <c r="M58" s="9" t="n">
        <f aca="false">MAX(0,'Engineering Assumptions'!$G$21-G58)</f>
        <v>2</v>
      </c>
      <c r="N58" s="187" t="str">
        <f aca="false">IF(G58&gt;=20,"REPLACE",IF(L58&gt;0.6,"REPLACE",IF(G58&gt;=15,"REPLACE",IF(OR(G58&gt;=11,L58&gt;0.4),"MONITOR","KEEP"))))</f>
        <v>KEEP</v>
      </c>
      <c r="O58" s="188" t="str">
        <f aca="false">IF(G58&gt;=20,"End of life (age &gt; 20)",IF(L58&gt;0.6,"Repairs exceed 60% of revenue",IF(G58&gt;=15,"Age 15+ → replace",IF(OR(G58&gt;=11,L58&gt;0.4),"Watch costs; plan replacement","Healthy — continue operating"))))</f>
        <v>Healthy — continue operating</v>
      </c>
      <c r="P58" s="188" t="str">
        <f aca="false">'Engineering Assumptions'!H21</f>
        <v>FIORI DB350 new ~Rs. 26–30M, niche machine</v>
      </c>
    </row>
    <row r="59" customFormat="false" ht="15" hidden="false" customHeight="true" outlineLevel="0" collapsed="false">
      <c r="A59" s="9" t="n">
        <v>51</v>
      </c>
      <c r="B59" s="184" t="s">
        <v>99</v>
      </c>
      <c r="C59" s="184" t="s">
        <v>2304</v>
      </c>
      <c r="D59" s="184" t="s">
        <v>452</v>
      </c>
      <c r="E59" s="184" t="s">
        <v>451</v>
      </c>
      <c r="F59" s="45" t="s">
        <v>397</v>
      </c>
      <c r="G59" s="9" t="n">
        <v>9</v>
      </c>
      <c r="H59" s="185" t="n">
        <f aca="false">'Engineering Assumptions'!$F$21*0.22*1</f>
        <v>6.16</v>
      </c>
      <c r="I59" s="185" t="n">
        <f aca="false">'Engineering Assumptions'!$F$21*1</f>
        <v>28</v>
      </c>
      <c r="J59" s="12" t="n">
        <f aca="false">'Fleet Pricing'!L59</f>
        <v>498000</v>
      </c>
      <c r="K59" s="12" t="n">
        <f aca="false">'Maintenance &amp; Repair'!J59+'Maintenance &amp; Repair'!K59</f>
        <v>67800</v>
      </c>
      <c r="L59" s="186" t="n">
        <f aca="false">IFERROR(K59/J59,0)</f>
        <v>0.136144578313253</v>
      </c>
      <c r="M59" s="9" t="n">
        <f aca="false">MAX(0,'Engineering Assumptions'!$G$21-G59)</f>
        <v>1</v>
      </c>
      <c r="N59" s="187" t="str">
        <f aca="false">IF(G59&gt;=20,"REPLACE",IF(L59&gt;0.6,"REPLACE",IF(G59&gt;=15,"REPLACE",IF(OR(G59&gt;=11,L59&gt;0.4),"MONITOR","KEEP"))))</f>
        <v>KEEP</v>
      </c>
      <c r="O59" s="188" t="str">
        <f aca="false">IF(G59&gt;=20,"End of life (age &gt; 20)",IF(L59&gt;0.6,"Repairs exceed 60% of revenue",IF(G59&gt;=15,"Age 15+ → replace",IF(OR(G59&gt;=11,L59&gt;0.4),"Watch costs; plan replacement","Healthy — continue operating"))))</f>
        <v>Healthy — continue operating</v>
      </c>
      <c r="P59" s="188" t="str">
        <f aca="false">'Engineering Assumptions'!H21</f>
        <v>FIORI DB350 new ~Rs. 26–30M, niche machine</v>
      </c>
    </row>
    <row r="60" customFormat="false" ht="15" hidden="false" customHeight="true" outlineLevel="0" collapsed="false">
      <c r="A60" s="9" t="n">
        <v>52</v>
      </c>
      <c r="B60" s="184" t="s">
        <v>99</v>
      </c>
      <c r="C60" s="184" t="s">
        <v>2305</v>
      </c>
      <c r="D60" s="184" t="s">
        <v>454</v>
      </c>
      <c r="E60" s="184" t="s">
        <v>451</v>
      </c>
      <c r="F60" s="45" t="s">
        <v>397</v>
      </c>
      <c r="G60" s="9" t="n">
        <v>9</v>
      </c>
      <c r="H60" s="185" t="n">
        <f aca="false">'Engineering Assumptions'!$F$21*0.22*1</f>
        <v>6.16</v>
      </c>
      <c r="I60" s="185" t="n">
        <f aca="false">'Engineering Assumptions'!$F$21*1</f>
        <v>28</v>
      </c>
      <c r="J60" s="12" t="n">
        <f aca="false">'Fleet Pricing'!L60</f>
        <v>498000</v>
      </c>
      <c r="K60" s="12" t="n">
        <f aca="false">'Maintenance &amp; Repair'!J60+'Maintenance &amp; Repair'!K60</f>
        <v>67800</v>
      </c>
      <c r="L60" s="186" t="n">
        <f aca="false">IFERROR(K60/J60,0)</f>
        <v>0.136144578313253</v>
      </c>
      <c r="M60" s="9" t="n">
        <f aca="false">MAX(0,'Engineering Assumptions'!$G$21-G60)</f>
        <v>1</v>
      </c>
      <c r="N60" s="187" t="str">
        <f aca="false">IF(G60&gt;=20,"REPLACE",IF(L60&gt;0.6,"REPLACE",IF(G60&gt;=15,"REPLACE",IF(OR(G60&gt;=11,L60&gt;0.4),"MONITOR","KEEP"))))</f>
        <v>KEEP</v>
      </c>
      <c r="O60" s="188" t="str">
        <f aca="false">IF(G60&gt;=20,"End of life (age &gt; 20)",IF(L60&gt;0.6,"Repairs exceed 60% of revenue",IF(G60&gt;=15,"Age 15+ → replace",IF(OR(G60&gt;=11,L60&gt;0.4),"Watch costs; plan replacement","Healthy — continue operating"))))</f>
        <v>Healthy — continue operating</v>
      </c>
      <c r="P60" s="188" t="str">
        <f aca="false">'Engineering Assumptions'!H21</f>
        <v>FIORI DB350 new ~Rs. 26–30M, niche machine</v>
      </c>
    </row>
    <row r="61" customFormat="false" ht="15" hidden="false" customHeight="true" outlineLevel="0" collapsed="false">
      <c r="A61" s="42" t="s">
        <v>456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customFormat="false" ht="15" hidden="false" customHeight="true" outlineLevel="0" collapsed="false">
      <c r="A62" s="9" t="n">
        <v>53</v>
      </c>
      <c r="B62" s="184" t="s">
        <v>101</v>
      </c>
      <c r="C62" s="184" t="s">
        <v>2306</v>
      </c>
      <c r="D62" s="184" t="s">
        <v>458</v>
      </c>
      <c r="E62" s="184"/>
      <c r="F62" s="45" t="s">
        <v>297</v>
      </c>
      <c r="G62" s="9" t="n">
        <v>5</v>
      </c>
      <c r="H62" s="185" t="n">
        <f aca="false">'Engineering Assumptions'!$F$22*0.5*1</f>
        <v>11</v>
      </c>
      <c r="I62" s="185" t="n">
        <f aca="false">'Engineering Assumptions'!$F$22*1</f>
        <v>22</v>
      </c>
      <c r="J62" s="12" t="n">
        <f aca="false">'Fleet Pricing'!L62</f>
        <v>469000</v>
      </c>
      <c r="K62" s="12" t="n">
        <f aca="false">'Maintenance &amp; Repair'!J62+'Maintenance &amp; Repair'!K62</f>
        <v>38760</v>
      </c>
      <c r="L62" s="186" t="n">
        <f aca="false">IFERROR(K62/J62,0)</f>
        <v>0.0826439232409382</v>
      </c>
      <c r="M62" s="9" t="n">
        <f aca="false">MAX(0,'Engineering Assumptions'!$G$22-G62)</f>
        <v>10</v>
      </c>
      <c r="N62" s="187" t="str">
        <f aca="false">IF(G62&gt;=20,"REPLACE",IF(L62&gt;0.6,"REPLACE",IF(G62&gt;=15,"REPLACE",IF(OR(G62&gt;=11,L62&gt;0.4),"MONITOR","KEEP"))))</f>
        <v>KEEP</v>
      </c>
      <c r="O62" s="188" t="str">
        <f aca="false">IF(G62&gt;=20,"End of life (age &gt; 20)",IF(L62&gt;0.6,"Repairs exceed 60% of revenue",IF(G62&gt;=15,"Age 15+ → replace",IF(OR(G62&gt;=11,L62&gt;0.4),"Watch costs; plan replacement","Healthy — continue operating"))))</f>
        <v>Healthy — continue operating</v>
      </c>
      <c r="P62" s="188" t="str">
        <f aca="false">'Engineering Assumptions'!H22</f>
        <v>HAMM 311D / SAKAI SW-900 ~Rs. 20–28M</v>
      </c>
    </row>
    <row r="63" customFormat="false" ht="15" hidden="false" customHeight="true" outlineLevel="0" collapsed="false">
      <c r="A63" s="9" t="n">
        <v>54</v>
      </c>
      <c r="B63" s="184" t="s">
        <v>101</v>
      </c>
      <c r="C63" s="184" t="s">
        <v>2307</v>
      </c>
      <c r="D63" s="184" t="s">
        <v>460</v>
      </c>
      <c r="E63" s="184"/>
      <c r="F63" s="45" t="s">
        <v>297</v>
      </c>
      <c r="G63" s="9" t="n">
        <v>5</v>
      </c>
      <c r="H63" s="185" t="n">
        <f aca="false">'Engineering Assumptions'!$F$22*0.5*1</f>
        <v>11</v>
      </c>
      <c r="I63" s="185" t="n">
        <f aca="false">'Engineering Assumptions'!$F$22*1</f>
        <v>22</v>
      </c>
      <c r="J63" s="12" t="n">
        <f aca="false">'Fleet Pricing'!L63</f>
        <v>469000</v>
      </c>
      <c r="K63" s="12" t="n">
        <f aca="false">'Maintenance &amp; Repair'!J63+'Maintenance &amp; Repair'!K63</f>
        <v>38760</v>
      </c>
      <c r="L63" s="186" t="n">
        <f aca="false">IFERROR(K63/J63,0)</f>
        <v>0.0826439232409382</v>
      </c>
      <c r="M63" s="9" t="n">
        <f aca="false">MAX(0,'Engineering Assumptions'!$G$22-G63)</f>
        <v>10</v>
      </c>
      <c r="N63" s="187" t="str">
        <f aca="false">IF(G63&gt;=20,"REPLACE",IF(L63&gt;0.6,"REPLACE",IF(G63&gt;=15,"REPLACE",IF(OR(G63&gt;=11,L63&gt;0.4),"MONITOR","KEEP"))))</f>
        <v>KEEP</v>
      </c>
      <c r="O63" s="188" t="str">
        <f aca="false">IF(G63&gt;=20,"End of life (age &gt; 20)",IF(L63&gt;0.6,"Repairs exceed 60% of revenue",IF(G63&gt;=15,"Age 15+ → replace",IF(OR(G63&gt;=11,L63&gt;0.4),"Watch costs; plan replacement","Healthy — continue operating"))))</f>
        <v>Healthy — continue operating</v>
      </c>
      <c r="P63" s="188" t="str">
        <f aca="false">'Engineering Assumptions'!H22</f>
        <v>HAMM 311D / SAKAI SW-900 ~Rs. 20–28M</v>
      </c>
    </row>
    <row r="64" customFormat="false" ht="15" hidden="false" customHeight="true" outlineLevel="0" collapsed="false">
      <c r="A64" s="9" t="n">
        <v>55</v>
      </c>
      <c r="B64" s="184" t="s">
        <v>101</v>
      </c>
      <c r="C64" s="184" t="s">
        <v>2307</v>
      </c>
      <c r="D64" s="184" t="s">
        <v>462</v>
      </c>
      <c r="E64" s="184"/>
      <c r="F64" s="45" t="s">
        <v>297</v>
      </c>
      <c r="G64" s="9" t="n">
        <v>5</v>
      </c>
      <c r="H64" s="185" t="n">
        <f aca="false">'Engineering Assumptions'!$F$22*0.5*1</f>
        <v>11</v>
      </c>
      <c r="I64" s="185" t="n">
        <f aca="false">'Engineering Assumptions'!$F$22*1</f>
        <v>22</v>
      </c>
      <c r="J64" s="12" t="n">
        <f aca="false">'Fleet Pricing'!L64</f>
        <v>469000</v>
      </c>
      <c r="K64" s="12" t="n">
        <f aca="false">'Maintenance &amp; Repair'!J64+'Maintenance &amp; Repair'!K64</f>
        <v>38760</v>
      </c>
      <c r="L64" s="186" t="n">
        <f aca="false">IFERROR(K64/J64,0)</f>
        <v>0.0826439232409382</v>
      </c>
      <c r="M64" s="9" t="n">
        <f aca="false">MAX(0,'Engineering Assumptions'!$G$22-G64)</f>
        <v>10</v>
      </c>
      <c r="N64" s="187" t="str">
        <f aca="false">IF(G64&gt;=20,"REPLACE",IF(L64&gt;0.6,"REPLACE",IF(G64&gt;=15,"REPLACE",IF(OR(G64&gt;=11,L64&gt;0.4),"MONITOR","KEEP"))))</f>
        <v>KEEP</v>
      </c>
      <c r="O64" s="188" t="str">
        <f aca="false">IF(G64&gt;=20,"End of life (age &gt; 20)",IF(L64&gt;0.6,"Repairs exceed 60% of revenue",IF(G64&gt;=15,"Age 15+ → replace",IF(OR(G64&gt;=11,L64&gt;0.4),"Watch costs; plan replacement","Healthy — continue operating"))))</f>
        <v>Healthy — continue operating</v>
      </c>
      <c r="P64" s="188" t="str">
        <f aca="false">'Engineering Assumptions'!H22</f>
        <v>HAMM 311D / SAKAI SW-900 ~Rs. 20–28M</v>
      </c>
    </row>
    <row r="65" customFormat="false" ht="15" hidden="false" customHeight="true" outlineLevel="0" collapsed="false">
      <c r="A65" s="9" t="n">
        <v>56</v>
      </c>
      <c r="B65" s="184" t="s">
        <v>101</v>
      </c>
      <c r="C65" s="184" t="s">
        <v>2308</v>
      </c>
      <c r="D65" s="184" t="s">
        <v>464</v>
      </c>
      <c r="E65" s="184"/>
      <c r="F65" s="45" t="s">
        <v>397</v>
      </c>
      <c r="G65" s="9" t="n">
        <v>9</v>
      </c>
      <c r="H65" s="185" t="n">
        <f aca="false">'Engineering Assumptions'!$F$22*0.22*1</f>
        <v>4.84</v>
      </c>
      <c r="I65" s="185" t="n">
        <f aca="false">'Engineering Assumptions'!$F$22*1</f>
        <v>22</v>
      </c>
      <c r="J65" s="12" t="n">
        <f aca="false">'Fleet Pricing'!L65</f>
        <v>431500</v>
      </c>
      <c r="K65" s="12" t="n">
        <f aca="false">'Maintenance &amp; Repair'!J65+'Maintenance &amp; Repair'!K65</f>
        <v>62400</v>
      </c>
      <c r="L65" s="186" t="n">
        <f aca="false">IFERROR(K65/J65,0)</f>
        <v>0.144611819235226</v>
      </c>
      <c r="M65" s="9" t="n">
        <f aca="false">MAX(0,'Engineering Assumptions'!$G$22-G65)</f>
        <v>6</v>
      </c>
      <c r="N65" s="187" t="str">
        <f aca="false">IF(G65&gt;=20,"REPLACE",IF(L65&gt;0.6,"REPLACE",IF(G65&gt;=15,"REPLACE",IF(OR(G65&gt;=11,L65&gt;0.4),"MONITOR","KEEP"))))</f>
        <v>KEEP</v>
      </c>
      <c r="O65" s="188" t="str">
        <f aca="false">IF(G65&gt;=20,"End of life (age &gt; 20)",IF(L65&gt;0.6,"Repairs exceed 60% of revenue",IF(G65&gt;=15,"Age 15+ → replace",IF(OR(G65&gt;=11,L65&gt;0.4),"Watch costs; plan replacement","Healthy — continue operating"))))</f>
        <v>Healthy — continue operating</v>
      </c>
      <c r="P65" s="188" t="str">
        <f aca="false">'Engineering Assumptions'!H22</f>
        <v>HAMM 311D / SAKAI SW-900 ~Rs. 20–28M</v>
      </c>
    </row>
    <row r="66" customFormat="false" ht="15" hidden="false" customHeight="true" outlineLevel="0" collapsed="false">
      <c r="A66" s="9" t="n">
        <v>57</v>
      </c>
      <c r="B66" s="184" t="s">
        <v>101</v>
      </c>
      <c r="C66" s="184" t="s">
        <v>2308</v>
      </c>
      <c r="D66" s="184" t="s">
        <v>485</v>
      </c>
      <c r="E66" s="184"/>
      <c r="F66" s="45" t="s">
        <v>397</v>
      </c>
      <c r="G66" s="9" t="n">
        <v>9</v>
      </c>
      <c r="H66" s="185" t="n">
        <f aca="false">'Engineering Assumptions'!$F$22*0.22*1</f>
        <v>4.84</v>
      </c>
      <c r="I66" s="185" t="n">
        <f aca="false">'Engineering Assumptions'!$F$22*1</f>
        <v>22</v>
      </c>
      <c r="J66" s="12" t="n">
        <f aca="false">'Fleet Pricing'!L66</f>
        <v>431500</v>
      </c>
      <c r="K66" s="12" t="n">
        <f aca="false">'Maintenance &amp; Repair'!J66+'Maintenance &amp; Repair'!K66</f>
        <v>62400</v>
      </c>
      <c r="L66" s="186" t="n">
        <f aca="false">IFERROR(K66/J66,0)</f>
        <v>0.144611819235226</v>
      </c>
      <c r="M66" s="9" t="n">
        <f aca="false">MAX(0,'Engineering Assumptions'!$G$22-G66)</f>
        <v>6</v>
      </c>
      <c r="N66" s="187" t="str">
        <f aca="false">IF(G66&gt;=20,"REPLACE",IF(L66&gt;0.6,"REPLACE",IF(G66&gt;=15,"REPLACE",IF(OR(G66&gt;=11,L66&gt;0.4),"MONITOR","KEEP"))))</f>
        <v>KEEP</v>
      </c>
      <c r="O66" s="188" t="str">
        <f aca="false">IF(G66&gt;=20,"End of life (age &gt; 20)",IF(L66&gt;0.6,"Repairs exceed 60% of revenue",IF(G66&gt;=15,"Age 15+ → replace",IF(OR(G66&gt;=11,L66&gt;0.4),"Watch costs; plan replacement","Healthy — continue operating"))))</f>
        <v>Healthy — continue operating</v>
      </c>
      <c r="P66" s="188" t="str">
        <f aca="false">'Engineering Assumptions'!H22</f>
        <v>HAMM 311D / SAKAI SW-900 ~Rs. 20–28M</v>
      </c>
    </row>
    <row r="67" customFormat="false" ht="15" hidden="false" customHeight="true" outlineLevel="0" collapsed="false">
      <c r="A67" s="9" t="n">
        <v>58</v>
      </c>
      <c r="B67" s="184" t="s">
        <v>101</v>
      </c>
      <c r="C67" s="184" t="s">
        <v>2309</v>
      </c>
      <c r="D67" s="184" t="s">
        <v>469</v>
      </c>
      <c r="E67" s="184"/>
      <c r="F67" s="45" t="s">
        <v>318</v>
      </c>
      <c r="G67" s="9" t="n">
        <v>10</v>
      </c>
      <c r="H67" s="185" t="n">
        <f aca="false">'Engineering Assumptions'!$F$22*0.22*1</f>
        <v>4.84</v>
      </c>
      <c r="I67" s="185" t="n">
        <f aca="false">'Engineering Assumptions'!$F$22*1</f>
        <v>22</v>
      </c>
      <c r="J67" s="12" t="n">
        <f aca="false">'Fleet Pricing'!L67</f>
        <v>431500</v>
      </c>
      <c r="K67" s="12" t="n">
        <f aca="false">'Maintenance &amp; Repair'!J67+'Maintenance &amp; Repair'!K67</f>
        <v>62400</v>
      </c>
      <c r="L67" s="186" t="n">
        <f aca="false">IFERROR(K67/J67,0)</f>
        <v>0.144611819235226</v>
      </c>
      <c r="M67" s="9" t="n">
        <f aca="false">MAX(0,'Engineering Assumptions'!$G$22-G67)</f>
        <v>5</v>
      </c>
      <c r="N67" s="187" t="str">
        <f aca="false">IF(G67&gt;=20,"REPLACE",IF(L67&gt;0.6,"REPLACE",IF(G67&gt;=15,"REPLACE",IF(OR(G67&gt;=11,L67&gt;0.4),"MONITOR","KEEP"))))</f>
        <v>KEEP</v>
      </c>
      <c r="O67" s="188" t="str">
        <f aca="false">IF(G67&gt;=20,"End of life (age &gt; 20)",IF(L67&gt;0.6,"Repairs exceed 60% of revenue",IF(G67&gt;=15,"Age 15+ → replace",IF(OR(G67&gt;=11,L67&gt;0.4),"Watch costs; plan replacement","Healthy — continue operating"))))</f>
        <v>Healthy — continue operating</v>
      </c>
      <c r="P67" s="188" t="str">
        <f aca="false">'Engineering Assumptions'!H22</f>
        <v>HAMM 311D / SAKAI SW-900 ~Rs. 20–28M</v>
      </c>
    </row>
    <row r="68" customFormat="false" ht="15" hidden="false" customHeight="true" outlineLevel="0" collapsed="false">
      <c r="A68" s="9" t="n">
        <v>59</v>
      </c>
      <c r="B68" s="184" t="s">
        <v>101</v>
      </c>
      <c r="C68" s="184" t="s">
        <v>2310</v>
      </c>
      <c r="D68" s="184" t="s">
        <v>484</v>
      </c>
      <c r="E68" s="184"/>
      <c r="F68" s="45" t="s">
        <v>374</v>
      </c>
      <c r="G68" s="9" t="n">
        <v>12</v>
      </c>
      <c r="H68" s="185" t="n">
        <f aca="false">'Engineering Assumptions'!$F$22*0.22*1</f>
        <v>4.84</v>
      </c>
      <c r="I68" s="185" t="n">
        <f aca="false">'Engineering Assumptions'!$F$22*1</f>
        <v>22</v>
      </c>
      <c r="J68" s="12" t="n">
        <f aca="false">'Fleet Pricing'!L68</f>
        <v>384500</v>
      </c>
      <c r="K68" s="12" t="n">
        <f aca="false">'Maintenance &amp; Repair'!J68+'Maintenance &amp; Repair'!K68</f>
        <v>93000</v>
      </c>
      <c r="L68" s="186" t="n">
        <f aca="false">IFERROR(K68/J68,0)</f>
        <v>0.241872561768531</v>
      </c>
      <c r="M68" s="9" t="n">
        <f aca="false">MAX(0,'Engineering Assumptions'!$G$22-G68)</f>
        <v>3</v>
      </c>
      <c r="N68" s="187" t="str">
        <f aca="false">IF(G68&gt;=20,"REPLACE",IF(L68&gt;0.6,"REPLACE",IF(G68&gt;=15,"REPLACE",IF(OR(G68&gt;=11,L68&gt;0.4),"MONITOR","KEEP"))))</f>
        <v>MONITOR</v>
      </c>
      <c r="O68" s="188" t="str">
        <f aca="false">IF(G68&gt;=20,"End of life (age &gt; 20)",IF(L68&gt;0.6,"Repairs exceed 60% of revenue",IF(G68&gt;=15,"Age 15+ → replace",IF(OR(G68&gt;=11,L68&gt;0.4),"Watch costs; plan replacement","Healthy — continue operating"))))</f>
        <v>Watch costs; plan replacement</v>
      </c>
      <c r="P68" s="188" t="str">
        <f aca="false">'Engineering Assumptions'!H22</f>
        <v>HAMM 311D / SAKAI SW-900 ~Rs. 20–28M</v>
      </c>
    </row>
    <row r="69" customFormat="false" ht="15" hidden="false" customHeight="true" outlineLevel="0" collapsed="false">
      <c r="A69" s="9" t="n">
        <v>60</v>
      </c>
      <c r="B69" s="184" t="s">
        <v>101</v>
      </c>
      <c r="C69" s="184" t="s">
        <v>2311</v>
      </c>
      <c r="D69" s="184" t="s">
        <v>474</v>
      </c>
      <c r="E69" s="184"/>
      <c r="F69" s="45" t="s">
        <v>374</v>
      </c>
      <c r="G69" s="9" t="n">
        <v>12</v>
      </c>
      <c r="H69" s="185" t="n">
        <f aca="false">'Engineering Assumptions'!$F$22*0.22*1</f>
        <v>4.84</v>
      </c>
      <c r="I69" s="185" t="n">
        <f aca="false">'Engineering Assumptions'!$F$22*1</f>
        <v>22</v>
      </c>
      <c r="J69" s="12" t="n">
        <f aca="false">'Fleet Pricing'!L69</f>
        <v>384500</v>
      </c>
      <c r="K69" s="12" t="n">
        <f aca="false">'Maintenance &amp; Repair'!J69+'Maintenance &amp; Repair'!K69</f>
        <v>93000</v>
      </c>
      <c r="L69" s="186" t="n">
        <f aca="false">IFERROR(K69/J69,0)</f>
        <v>0.241872561768531</v>
      </c>
      <c r="M69" s="9" t="n">
        <f aca="false">MAX(0,'Engineering Assumptions'!$G$22-G69)</f>
        <v>3</v>
      </c>
      <c r="N69" s="187" t="str">
        <f aca="false">IF(G69&gt;=20,"REPLACE",IF(L69&gt;0.6,"REPLACE",IF(G69&gt;=15,"REPLACE",IF(OR(G69&gt;=11,L69&gt;0.4),"MONITOR","KEEP"))))</f>
        <v>MONITOR</v>
      </c>
      <c r="O69" s="188" t="str">
        <f aca="false">IF(G69&gt;=20,"End of life (age &gt; 20)",IF(L69&gt;0.6,"Repairs exceed 60% of revenue",IF(G69&gt;=15,"Age 15+ → replace",IF(OR(G69&gt;=11,L69&gt;0.4),"Watch costs; plan replacement","Healthy — continue operating"))))</f>
        <v>Watch costs; plan replacement</v>
      </c>
      <c r="P69" s="188" t="str">
        <f aca="false">'Engineering Assumptions'!H22</f>
        <v>HAMM 311D / SAKAI SW-900 ~Rs. 20–28M</v>
      </c>
    </row>
    <row r="70" customFormat="false" ht="15" hidden="false" customHeight="true" outlineLevel="0" collapsed="false">
      <c r="A70" s="9" t="n">
        <v>61</v>
      </c>
      <c r="B70" s="184" t="s">
        <v>101</v>
      </c>
      <c r="C70" s="184" t="s">
        <v>2312</v>
      </c>
      <c r="D70" s="184" t="s">
        <v>480</v>
      </c>
      <c r="E70" s="184"/>
      <c r="F70" s="45" t="s">
        <v>380</v>
      </c>
      <c r="G70" s="9" t="n">
        <v>13</v>
      </c>
      <c r="H70" s="185" t="n">
        <f aca="false">'Engineering Assumptions'!$F$22*0.12*1</f>
        <v>2.64</v>
      </c>
      <c r="I70" s="185" t="n">
        <f aca="false">'Engineering Assumptions'!$F$22*1</f>
        <v>22</v>
      </c>
      <c r="J70" s="12" t="n">
        <f aca="false">'Fleet Pricing'!L70</f>
        <v>384500</v>
      </c>
      <c r="K70" s="12" t="n">
        <f aca="false">'Maintenance &amp; Repair'!J70+'Maintenance &amp; Repair'!K70</f>
        <v>93000</v>
      </c>
      <c r="L70" s="186" t="n">
        <f aca="false">IFERROR(K70/J70,0)</f>
        <v>0.241872561768531</v>
      </c>
      <c r="M70" s="9" t="n">
        <f aca="false">MAX(0,'Engineering Assumptions'!$G$22-G70)</f>
        <v>2</v>
      </c>
      <c r="N70" s="187" t="str">
        <f aca="false">IF(G70&gt;=20,"REPLACE",IF(L70&gt;0.6,"REPLACE",IF(G70&gt;=15,"REPLACE",IF(OR(G70&gt;=11,L70&gt;0.4),"MONITOR","KEEP"))))</f>
        <v>MONITOR</v>
      </c>
      <c r="O70" s="188" t="str">
        <f aca="false">IF(G70&gt;=20,"End of life (age &gt; 20)",IF(L70&gt;0.6,"Repairs exceed 60% of revenue",IF(G70&gt;=15,"Age 15+ → replace",IF(OR(G70&gt;=11,L70&gt;0.4),"Watch costs; plan replacement","Healthy — continue operating"))))</f>
        <v>Watch costs; plan replacement</v>
      </c>
      <c r="P70" s="188" t="str">
        <f aca="false">'Engineering Assumptions'!H22</f>
        <v>HAMM 311D / SAKAI SW-900 ~Rs. 20–28M</v>
      </c>
    </row>
    <row r="71" customFormat="false" ht="15" hidden="false" customHeight="true" outlineLevel="0" collapsed="false">
      <c r="A71" s="9" t="n">
        <v>62</v>
      </c>
      <c r="B71" s="184" t="s">
        <v>101</v>
      </c>
      <c r="C71" s="184" t="s">
        <v>2313</v>
      </c>
      <c r="D71" s="184" t="s">
        <v>471</v>
      </c>
      <c r="E71" s="184"/>
      <c r="F71" s="45" t="s">
        <v>310</v>
      </c>
      <c r="G71" s="9" t="n">
        <v>14</v>
      </c>
      <c r="H71" s="185" t="n">
        <f aca="false">'Engineering Assumptions'!$F$22*0.12*1</f>
        <v>2.64</v>
      </c>
      <c r="I71" s="185" t="n">
        <f aca="false">'Engineering Assumptions'!$F$22*1</f>
        <v>22</v>
      </c>
      <c r="J71" s="12" t="n">
        <f aca="false">'Fleet Pricing'!L71</f>
        <v>384500</v>
      </c>
      <c r="K71" s="12" t="n">
        <f aca="false">'Maintenance &amp; Repair'!J71+'Maintenance &amp; Repair'!K71</f>
        <v>93000</v>
      </c>
      <c r="L71" s="186" t="n">
        <f aca="false">IFERROR(K71/J71,0)</f>
        <v>0.241872561768531</v>
      </c>
      <c r="M71" s="9" t="n">
        <f aca="false">MAX(0,'Engineering Assumptions'!$G$22-G71)</f>
        <v>1</v>
      </c>
      <c r="N71" s="187" t="str">
        <f aca="false">IF(G71&gt;=20,"REPLACE",IF(L71&gt;0.6,"REPLACE",IF(G71&gt;=15,"REPLACE",IF(OR(G71&gt;=11,L71&gt;0.4),"MONITOR","KEEP"))))</f>
        <v>MONITOR</v>
      </c>
      <c r="O71" s="188" t="str">
        <f aca="false">IF(G71&gt;=20,"End of life (age &gt; 20)",IF(L71&gt;0.6,"Repairs exceed 60% of revenue",IF(G71&gt;=15,"Age 15+ → replace",IF(OR(G71&gt;=11,L71&gt;0.4),"Watch costs; plan replacement","Healthy — continue operating"))))</f>
        <v>Watch costs; plan replacement</v>
      </c>
      <c r="P71" s="188" t="str">
        <f aca="false">'Engineering Assumptions'!H22</f>
        <v>HAMM 311D / SAKAI SW-900 ~Rs. 20–28M</v>
      </c>
    </row>
    <row r="72" customFormat="false" ht="15" hidden="false" customHeight="true" outlineLevel="0" collapsed="false">
      <c r="A72" s="9" t="n">
        <v>63</v>
      </c>
      <c r="B72" s="184" t="s">
        <v>101</v>
      </c>
      <c r="C72" s="184" t="s">
        <v>2313</v>
      </c>
      <c r="D72" s="184" t="s">
        <v>479</v>
      </c>
      <c r="E72" s="184"/>
      <c r="F72" s="45" t="s">
        <v>310</v>
      </c>
      <c r="G72" s="9" t="n">
        <v>14</v>
      </c>
      <c r="H72" s="185" t="n">
        <f aca="false">'Engineering Assumptions'!$F$22*0.12*1</f>
        <v>2.64</v>
      </c>
      <c r="I72" s="185" t="n">
        <f aca="false">'Engineering Assumptions'!$F$22*1</f>
        <v>22</v>
      </c>
      <c r="J72" s="12" t="n">
        <f aca="false">'Fleet Pricing'!L72</f>
        <v>384500</v>
      </c>
      <c r="K72" s="12" t="n">
        <f aca="false">'Maintenance &amp; Repair'!J72+'Maintenance &amp; Repair'!K72</f>
        <v>93000</v>
      </c>
      <c r="L72" s="186" t="n">
        <f aca="false">IFERROR(K72/J72,0)</f>
        <v>0.241872561768531</v>
      </c>
      <c r="M72" s="9" t="n">
        <f aca="false">MAX(0,'Engineering Assumptions'!$G$22-G72)</f>
        <v>1</v>
      </c>
      <c r="N72" s="187" t="str">
        <f aca="false">IF(G72&gt;=20,"REPLACE",IF(L72&gt;0.6,"REPLACE",IF(G72&gt;=15,"REPLACE",IF(OR(G72&gt;=11,L72&gt;0.4),"MONITOR","KEEP"))))</f>
        <v>MONITOR</v>
      </c>
      <c r="O72" s="188" t="str">
        <f aca="false">IF(G72&gt;=20,"End of life (age &gt; 20)",IF(L72&gt;0.6,"Repairs exceed 60% of revenue",IF(G72&gt;=15,"Age 15+ → replace",IF(OR(G72&gt;=11,L72&gt;0.4),"Watch costs; plan replacement","Healthy — continue operating"))))</f>
        <v>Watch costs; plan replacement</v>
      </c>
      <c r="P72" s="188" t="str">
        <f aca="false">'Engineering Assumptions'!H22</f>
        <v>HAMM 311D / SAKAI SW-900 ~Rs. 20–28M</v>
      </c>
    </row>
    <row r="73" customFormat="false" ht="15" hidden="false" customHeight="true" outlineLevel="0" collapsed="false">
      <c r="A73" s="9" t="n">
        <v>64</v>
      </c>
      <c r="B73" s="184" t="s">
        <v>101</v>
      </c>
      <c r="C73" s="184" t="s">
        <v>2314</v>
      </c>
      <c r="D73" s="184" t="s">
        <v>482</v>
      </c>
      <c r="E73" s="184"/>
      <c r="F73" s="45" t="s">
        <v>389</v>
      </c>
      <c r="G73" s="9" t="n">
        <v>16</v>
      </c>
      <c r="H73" s="185" t="n">
        <f aca="false">'Engineering Assumptions'!$F$22*0.12*1</f>
        <v>2.64</v>
      </c>
      <c r="I73" s="185" t="n">
        <f aca="false">'Engineering Assumptions'!$F$22*1</f>
        <v>22</v>
      </c>
      <c r="J73" s="12" t="n">
        <f aca="false">'Fleet Pricing'!L73</f>
        <v>384500</v>
      </c>
      <c r="K73" s="12" t="n">
        <f aca="false">'Maintenance &amp; Repair'!J73+'Maintenance &amp; Repair'!K73</f>
        <v>131940</v>
      </c>
      <c r="L73" s="186" t="n">
        <f aca="false">IFERROR(K73/J73,0)</f>
        <v>0.343146944083225</v>
      </c>
      <c r="M73" s="9" t="n">
        <f aca="false">MAX(0,'Engineering Assumptions'!$G$22-G73)</f>
        <v>0</v>
      </c>
      <c r="N73" s="187" t="str">
        <f aca="false">IF(G73&gt;=20,"REPLACE",IF(L73&gt;0.6,"REPLACE",IF(G73&gt;=15,"REPLACE",IF(OR(G73&gt;=11,L73&gt;0.4),"MONITOR","KEEP"))))</f>
        <v>REPLACE</v>
      </c>
      <c r="O73" s="188" t="str">
        <f aca="false">IF(G73&gt;=20,"End of life (age &gt; 20)",IF(L73&gt;0.6,"Repairs exceed 60% of revenue",IF(G73&gt;=15,"Age 15+ → replace",IF(OR(G73&gt;=11,L73&gt;0.4),"Watch costs; plan replacement","Healthy — continue operating"))))</f>
        <v>Age 15+ → replace</v>
      </c>
      <c r="P73" s="188" t="str">
        <f aca="false">'Engineering Assumptions'!H22</f>
        <v>HAMM 311D / SAKAI SW-900 ~Rs. 20–28M</v>
      </c>
    </row>
    <row r="74" customFormat="false" ht="15" hidden="false" customHeight="true" outlineLevel="0" collapsed="false">
      <c r="A74" s="9" t="n">
        <v>65</v>
      </c>
      <c r="B74" s="184" t="s">
        <v>101</v>
      </c>
      <c r="C74" s="184" t="s">
        <v>2313</v>
      </c>
      <c r="D74" s="184" t="s">
        <v>477</v>
      </c>
      <c r="E74" s="184"/>
      <c r="F74" s="45" t="s">
        <v>392</v>
      </c>
      <c r="G74" s="9" t="n">
        <v>17</v>
      </c>
      <c r="H74" s="185" t="n">
        <f aca="false">'Engineering Assumptions'!$F$22*0.12*1</f>
        <v>2.64</v>
      </c>
      <c r="I74" s="185" t="n">
        <f aca="false">'Engineering Assumptions'!$F$22*1</f>
        <v>22</v>
      </c>
      <c r="J74" s="12" t="n">
        <f aca="false">'Fleet Pricing'!L74</f>
        <v>337500</v>
      </c>
      <c r="K74" s="12" t="n">
        <f aca="false">'Maintenance &amp; Repair'!J74+'Maintenance &amp; Repair'!K74</f>
        <v>131940</v>
      </c>
      <c r="L74" s="186" t="n">
        <f aca="false">IFERROR(K74/J74,0)</f>
        <v>0.390933333333333</v>
      </c>
      <c r="M74" s="9" t="n">
        <f aca="false">MAX(0,'Engineering Assumptions'!$G$22-G74)</f>
        <v>0</v>
      </c>
      <c r="N74" s="187" t="str">
        <f aca="false">IF(G74&gt;=20,"REPLACE",IF(L74&gt;0.6,"REPLACE",IF(G74&gt;=15,"REPLACE",IF(OR(G74&gt;=11,L74&gt;0.4),"MONITOR","KEEP"))))</f>
        <v>REPLACE</v>
      </c>
      <c r="O74" s="188" t="str">
        <f aca="false">IF(G74&gt;=20,"End of life (age &gt; 20)",IF(L74&gt;0.6,"Repairs exceed 60% of revenue",IF(G74&gt;=15,"Age 15+ → replace",IF(OR(G74&gt;=11,L74&gt;0.4),"Watch costs; plan replacement","Healthy — continue operating"))))</f>
        <v>Age 15+ → replace</v>
      </c>
      <c r="P74" s="188" t="str">
        <f aca="false">'Engineering Assumptions'!H22</f>
        <v>HAMM 311D / SAKAI SW-900 ~Rs. 20–28M</v>
      </c>
    </row>
    <row r="75" customFormat="false" ht="15" hidden="false" customHeight="true" outlineLevel="0" collapsed="false">
      <c r="A75" s="9" t="n">
        <v>66</v>
      </c>
      <c r="B75" s="184" t="s">
        <v>101</v>
      </c>
      <c r="C75" s="184" t="s">
        <v>2313</v>
      </c>
      <c r="D75" s="184" t="s">
        <v>491</v>
      </c>
      <c r="E75" s="184"/>
      <c r="F75" s="45" t="s">
        <v>472</v>
      </c>
      <c r="G75" s="9" t="n">
        <v>30</v>
      </c>
      <c r="H75" s="185" t="n">
        <f aca="false">'Engineering Assumptions'!$F$22*0.03*1</f>
        <v>0.66</v>
      </c>
      <c r="I75" s="185" t="n">
        <f aca="false">'Engineering Assumptions'!$F$22*1</f>
        <v>22</v>
      </c>
      <c r="J75" s="12" t="n">
        <f aca="false">'Fleet Pricing'!L75</f>
        <v>272500</v>
      </c>
      <c r="K75" s="12" t="n">
        <f aca="false">'Maintenance &amp; Repair'!J75+'Maintenance &amp; Repair'!K75</f>
        <v>177840</v>
      </c>
      <c r="L75" s="186" t="n">
        <f aca="false">IFERROR(K75/J75,0)</f>
        <v>0.652623853211009</v>
      </c>
      <c r="M75" s="9" t="n">
        <f aca="false">MAX(0,'Engineering Assumptions'!$G$22-G75)</f>
        <v>0</v>
      </c>
      <c r="N75" s="187" t="str">
        <f aca="false">IF(G75&gt;=20,"REPLACE",IF(L75&gt;0.6,"REPLACE",IF(G75&gt;=15,"REPLACE",IF(OR(G75&gt;=11,L75&gt;0.4),"MONITOR","KEEP"))))</f>
        <v>REPLACE</v>
      </c>
      <c r="O75" s="188" t="str">
        <f aca="false">IF(G75&gt;=20,"End of life (age &gt; 20)",IF(L75&gt;0.6,"Repairs exceed 60% of revenue",IF(G75&gt;=15,"Age 15+ → replace",IF(OR(G75&gt;=11,L75&gt;0.4),"Watch costs; plan replacement","Healthy — continue operating"))))</f>
        <v>End of life (age &gt; 20)</v>
      </c>
      <c r="P75" s="188" t="str">
        <f aca="false">'Engineering Assumptions'!H22</f>
        <v>HAMM 311D / SAKAI SW-900 ~Rs. 20–28M</v>
      </c>
    </row>
    <row r="76" customFormat="false" ht="15" hidden="false" customHeight="true" outlineLevel="0" collapsed="false">
      <c r="A76" s="9" t="n">
        <v>67</v>
      </c>
      <c r="B76" s="184" t="s">
        <v>101</v>
      </c>
      <c r="C76" s="184" t="s">
        <v>2315</v>
      </c>
      <c r="D76" s="184" t="s">
        <v>487</v>
      </c>
      <c r="E76" s="184"/>
      <c r="F76" s="45" t="s">
        <v>472</v>
      </c>
      <c r="G76" s="9" t="n">
        <v>30</v>
      </c>
      <c r="H76" s="185" t="n">
        <f aca="false">'Engineering Assumptions'!$F$22*0.03*1</f>
        <v>0.66</v>
      </c>
      <c r="I76" s="185" t="n">
        <f aca="false">'Engineering Assumptions'!$F$22*1</f>
        <v>22</v>
      </c>
      <c r="J76" s="12" t="n">
        <f aca="false">'Fleet Pricing'!L76</f>
        <v>272500</v>
      </c>
      <c r="K76" s="12" t="n">
        <f aca="false">'Maintenance &amp; Repair'!J76+'Maintenance &amp; Repair'!K76</f>
        <v>177840</v>
      </c>
      <c r="L76" s="186" t="n">
        <f aca="false">IFERROR(K76/J76,0)</f>
        <v>0.652623853211009</v>
      </c>
      <c r="M76" s="9" t="n">
        <f aca="false">MAX(0,'Engineering Assumptions'!$G$22-G76)</f>
        <v>0</v>
      </c>
      <c r="N76" s="187" t="str">
        <f aca="false">IF(G76&gt;=20,"REPLACE",IF(L76&gt;0.6,"REPLACE",IF(G76&gt;=15,"REPLACE",IF(OR(G76&gt;=11,L76&gt;0.4),"MONITOR","KEEP"))))</f>
        <v>REPLACE</v>
      </c>
      <c r="O76" s="188" t="str">
        <f aca="false">IF(G76&gt;=20,"End of life (age &gt; 20)",IF(L76&gt;0.6,"Repairs exceed 60% of revenue",IF(G76&gt;=15,"Age 15+ → replace",IF(OR(G76&gt;=11,L76&gt;0.4),"Watch costs; plan replacement","Healthy — continue operating"))))</f>
        <v>End of life (age &gt; 20)</v>
      </c>
      <c r="P76" s="188" t="str">
        <f aca="false">'Engineering Assumptions'!H22</f>
        <v>HAMM 311D / SAKAI SW-900 ~Rs. 20–28M</v>
      </c>
    </row>
    <row r="77" customFormat="false" ht="15" hidden="false" customHeight="true" outlineLevel="0" collapsed="false">
      <c r="A77" s="9" t="n">
        <v>68</v>
      </c>
      <c r="B77" s="184" t="s">
        <v>101</v>
      </c>
      <c r="C77" s="184" t="s">
        <v>2307</v>
      </c>
      <c r="D77" s="184" t="s">
        <v>489</v>
      </c>
      <c r="E77" s="184"/>
      <c r="F77" s="45" t="s">
        <v>472</v>
      </c>
      <c r="G77" s="9" t="n">
        <v>30</v>
      </c>
      <c r="H77" s="185" t="n">
        <f aca="false">'Engineering Assumptions'!$F$22*0.03*1</f>
        <v>0.66</v>
      </c>
      <c r="I77" s="185" t="n">
        <f aca="false">'Engineering Assumptions'!$F$22*1</f>
        <v>22</v>
      </c>
      <c r="J77" s="12" t="n">
        <f aca="false">'Fleet Pricing'!L77</f>
        <v>272500</v>
      </c>
      <c r="K77" s="12" t="n">
        <f aca="false">'Maintenance &amp; Repair'!J77+'Maintenance &amp; Repair'!K77</f>
        <v>177840</v>
      </c>
      <c r="L77" s="186" t="n">
        <f aca="false">IFERROR(K77/J77,0)</f>
        <v>0.652623853211009</v>
      </c>
      <c r="M77" s="9" t="n">
        <f aca="false">MAX(0,'Engineering Assumptions'!$G$22-G77)</f>
        <v>0</v>
      </c>
      <c r="N77" s="187" t="str">
        <f aca="false">IF(G77&gt;=20,"REPLACE",IF(L77&gt;0.6,"REPLACE",IF(G77&gt;=15,"REPLACE",IF(OR(G77&gt;=11,L77&gt;0.4),"MONITOR","KEEP"))))</f>
        <v>REPLACE</v>
      </c>
      <c r="O77" s="188" t="str">
        <f aca="false">IF(G77&gt;=20,"End of life (age &gt; 20)",IF(L77&gt;0.6,"Repairs exceed 60% of revenue",IF(G77&gt;=15,"Age 15+ → replace",IF(OR(G77&gt;=11,L77&gt;0.4),"Watch costs; plan replacement","Healthy — continue operating"))))</f>
        <v>End of life (age &gt; 20)</v>
      </c>
      <c r="P77" s="188" t="str">
        <f aca="false">'Engineering Assumptions'!H22</f>
        <v>HAMM 311D / SAKAI SW-900 ~Rs. 20–28M</v>
      </c>
    </row>
    <row r="78" customFormat="false" ht="15" hidden="false" customHeight="true" outlineLevel="0" collapsed="false">
      <c r="A78" s="9" t="n">
        <v>69</v>
      </c>
      <c r="B78" s="184" t="s">
        <v>101</v>
      </c>
      <c r="C78" s="184" t="s">
        <v>2309</v>
      </c>
      <c r="D78" s="184" t="s">
        <v>490</v>
      </c>
      <c r="E78" s="184"/>
      <c r="F78" s="45" t="s">
        <v>472</v>
      </c>
      <c r="G78" s="9" t="n">
        <v>30</v>
      </c>
      <c r="H78" s="185" t="n">
        <f aca="false">'Engineering Assumptions'!$F$22*0.03*1</f>
        <v>0.66</v>
      </c>
      <c r="I78" s="185" t="n">
        <f aca="false">'Engineering Assumptions'!$F$22*1</f>
        <v>22</v>
      </c>
      <c r="J78" s="12" t="n">
        <f aca="false">'Fleet Pricing'!L78</f>
        <v>272500</v>
      </c>
      <c r="K78" s="12" t="n">
        <f aca="false">'Maintenance &amp; Repair'!J78+'Maintenance &amp; Repair'!K78</f>
        <v>177840</v>
      </c>
      <c r="L78" s="186" t="n">
        <f aca="false">IFERROR(K78/J78,0)</f>
        <v>0.652623853211009</v>
      </c>
      <c r="M78" s="9" t="n">
        <f aca="false">MAX(0,'Engineering Assumptions'!$G$22-G78)</f>
        <v>0</v>
      </c>
      <c r="N78" s="187" t="str">
        <f aca="false">IF(G78&gt;=20,"REPLACE",IF(L78&gt;0.6,"REPLACE",IF(G78&gt;=15,"REPLACE",IF(OR(G78&gt;=11,L78&gt;0.4),"MONITOR","KEEP"))))</f>
        <v>REPLACE</v>
      </c>
      <c r="O78" s="188" t="str">
        <f aca="false">IF(G78&gt;=20,"End of life (age &gt; 20)",IF(L78&gt;0.6,"Repairs exceed 60% of revenue",IF(G78&gt;=15,"Age 15+ → replace",IF(OR(G78&gt;=11,L78&gt;0.4),"Watch costs; plan replacement","Healthy — continue operating"))))</f>
        <v>End of life (age &gt; 20)</v>
      </c>
      <c r="P78" s="188" t="str">
        <f aca="false">'Engineering Assumptions'!H22</f>
        <v>HAMM 311D / SAKAI SW-900 ~Rs. 20–28M</v>
      </c>
    </row>
    <row r="79" customFormat="false" ht="15" hidden="false" customHeight="true" outlineLevel="0" collapsed="false">
      <c r="A79" s="9" t="n">
        <v>70</v>
      </c>
      <c r="B79" s="184" t="s">
        <v>101</v>
      </c>
      <c r="C79" s="184" t="s">
        <v>2316</v>
      </c>
      <c r="D79" s="184" t="s">
        <v>467</v>
      </c>
      <c r="E79" s="184"/>
      <c r="F79" s="45" t="s">
        <v>472</v>
      </c>
      <c r="G79" s="9" t="n">
        <v>30</v>
      </c>
      <c r="H79" s="185" t="n">
        <f aca="false">'Engineering Assumptions'!$F$22*0.03*1</f>
        <v>0.66</v>
      </c>
      <c r="I79" s="185" t="n">
        <f aca="false">'Engineering Assumptions'!$F$22*1</f>
        <v>22</v>
      </c>
      <c r="J79" s="12" t="n">
        <f aca="false">'Fleet Pricing'!L79</f>
        <v>272500</v>
      </c>
      <c r="K79" s="12" t="n">
        <f aca="false">'Maintenance &amp; Repair'!J79+'Maintenance &amp; Repair'!K79</f>
        <v>177840</v>
      </c>
      <c r="L79" s="186" t="n">
        <f aca="false">IFERROR(K79/J79,0)</f>
        <v>0.652623853211009</v>
      </c>
      <c r="M79" s="9" t="n">
        <f aca="false">MAX(0,'Engineering Assumptions'!$G$22-G79)</f>
        <v>0</v>
      </c>
      <c r="N79" s="187" t="str">
        <f aca="false">IF(G79&gt;=20,"REPLACE",IF(L79&gt;0.6,"REPLACE",IF(G79&gt;=15,"REPLACE",IF(OR(G79&gt;=11,L79&gt;0.4),"MONITOR","KEEP"))))</f>
        <v>REPLACE</v>
      </c>
      <c r="O79" s="188" t="str">
        <f aca="false">IF(G79&gt;=20,"End of life (age &gt; 20)",IF(L79&gt;0.6,"Repairs exceed 60% of revenue",IF(G79&gt;=15,"Age 15+ → replace",IF(OR(G79&gt;=11,L79&gt;0.4),"Watch costs; plan replacement","Healthy — continue operating"))))</f>
        <v>End of life (age &gt; 20)</v>
      </c>
      <c r="P79" s="188" t="str">
        <f aca="false">'Engineering Assumptions'!H22</f>
        <v>HAMM 311D / SAKAI SW-900 ~Rs. 20–28M</v>
      </c>
    </row>
    <row r="80" customFormat="false" ht="15" hidden="false" customHeight="true" outlineLevel="0" collapsed="false">
      <c r="A80" s="9" t="n">
        <v>71</v>
      </c>
      <c r="B80" s="184" t="s">
        <v>101</v>
      </c>
      <c r="C80" s="184" t="s">
        <v>2317</v>
      </c>
      <c r="D80" s="184" t="s">
        <v>492</v>
      </c>
      <c r="E80" s="184"/>
      <c r="F80" s="45" t="s">
        <v>472</v>
      </c>
      <c r="G80" s="9" t="n">
        <v>30</v>
      </c>
      <c r="H80" s="185" t="n">
        <f aca="false">'Engineering Assumptions'!$F$22*0.03*1</f>
        <v>0.66</v>
      </c>
      <c r="I80" s="185" t="n">
        <f aca="false">'Engineering Assumptions'!$F$22*1</f>
        <v>22</v>
      </c>
      <c r="J80" s="12" t="n">
        <f aca="false">'Fleet Pricing'!L80</f>
        <v>272500</v>
      </c>
      <c r="K80" s="12" t="n">
        <f aca="false">'Maintenance &amp; Repair'!J80+'Maintenance &amp; Repair'!K80</f>
        <v>177840</v>
      </c>
      <c r="L80" s="186" t="n">
        <f aca="false">IFERROR(K80/J80,0)</f>
        <v>0.652623853211009</v>
      </c>
      <c r="M80" s="9" t="n">
        <f aca="false">MAX(0,'Engineering Assumptions'!$G$22-G80)</f>
        <v>0</v>
      </c>
      <c r="N80" s="187" t="str">
        <f aca="false">IF(G80&gt;=20,"REPLACE",IF(L80&gt;0.6,"REPLACE",IF(G80&gt;=15,"REPLACE",IF(OR(G80&gt;=11,L80&gt;0.4),"MONITOR","KEEP"))))</f>
        <v>REPLACE</v>
      </c>
      <c r="O80" s="188" t="str">
        <f aca="false">IF(G80&gt;=20,"End of life (age &gt; 20)",IF(L80&gt;0.6,"Repairs exceed 60% of revenue",IF(G80&gt;=15,"Age 15+ → replace",IF(OR(G80&gt;=11,L80&gt;0.4),"Watch costs; plan replacement","Healthy — continue operating"))))</f>
        <v>End of life (age &gt; 20)</v>
      </c>
      <c r="P80" s="188" t="str">
        <f aca="false">'Engineering Assumptions'!H22</f>
        <v>HAMM 311D / SAKAI SW-900 ~Rs. 20–28M</v>
      </c>
    </row>
    <row r="81" customFormat="false" ht="15" hidden="false" customHeight="true" outlineLevel="0" collapsed="false">
      <c r="A81" s="42" t="s">
        <v>494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</row>
    <row r="82" customFormat="false" ht="15" hidden="false" customHeight="true" outlineLevel="0" collapsed="false">
      <c r="A82" s="9" t="n">
        <v>72</v>
      </c>
      <c r="B82" s="184" t="s">
        <v>103</v>
      </c>
      <c r="C82" s="184" t="s">
        <v>2313</v>
      </c>
      <c r="D82" s="184" t="s">
        <v>539</v>
      </c>
      <c r="E82" s="184"/>
      <c r="F82" s="45" t="s">
        <v>397</v>
      </c>
      <c r="G82" s="9" t="n">
        <v>9</v>
      </c>
      <c r="H82" s="185" t="n">
        <f aca="false">'Engineering Assumptions'!$F$23*0.22*1</f>
        <v>3.08</v>
      </c>
      <c r="I82" s="185" t="n">
        <f aca="false">'Engineering Assumptions'!$F$23*1</f>
        <v>14</v>
      </c>
      <c r="J82" s="12" t="n">
        <f aca="false">'Fleet Pricing'!L82</f>
        <v>366000</v>
      </c>
      <c r="K82" s="12" t="n">
        <f aca="false">'Maintenance &amp; Repair'!J82+'Maintenance &amp; Repair'!K82</f>
        <v>48600</v>
      </c>
      <c r="L82" s="186" t="n">
        <f aca="false">IFERROR(K82/J82,0)</f>
        <v>0.132786885245902</v>
      </c>
      <c r="M82" s="9" t="n">
        <f aca="false">MAX(0,'Engineering Assumptions'!$G$23-G82)</f>
        <v>3</v>
      </c>
      <c r="N82" s="187" t="str">
        <f aca="false">IF(G82&gt;=20,"REPLACE",IF(L82&gt;0.6,"REPLACE",IF(G82&gt;=15,"REPLACE",IF(OR(G82&gt;=11,L82&gt;0.4),"MONITOR","KEEP"))))</f>
        <v>KEEP</v>
      </c>
      <c r="O82" s="188" t="str">
        <f aca="false">IF(G82&gt;=20,"End of life (age &gt; 20)",IF(L82&gt;0.6,"Repairs exceed 60% of revenue",IF(G82&gt;=15,"Age 15+ → replace",IF(OR(G82&gt;=11,L82&gt;0.4),"Watch costs; plan replacement","Healthy — continue operating"))))</f>
        <v>Healthy — continue operating</v>
      </c>
      <c r="P82" s="188" t="str">
        <f aca="false">'Engineering Assumptions'!H23</f>
        <v>BOMAG BW138/Dynapac CC1300 ~Rs. 12–18M</v>
      </c>
    </row>
    <row r="83" customFormat="false" ht="15" hidden="false" customHeight="true" outlineLevel="0" collapsed="false">
      <c r="A83" s="9" t="n">
        <v>73</v>
      </c>
      <c r="B83" s="184" t="s">
        <v>103</v>
      </c>
      <c r="C83" s="184" t="s">
        <v>2318</v>
      </c>
      <c r="D83" s="184" t="s">
        <v>540</v>
      </c>
      <c r="E83" s="184"/>
      <c r="F83" s="45" t="s">
        <v>397</v>
      </c>
      <c r="G83" s="9" t="n">
        <v>9</v>
      </c>
      <c r="H83" s="185" t="n">
        <f aca="false">'Engineering Assumptions'!$F$23*0.22*1</f>
        <v>3.08</v>
      </c>
      <c r="I83" s="185" t="n">
        <f aca="false">'Engineering Assumptions'!$F$23*1</f>
        <v>14</v>
      </c>
      <c r="J83" s="12" t="n">
        <f aca="false">'Fleet Pricing'!L83</f>
        <v>366000</v>
      </c>
      <c r="K83" s="12" t="n">
        <f aca="false">'Maintenance &amp; Repair'!J83+'Maintenance &amp; Repair'!K83</f>
        <v>48600</v>
      </c>
      <c r="L83" s="186" t="n">
        <f aca="false">IFERROR(K83/J83,0)</f>
        <v>0.132786885245902</v>
      </c>
      <c r="M83" s="9" t="n">
        <f aca="false">MAX(0,'Engineering Assumptions'!$G$23-G83)</f>
        <v>3</v>
      </c>
      <c r="N83" s="187" t="str">
        <f aca="false">IF(G83&gt;=20,"REPLACE",IF(L83&gt;0.6,"REPLACE",IF(G83&gt;=15,"REPLACE",IF(OR(G83&gt;=11,L83&gt;0.4),"MONITOR","KEEP"))))</f>
        <v>KEEP</v>
      </c>
      <c r="O83" s="188" t="str">
        <f aca="false">IF(G83&gt;=20,"End of life (age &gt; 20)",IF(L83&gt;0.6,"Repairs exceed 60% of revenue",IF(G83&gt;=15,"Age 15+ → replace",IF(OR(G83&gt;=11,L83&gt;0.4),"Watch costs; plan replacement","Healthy — continue operating"))))</f>
        <v>Healthy — continue operating</v>
      </c>
      <c r="P83" s="188" t="str">
        <f aca="false">'Engineering Assumptions'!H23</f>
        <v>BOMAG BW138/Dynapac CC1300 ~Rs. 12–18M</v>
      </c>
    </row>
    <row r="84" customFormat="false" ht="15" hidden="false" customHeight="true" outlineLevel="0" collapsed="false">
      <c r="A84" s="9" t="n">
        <v>74</v>
      </c>
      <c r="B84" s="184" t="s">
        <v>103</v>
      </c>
      <c r="C84" s="184" t="s">
        <v>2313</v>
      </c>
      <c r="D84" s="184" t="s">
        <v>538</v>
      </c>
      <c r="E84" s="184"/>
      <c r="F84" s="45" t="s">
        <v>318</v>
      </c>
      <c r="G84" s="9" t="n">
        <v>10</v>
      </c>
      <c r="H84" s="185" t="n">
        <f aca="false">'Engineering Assumptions'!$F$23*0.22*1</f>
        <v>3.08</v>
      </c>
      <c r="I84" s="185" t="n">
        <f aca="false">'Engineering Assumptions'!$F$23*1</f>
        <v>14</v>
      </c>
      <c r="J84" s="12" t="n">
        <f aca="false">'Fleet Pricing'!L84</f>
        <v>366000</v>
      </c>
      <c r="K84" s="12" t="n">
        <f aca="false">'Maintenance &amp; Repair'!J84+'Maintenance &amp; Repair'!K84</f>
        <v>48600</v>
      </c>
      <c r="L84" s="186" t="n">
        <f aca="false">IFERROR(K84/J84,0)</f>
        <v>0.132786885245902</v>
      </c>
      <c r="M84" s="9" t="n">
        <f aca="false">MAX(0,'Engineering Assumptions'!$G$23-G84)</f>
        <v>2</v>
      </c>
      <c r="N84" s="187" t="str">
        <f aca="false">IF(G84&gt;=20,"REPLACE",IF(L84&gt;0.6,"REPLACE",IF(G84&gt;=15,"REPLACE",IF(OR(G84&gt;=11,L84&gt;0.4),"MONITOR","KEEP"))))</f>
        <v>KEEP</v>
      </c>
      <c r="O84" s="188" t="str">
        <f aca="false">IF(G84&gt;=20,"End of life (age &gt; 20)",IF(L84&gt;0.6,"Repairs exceed 60% of revenue",IF(G84&gt;=15,"Age 15+ → replace",IF(OR(G84&gt;=11,L84&gt;0.4),"Watch costs; plan replacement","Healthy — continue operating"))))</f>
        <v>Healthy — continue operating</v>
      </c>
      <c r="P84" s="188" t="str">
        <f aca="false">'Engineering Assumptions'!H23</f>
        <v>BOMAG BW138/Dynapac CC1300 ~Rs. 12–18M</v>
      </c>
    </row>
    <row r="85" customFormat="false" ht="15" hidden="false" customHeight="true" outlineLevel="0" collapsed="false">
      <c r="A85" s="9" t="n">
        <v>75</v>
      </c>
      <c r="B85" s="184" t="s">
        <v>103</v>
      </c>
      <c r="C85" s="184" t="s">
        <v>2319</v>
      </c>
      <c r="D85" s="184" t="s">
        <v>500</v>
      </c>
      <c r="E85" s="184"/>
      <c r="F85" s="45" t="s">
        <v>318</v>
      </c>
      <c r="G85" s="9" t="n">
        <v>10</v>
      </c>
      <c r="H85" s="185" t="n">
        <f aca="false">'Engineering Assumptions'!$F$23*0.22*1</f>
        <v>3.08</v>
      </c>
      <c r="I85" s="185" t="n">
        <f aca="false">'Engineering Assumptions'!$F$23*1</f>
        <v>14</v>
      </c>
      <c r="J85" s="12" t="n">
        <f aca="false">'Fleet Pricing'!L85</f>
        <v>366000</v>
      </c>
      <c r="K85" s="12" t="n">
        <f aca="false">'Maintenance &amp; Repair'!J85+'Maintenance &amp; Repair'!K85</f>
        <v>48600</v>
      </c>
      <c r="L85" s="186" t="n">
        <f aca="false">IFERROR(K85/J85,0)</f>
        <v>0.132786885245902</v>
      </c>
      <c r="M85" s="9" t="n">
        <f aca="false">MAX(0,'Engineering Assumptions'!$G$23-G85)</f>
        <v>2</v>
      </c>
      <c r="N85" s="187" t="str">
        <f aca="false">IF(G85&gt;=20,"REPLACE",IF(L85&gt;0.6,"REPLACE",IF(G85&gt;=15,"REPLACE",IF(OR(G85&gt;=11,L85&gt;0.4),"MONITOR","KEEP"))))</f>
        <v>KEEP</v>
      </c>
      <c r="O85" s="188" t="str">
        <f aca="false">IF(G85&gt;=20,"End of life (age &gt; 20)",IF(L85&gt;0.6,"Repairs exceed 60% of revenue",IF(G85&gt;=15,"Age 15+ → replace",IF(OR(G85&gt;=11,L85&gt;0.4),"Watch costs; plan replacement","Healthy — continue operating"))))</f>
        <v>Healthy — continue operating</v>
      </c>
      <c r="P85" s="188" t="str">
        <f aca="false">'Engineering Assumptions'!H23</f>
        <v>BOMAG BW138/Dynapac CC1300 ~Rs. 12–18M</v>
      </c>
    </row>
    <row r="86" customFormat="false" ht="15" hidden="false" customHeight="true" outlineLevel="0" collapsed="false">
      <c r="A86" s="9" t="n">
        <v>76</v>
      </c>
      <c r="B86" s="184" t="s">
        <v>103</v>
      </c>
      <c r="C86" s="184" t="s">
        <v>2320</v>
      </c>
      <c r="D86" s="184" t="s">
        <v>502</v>
      </c>
      <c r="E86" s="184"/>
      <c r="F86" s="45" t="s">
        <v>318</v>
      </c>
      <c r="G86" s="9" t="n">
        <v>10</v>
      </c>
      <c r="H86" s="185" t="n">
        <f aca="false">'Engineering Assumptions'!$F$23*0.22*1</f>
        <v>3.08</v>
      </c>
      <c r="I86" s="185" t="n">
        <f aca="false">'Engineering Assumptions'!$F$23*1</f>
        <v>14</v>
      </c>
      <c r="J86" s="12" t="n">
        <f aca="false">'Fleet Pricing'!L86</f>
        <v>366000</v>
      </c>
      <c r="K86" s="12" t="n">
        <f aca="false">'Maintenance &amp; Repair'!J86+'Maintenance &amp; Repair'!K86</f>
        <v>48600</v>
      </c>
      <c r="L86" s="186" t="n">
        <f aca="false">IFERROR(K86/J86,0)</f>
        <v>0.132786885245902</v>
      </c>
      <c r="M86" s="9" t="n">
        <f aca="false">MAX(0,'Engineering Assumptions'!$G$23-G86)</f>
        <v>2</v>
      </c>
      <c r="N86" s="187" t="str">
        <f aca="false">IF(G86&gt;=20,"REPLACE",IF(L86&gt;0.6,"REPLACE",IF(G86&gt;=15,"REPLACE",IF(OR(G86&gt;=11,L86&gt;0.4),"MONITOR","KEEP"))))</f>
        <v>KEEP</v>
      </c>
      <c r="O86" s="188" t="str">
        <f aca="false">IF(G86&gt;=20,"End of life (age &gt; 20)",IF(L86&gt;0.6,"Repairs exceed 60% of revenue",IF(G86&gt;=15,"Age 15+ → replace",IF(OR(G86&gt;=11,L86&gt;0.4),"Watch costs; plan replacement","Healthy — continue operating"))))</f>
        <v>Healthy — continue operating</v>
      </c>
      <c r="P86" s="188" t="str">
        <f aca="false">'Engineering Assumptions'!H23</f>
        <v>BOMAG BW138/Dynapac CC1300 ~Rs. 12–18M</v>
      </c>
    </row>
    <row r="87" customFormat="false" ht="15" hidden="false" customHeight="true" outlineLevel="0" collapsed="false">
      <c r="A87" s="9" t="n">
        <v>77</v>
      </c>
      <c r="B87" s="184" t="s">
        <v>103</v>
      </c>
      <c r="C87" s="184" t="s">
        <v>2321</v>
      </c>
      <c r="D87" s="184" t="s">
        <v>504</v>
      </c>
      <c r="E87" s="184"/>
      <c r="F87" s="45" t="s">
        <v>318</v>
      </c>
      <c r="G87" s="9" t="n">
        <v>10</v>
      </c>
      <c r="H87" s="185" t="n">
        <f aca="false">'Engineering Assumptions'!$F$23*0.22*1</f>
        <v>3.08</v>
      </c>
      <c r="I87" s="185" t="n">
        <f aca="false">'Engineering Assumptions'!$F$23*1</f>
        <v>14</v>
      </c>
      <c r="J87" s="12" t="n">
        <f aca="false">'Fleet Pricing'!L87</f>
        <v>366000</v>
      </c>
      <c r="K87" s="12" t="n">
        <f aca="false">'Maintenance &amp; Repair'!J87+'Maintenance &amp; Repair'!K87</f>
        <v>48600</v>
      </c>
      <c r="L87" s="186" t="n">
        <f aca="false">IFERROR(K87/J87,0)</f>
        <v>0.132786885245902</v>
      </c>
      <c r="M87" s="9" t="n">
        <f aca="false">MAX(0,'Engineering Assumptions'!$G$23-G87)</f>
        <v>2</v>
      </c>
      <c r="N87" s="187" t="str">
        <f aca="false">IF(G87&gt;=20,"REPLACE",IF(L87&gt;0.6,"REPLACE",IF(G87&gt;=15,"REPLACE",IF(OR(G87&gt;=11,L87&gt;0.4),"MONITOR","KEEP"))))</f>
        <v>KEEP</v>
      </c>
      <c r="O87" s="188" t="str">
        <f aca="false">IF(G87&gt;=20,"End of life (age &gt; 20)",IF(L87&gt;0.6,"Repairs exceed 60% of revenue",IF(G87&gt;=15,"Age 15+ → replace",IF(OR(G87&gt;=11,L87&gt;0.4),"Watch costs; plan replacement","Healthy — continue operating"))))</f>
        <v>Healthy — continue operating</v>
      </c>
      <c r="P87" s="188" t="str">
        <f aca="false">'Engineering Assumptions'!H23</f>
        <v>BOMAG BW138/Dynapac CC1300 ~Rs. 12–18M</v>
      </c>
    </row>
    <row r="88" customFormat="false" ht="15" hidden="false" customHeight="true" outlineLevel="0" collapsed="false">
      <c r="A88" s="9" t="n">
        <v>78</v>
      </c>
      <c r="B88" s="184" t="s">
        <v>103</v>
      </c>
      <c r="C88" s="184" t="s">
        <v>2322</v>
      </c>
      <c r="D88" s="184" t="s">
        <v>507</v>
      </c>
      <c r="E88" s="184"/>
      <c r="F88" s="45" t="s">
        <v>318</v>
      </c>
      <c r="G88" s="9" t="n">
        <v>10</v>
      </c>
      <c r="H88" s="185" t="n">
        <f aca="false">'Engineering Assumptions'!$F$23*0.22*1</f>
        <v>3.08</v>
      </c>
      <c r="I88" s="185" t="n">
        <f aca="false">'Engineering Assumptions'!$F$23*1</f>
        <v>14</v>
      </c>
      <c r="J88" s="12" t="n">
        <f aca="false">'Fleet Pricing'!L88</f>
        <v>366000</v>
      </c>
      <c r="K88" s="12" t="n">
        <f aca="false">'Maintenance &amp; Repair'!J88+'Maintenance &amp; Repair'!K88</f>
        <v>48600</v>
      </c>
      <c r="L88" s="186" t="n">
        <f aca="false">IFERROR(K88/J88,0)</f>
        <v>0.132786885245902</v>
      </c>
      <c r="M88" s="9" t="n">
        <f aca="false">MAX(0,'Engineering Assumptions'!$G$23-G88)</f>
        <v>2</v>
      </c>
      <c r="N88" s="187" t="str">
        <f aca="false">IF(G88&gt;=20,"REPLACE",IF(L88&gt;0.6,"REPLACE",IF(G88&gt;=15,"REPLACE",IF(OR(G88&gt;=11,L88&gt;0.4),"MONITOR","KEEP"))))</f>
        <v>KEEP</v>
      </c>
      <c r="O88" s="188" t="str">
        <f aca="false">IF(G88&gt;=20,"End of life (age &gt; 20)",IF(L88&gt;0.6,"Repairs exceed 60% of revenue",IF(G88&gt;=15,"Age 15+ → replace",IF(OR(G88&gt;=11,L88&gt;0.4),"Watch costs; plan replacement","Healthy — continue operating"))))</f>
        <v>Healthy — continue operating</v>
      </c>
      <c r="P88" s="188" t="str">
        <f aca="false">'Engineering Assumptions'!H23</f>
        <v>BOMAG BW138/Dynapac CC1300 ~Rs. 12–18M</v>
      </c>
    </row>
    <row r="89" customFormat="false" ht="15" hidden="false" customHeight="true" outlineLevel="0" collapsed="false">
      <c r="A89" s="9" t="n">
        <v>79</v>
      </c>
      <c r="B89" s="184" t="s">
        <v>103</v>
      </c>
      <c r="C89" s="184" t="s">
        <v>2323</v>
      </c>
      <c r="D89" s="184" t="s">
        <v>509</v>
      </c>
      <c r="E89" s="184"/>
      <c r="F89" s="45" t="s">
        <v>318</v>
      </c>
      <c r="G89" s="9" t="n">
        <v>10</v>
      </c>
      <c r="H89" s="185" t="n">
        <f aca="false">'Engineering Assumptions'!$F$23*0.22*1</f>
        <v>3.08</v>
      </c>
      <c r="I89" s="185" t="n">
        <f aca="false">'Engineering Assumptions'!$F$23*1</f>
        <v>14</v>
      </c>
      <c r="J89" s="12" t="n">
        <f aca="false">'Fleet Pricing'!L89</f>
        <v>366000</v>
      </c>
      <c r="K89" s="12" t="n">
        <f aca="false">'Maintenance &amp; Repair'!J89+'Maintenance &amp; Repair'!K89</f>
        <v>48600</v>
      </c>
      <c r="L89" s="186" t="n">
        <f aca="false">IFERROR(K89/J89,0)</f>
        <v>0.132786885245902</v>
      </c>
      <c r="M89" s="9" t="n">
        <f aca="false">MAX(0,'Engineering Assumptions'!$G$23-G89)</f>
        <v>2</v>
      </c>
      <c r="N89" s="187" t="str">
        <f aca="false">IF(G89&gt;=20,"REPLACE",IF(L89&gt;0.6,"REPLACE",IF(G89&gt;=15,"REPLACE",IF(OR(G89&gt;=11,L89&gt;0.4),"MONITOR","KEEP"))))</f>
        <v>KEEP</v>
      </c>
      <c r="O89" s="188" t="str">
        <f aca="false">IF(G89&gt;=20,"End of life (age &gt; 20)",IF(L89&gt;0.6,"Repairs exceed 60% of revenue",IF(G89&gt;=15,"Age 15+ → replace",IF(OR(G89&gt;=11,L89&gt;0.4),"Watch costs; plan replacement","Healthy — continue operating"))))</f>
        <v>Healthy — continue operating</v>
      </c>
      <c r="P89" s="188" t="str">
        <f aca="false">'Engineering Assumptions'!H23</f>
        <v>BOMAG BW138/Dynapac CC1300 ~Rs. 12–18M</v>
      </c>
    </row>
    <row r="90" customFormat="false" ht="15" hidden="false" customHeight="true" outlineLevel="0" collapsed="false">
      <c r="A90" s="9" t="n">
        <v>80</v>
      </c>
      <c r="B90" s="184" t="s">
        <v>103</v>
      </c>
      <c r="C90" s="184" t="s">
        <v>2323</v>
      </c>
      <c r="D90" s="184" t="s">
        <v>543</v>
      </c>
      <c r="E90" s="184"/>
      <c r="F90" s="45" t="s">
        <v>318</v>
      </c>
      <c r="G90" s="9" t="n">
        <v>10</v>
      </c>
      <c r="H90" s="185" t="n">
        <f aca="false">'Engineering Assumptions'!$F$23*0.22*1</f>
        <v>3.08</v>
      </c>
      <c r="I90" s="185" t="n">
        <f aca="false">'Engineering Assumptions'!$F$23*1</f>
        <v>14</v>
      </c>
      <c r="J90" s="12" t="n">
        <f aca="false">'Fleet Pricing'!L90</f>
        <v>366000</v>
      </c>
      <c r="K90" s="12" t="n">
        <f aca="false">'Maintenance &amp; Repair'!J90+'Maintenance &amp; Repair'!K90</f>
        <v>48600</v>
      </c>
      <c r="L90" s="186" t="n">
        <f aca="false">IFERROR(K90/J90,0)</f>
        <v>0.132786885245902</v>
      </c>
      <c r="M90" s="9" t="n">
        <f aca="false">MAX(0,'Engineering Assumptions'!$G$23-G90)</f>
        <v>2</v>
      </c>
      <c r="N90" s="187" t="str">
        <f aca="false">IF(G90&gt;=20,"REPLACE",IF(L90&gt;0.6,"REPLACE",IF(G90&gt;=15,"REPLACE",IF(OR(G90&gt;=11,L90&gt;0.4),"MONITOR","KEEP"))))</f>
        <v>KEEP</v>
      </c>
      <c r="O90" s="188" t="str">
        <f aca="false">IF(G90&gt;=20,"End of life (age &gt; 20)",IF(L90&gt;0.6,"Repairs exceed 60% of revenue",IF(G90&gt;=15,"Age 15+ → replace",IF(OR(G90&gt;=11,L90&gt;0.4),"Watch costs; plan replacement","Healthy — continue operating"))))</f>
        <v>Healthy — continue operating</v>
      </c>
      <c r="P90" s="188" t="str">
        <f aca="false">'Engineering Assumptions'!H23</f>
        <v>BOMAG BW138/Dynapac CC1300 ~Rs. 12–18M</v>
      </c>
    </row>
    <row r="91" customFormat="false" ht="15" hidden="false" customHeight="true" outlineLevel="0" collapsed="false">
      <c r="A91" s="9" t="n">
        <v>81</v>
      </c>
      <c r="B91" s="184" t="s">
        <v>103</v>
      </c>
      <c r="C91" s="184" t="s">
        <v>2313</v>
      </c>
      <c r="D91" s="184" t="s">
        <v>517</v>
      </c>
      <c r="E91" s="184"/>
      <c r="F91" s="45" t="s">
        <v>315</v>
      </c>
      <c r="G91" s="9" t="n">
        <v>11</v>
      </c>
      <c r="H91" s="185" t="n">
        <f aca="false">'Engineering Assumptions'!$F$23*0.22*1</f>
        <v>3.08</v>
      </c>
      <c r="I91" s="185" t="n">
        <f aca="false">'Engineering Assumptions'!$F$23*1</f>
        <v>14</v>
      </c>
      <c r="J91" s="12" t="n">
        <f aca="false">'Fleet Pricing'!L91</f>
        <v>366000</v>
      </c>
      <c r="K91" s="12" t="n">
        <f aca="false">'Maintenance &amp; Repair'!J91+'Maintenance &amp; Repair'!K91</f>
        <v>72360</v>
      </c>
      <c r="L91" s="186" t="n">
        <f aca="false">IFERROR(K91/J91,0)</f>
        <v>0.197704918032787</v>
      </c>
      <c r="M91" s="9" t="n">
        <f aca="false">MAX(0,'Engineering Assumptions'!$G$23-G91)</f>
        <v>1</v>
      </c>
      <c r="N91" s="187" t="str">
        <f aca="false">IF(G91&gt;=20,"REPLACE",IF(L91&gt;0.6,"REPLACE",IF(G91&gt;=15,"REPLACE",IF(OR(G91&gt;=11,L91&gt;0.4),"MONITOR","KEEP"))))</f>
        <v>MONITOR</v>
      </c>
      <c r="O91" s="188" t="str">
        <f aca="false">IF(G91&gt;=20,"End of life (age &gt; 20)",IF(L91&gt;0.6,"Repairs exceed 60% of revenue",IF(G91&gt;=15,"Age 15+ → replace",IF(OR(G91&gt;=11,L91&gt;0.4),"Watch costs; plan replacement","Healthy — continue operating"))))</f>
        <v>Watch costs; plan replacement</v>
      </c>
      <c r="P91" s="188" t="str">
        <f aca="false">'Engineering Assumptions'!H23</f>
        <v>BOMAG BW138/Dynapac CC1300 ~Rs. 12–18M</v>
      </c>
    </row>
    <row r="92" customFormat="false" ht="15" hidden="false" customHeight="true" outlineLevel="0" collapsed="false">
      <c r="A92" s="9" t="n">
        <v>82</v>
      </c>
      <c r="B92" s="184" t="s">
        <v>103</v>
      </c>
      <c r="C92" s="184" t="s">
        <v>2321</v>
      </c>
      <c r="D92" s="184" t="s">
        <v>512</v>
      </c>
      <c r="E92" s="184"/>
      <c r="F92" s="45" t="s">
        <v>315</v>
      </c>
      <c r="G92" s="9" t="n">
        <v>11</v>
      </c>
      <c r="H92" s="185" t="n">
        <f aca="false">'Engineering Assumptions'!$F$23*0.22*1</f>
        <v>3.08</v>
      </c>
      <c r="I92" s="185" t="n">
        <f aca="false">'Engineering Assumptions'!$F$23*1</f>
        <v>14</v>
      </c>
      <c r="J92" s="12" t="n">
        <f aca="false">'Fleet Pricing'!L92</f>
        <v>366000</v>
      </c>
      <c r="K92" s="12" t="n">
        <f aca="false">'Maintenance &amp; Repair'!J92+'Maintenance &amp; Repair'!K92</f>
        <v>72360</v>
      </c>
      <c r="L92" s="186" t="n">
        <f aca="false">IFERROR(K92/J92,0)</f>
        <v>0.197704918032787</v>
      </c>
      <c r="M92" s="9" t="n">
        <f aca="false">MAX(0,'Engineering Assumptions'!$G$23-G92)</f>
        <v>1</v>
      </c>
      <c r="N92" s="187" t="str">
        <f aca="false">IF(G92&gt;=20,"REPLACE",IF(L92&gt;0.6,"REPLACE",IF(G92&gt;=15,"REPLACE",IF(OR(G92&gt;=11,L92&gt;0.4),"MONITOR","KEEP"))))</f>
        <v>MONITOR</v>
      </c>
      <c r="O92" s="188" t="str">
        <f aca="false">IF(G92&gt;=20,"End of life (age &gt; 20)",IF(L92&gt;0.6,"Repairs exceed 60% of revenue",IF(G92&gt;=15,"Age 15+ → replace",IF(OR(G92&gt;=11,L92&gt;0.4),"Watch costs; plan replacement","Healthy — continue operating"))))</f>
        <v>Watch costs; plan replacement</v>
      </c>
      <c r="P92" s="188" t="str">
        <f aca="false">'Engineering Assumptions'!H23</f>
        <v>BOMAG BW138/Dynapac CC1300 ~Rs. 12–18M</v>
      </c>
    </row>
    <row r="93" customFormat="false" ht="15" hidden="false" customHeight="true" outlineLevel="0" collapsed="false">
      <c r="A93" s="9" t="n">
        <v>83</v>
      </c>
      <c r="B93" s="184" t="s">
        <v>103</v>
      </c>
      <c r="C93" s="184" t="s">
        <v>2322</v>
      </c>
      <c r="D93" s="184" t="s">
        <v>513</v>
      </c>
      <c r="E93" s="184"/>
      <c r="F93" s="45" t="s">
        <v>315</v>
      </c>
      <c r="G93" s="9" t="n">
        <v>11</v>
      </c>
      <c r="H93" s="185" t="n">
        <f aca="false">'Engineering Assumptions'!$F$23*0.22*1</f>
        <v>3.08</v>
      </c>
      <c r="I93" s="185" t="n">
        <f aca="false">'Engineering Assumptions'!$F$23*1</f>
        <v>14</v>
      </c>
      <c r="J93" s="12" t="n">
        <f aca="false">'Fleet Pricing'!L93</f>
        <v>366000</v>
      </c>
      <c r="K93" s="12" t="n">
        <f aca="false">'Maintenance &amp; Repair'!J93+'Maintenance &amp; Repair'!K93</f>
        <v>72360</v>
      </c>
      <c r="L93" s="186" t="n">
        <f aca="false">IFERROR(K93/J93,0)</f>
        <v>0.197704918032787</v>
      </c>
      <c r="M93" s="9" t="n">
        <f aca="false">MAX(0,'Engineering Assumptions'!$G$23-G93)</f>
        <v>1</v>
      </c>
      <c r="N93" s="187" t="str">
        <f aca="false">IF(G93&gt;=20,"REPLACE",IF(L93&gt;0.6,"REPLACE",IF(G93&gt;=15,"REPLACE",IF(OR(G93&gt;=11,L93&gt;0.4),"MONITOR","KEEP"))))</f>
        <v>MONITOR</v>
      </c>
      <c r="O93" s="188" t="str">
        <f aca="false">IF(G93&gt;=20,"End of life (age &gt; 20)",IF(L93&gt;0.6,"Repairs exceed 60% of revenue",IF(G93&gt;=15,"Age 15+ → replace",IF(OR(G93&gt;=11,L93&gt;0.4),"Watch costs; plan replacement","Healthy — continue operating"))))</f>
        <v>Watch costs; plan replacement</v>
      </c>
      <c r="P93" s="188" t="str">
        <f aca="false">'Engineering Assumptions'!H23</f>
        <v>BOMAG BW138/Dynapac CC1300 ~Rs. 12–18M</v>
      </c>
    </row>
    <row r="94" customFormat="false" ht="15" hidden="false" customHeight="true" outlineLevel="0" collapsed="false">
      <c r="A94" s="9" t="n">
        <v>84</v>
      </c>
      <c r="B94" s="184" t="s">
        <v>103</v>
      </c>
      <c r="C94" s="184" t="s">
        <v>2321</v>
      </c>
      <c r="D94" s="184" t="s">
        <v>514</v>
      </c>
      <c r="E94" s="184"/>
      <c r="F94" s="45" t="s">
        <v>374</v>
      </c>
      <c r="G94" s="9" t="n">
        <v>12</v>
      </c>
      <c r="H94" s="185" t="n">
        <f aca="false">'Engineering Assumptions'!$F$23*0.22*1</f>
        <v>3.08</v>
      </c>
      <c r="I94" s="185" t="n">
        <f aca="false">'Engineering Assumptions'!$F$23*1</f>
        <v>14</v>
      </c>
      <c r="J94" s="12" t="n">
        <f aca="false">'Fleet Pricing'!L94</f>
        <v>326500</v>
      </c>
      <c r="K94" s="12" t="n">
        <f aca="false">'Maintenance &amp; Repair'!J94+'Maintenance &amp; Repair'!K94</f>
        <v>72360</v>
      </c>
      <c r="L94" s="186" t="n">
        <f aca="false">IFERROR(K94/J94,0)</f>
        <v>0.221623277182236</v>
      </c>
      <c r="M94" s="9" t="n">
        <f aca="false">MAX(0,'Engineering Assumptions'!$G$23-G94)</f>
        <v>0</v>
      </c>
      <c r="N94" s="187" t="str">
        <f aca="false">IF(G94&gt;=20,"REPLACE",IF(L94&gt;0.6,"REPLACE",IF(G94&gt;=15,"REPLACE",IF(OR(G94&gt;=11,L94&gt;0.4),"MONITOR","KEEP"))))</f>
        <v>MONITOR</v>
      </c>
      <c r="O94" s="188" t="str">
        <f aca="false">IF(G94&gt;=20,"End of life (age &gt; 20)",IF(L94&gt;0.6,"Repairs exceed 60% of revenue",IF(G94&gt;=15,"Age 15+ → replace",IF(OR(G94&gt;=11,L94&gt;0.4),"Watch costs; plan replacement","Healthy — continue operating"))))</f>
        <v>Watch costs; plan replacement</v>
      </c>
      <c r="P94" s="188" t="str">
        <f aca="false">'Engineering Assumptions'!H23</f>
        <v>BOMAG BW138/Dynapac CC1300 ~Rs. 12–18M</v>
      </c>
    </row>
    <row r="95" customFormat="false" ht="15" hidden="false" customHeight="true" outlineLevel="0" collapsed="false">
      <c r="A95" s="9" t="n">
        <v>85</v>
      </c>
      <c r="B95" s="184" t="s">
        <v>103</v>
      </c>
      <c r="C95" s="184" t="s">
        <v>2322</v>
      </c>
      <c r="D95" s="184" t="s">
        <v>515</v>
      </c>
      <c r="E95" s="184"/>
      <c r="F95" s="45" t="s">
        <v>374</v>
      </c>
      <c r="G95" s="9" t="n">
        <v>12</v>
      </c>
      <c r="H95" s="185" t="n">
        <f aca="false">'Engineering Assumptions'!$F$23*0.22*1</f>
        <v>3.08</v>
      </c>
      <c r="I95" s="185" t="n">
        <f aca="false">'Engineering Assumptions'!$F$23*1</f>
        <v>14</v>
      </c>
      <c r="J95" s="12" t="n">
        <f aca="false">'Fleet Pricing'!L95</f>
        <v>326500</v>
      </c>
      <c r="K95" s="12" t="n">
        <f aca="false">'Maintenance &amp; Repair'!J95+'Maintenance &amp; Repair'!K95</f>
        <v>72360</v>
      </c>
      <c r="L95" s="186" t="n">
        <f aca="false">IFERROR(K95/J95,0)</f>
        <v>0.221623277182236</v>
      </c>
      <c r="M95" s="9" t="n">
        <f aca="false">MAX(0,'Engineering Assumptions'!$G$23-G95)</f>
        <v>0</v>
      </c>
      <c r="N95" s="187" t="str">
        <f aca="false">IF(G95&gt;=20,"REPLACE",IF(L95&gt;0.6,"REPLACE",IF(G95&gt;=15,"REPLACE",IF(OR(G95&gt;=11,L95&gt;0.4),"MONITOR","KEEP"))))</f>
        <v>MONITOR</v>
      </c>
      <c r="O95" s="188" t="str">
        <f aca="false">IF(G95&gt;=20,"End of life (age &gt; 20)",IF(L95&gt;0.6,"Repairs exceed 60% of revenue",IF(G95&gt;=15,"Age 15+ → replace",IF(OR(G95&gt;=11,L95&gt;0.4),"Watch costs; plan replacement","Healthy — continue operating"))))</f>
        <v>Watch costs; plan replacement</v>
      </c>
      <c r="P95" s="188" t="str">
        <f aca="false">'Engineering Assumptions'!H23</f>
        <v>BOMAG BW138/Dynapac CC1300 ~Rs. 12–18M</v>
      </c>
    </row>
    <row r="96" customFormat="false" ht="15" hidden="false" customHeight="true" outlineLevel="0" collapsed="false">
      <c r="A96" s="9" t="n">
        <v>86</v>
      </c>
      <c r="B96" s="184" t="s">
        <v>103</v>
      </c>
      <c r="C96" s="184" t="s">
        <v>2313</v>
      </c>
      <c r="D96" s="184" t="s">
        <v>498</v>
      </c>
      <c r="E96" s="184"/>
      <c r="F96" s="45" t="s">
        <v>380</v>
      </c>
      <c r="G96" s="9" t="n">
        <v>13</v>
      </c>
      <c r="H96" s="185" t="n">
        <f aca="false">'Engineering Assumptions'!$F$23*0.12*1</f>
        <v>1.68</v>
      </c>
      <c r="I96" s="185" t="n">
        <f aca="false">'Engineering Assumptions'!$F$23*1</f>
        <v>14</v>
      </c>
      <c r="J96" s="12" t="n">
        <f aca="false">'Fleet Pricing'!L96</f>
        <v>326500</v>
      </c>
      <c r="K96" s="12" t="n">
        <f aca="false">'Maintenance &amp; Repair'!J96+'Maintenance &amp; Repair'!K96</f>
        <v>72360</v>
      </c>
      <c r="L96" s="186" t="n">
        <f aca="false">IFERROR(K96/J96,0)</f>
        <v>0.221623277182236</v>
      </c>
      <c r="M96" s="9" t="n">
        <f aca="false">MAX(0,'Engineering Assumptions'!$G$23-G96)</f>
        <v>0</v>
      </c>
      <c r="N96" s="187" t="str">
        <f aca="false">IF(G96&gt;=20,"REPLACE",IF(L96&gt;0.6,"REPLACE",IF(G96&gt;=15,"REPLACE",IF(OR(G96&gt;=11,L96&gt;0.4),"MONITOR","KEEP"))))</f>
        <v>MONITOR</v>
      </c>
      <c r="O96" s="188" t="str">
        <f aca="false">IF(G96&gt;=20,"End of life (age &gt; 20)",IF(L96&gt;0.6,"Repairs exceed 60% of revenue",IF(G96&gt;=15,"Age 15+ → replace",IF(OR(G96&gt;=11,L96&gt;0.4),"Watch costs; plan replacement","Healthy — continue operating"))))</f>
        <v>Watch costs; plan replacement</v>
      </c>
      <c r="P96" s="188" t="str">
        <f aca="false">'Engineering Assumptions'!H23</f>
        <v>BOMAG BW138/Dynapac CC1300 ~Rs. 12–18M</v>
      </c>
    </row>
    <row r="97" customFormat="false" ht="15" hidden="false" customHeight="true" outlineLevel="0" collapsed="false">
      <c r="A97" s="9" t="n">
        <v>87</v>
      </c>
      <c r="B97" s="184" t="s">
        <v>103</v>
      </c>
      <c r="C97" s="184" t="s">
        <v>2324</v>
      </c>
      <c r="D97" s="184" t="s">
        <v>532</v>
      </c>
      <c r="E97" s="184"/>
      <c r="F97" s="45" t="s">
        <v>380</v>
      </c>
      <c r="G97" s="9" t="n">
        <v>13</v>
      </c>
      <c r="H97" s="185" t="n">
        <f aca="false">'Engineering Assumptions'!$F$23*0.12*1</f>
        <v>1.68</v>
      </c>
      <c r="I97" s="185" t="n">
        <f aca="false">'Engineering Assumptions'!$F$23*1</f>
        <v>14</v>
      </c>
      <c r="J97" s="12" t="n">
        <f aca="false">'Fleet Pricing'!L97</f>
        <v>326500</v>
      </c>
      <c r="K97" s="12" t="n">
        <f aca="false">'Maintenance &amp; Repair'!J97+'Maintenance &amp; Repair'!K97</f>
        <v>72360</v>
      </c>
      <c r="L97" s="186" t="n">
        <f aca="false">IFERROR(K97/J97,0)</f>
        <v>0.221623277182236</v>
      </c>
      <c r="M97" s="9" t="n">
        <f aca="false">MAX(0,'Engineering Assumptions'!$G$23-G97)</f>
        <v>0</v>
      </c>
      <c r="N97" s="187" t="str">
        <f aca="false">IF(G97&gt;=20,"REPLACE",IF(L97&gt;0.6,"REPLACE",IF(G97&gt;=15,"REPLACE",IF(OR(G97&gt;=11,L97&gt;0.4),"MONITOR","KEEP"))))</f>
        <v>MONITOR</v>
      </c>
      <c r="O97" s="188" t="str">
        <f aca="false">IF(G97&gt;=20,"End of life (age &gt; 20)",IF(L97&gt;0.6,"Repairs exceed 60% of revenue",IF(G97&gt;=15,"Age 15+ → replace",IF(OR(G97&gt;=11,L97&gt;0.4),"Watch costs; plan replacement","Healthy — continue operating"))))</f>
        <v>Watch costs; plan replacement</v>
      </c>
      <c r="P97" s="188" t="str">
        <f aca="false">'Engineering Assumptions'!H23</f>
        <v>BOMAG BW138/Dynapac CC1300 ~Rs. 12–18M</v>
      </c>
    </row>
    <row r="98" customFormat="false" ht="15" hidden="false" customHeight="true" outlineLevel="0" collapsed="false">
      <c r="A98" s="9" t="n">
        <v>88</v>
      </c>
      <c r="B98" s="184" t="s">
        <v>103</v>
      </c>
      <c r="C98" s="184" t="s">
        <v>2325</v>
      </c>
      <c r="D98" s="184" t="s">
        <v>518</v>
      </c>
      <c r="E98" s="184"/>
      <c r="F98" s="45" t="s">
        <v>380</v>
      </c>
      <c r="G98" s="9" t="n">
        <v>13</v>
      </c>
      <c r="H98" s="185" t="n">
        <f aca="false">'Engineering Assumptions'!$F$23*0.12*1</f>
        <v>1.68</v>
      </c>
      <c r="I98" s="185" t="n">
        <f aca="false">'Engineering Assumptions'!$F$23*1</f>
        <v>14</v>
      </c>
      <c r="J98" s="12" t="n">
        <f aca="false">'Fleet Pricing'!L98</f>
        <v>326500</v>
      </c>
      <c r="K98" s="12" t="n">
        <f aca="false">'Maintenance &amp; Repair'!J98+'Maintenance &amp; Repair'!K98</f>
        <v>72360</v>
      </c>
      <c r="L98" s="186" t="n">
        <f aca="false">IFERROR(K98/J98,0)</f>
        <v>0.221623277182236</v>
      </c>
      <c r="M98" s="9" t="n">
        <f aca="false">MAX(0,'Engineering Assumptions'!$G$23-G98)</f>
        <v>0</v>
      </c>
      <c r="N98" s="187" t="str">
        <f aca="false">IF(G98&gt;=20,"REPLACE",IF(L98&gt;0.6,"REPLACE",IF(G98&gt;=15,"REPLACE",IF(OR(G98&gt;=11,L98&gt;0.4),"MONITOR","KEEP"))))</f>
        <v>MONITOR</v>
      </c>
      <c r="O98" s="188" t="str">
        <f aca="false">IF(G98&gt;=20,"End of life (age &gt; 20)",IF(L98&gt;0.6,"Repairs exceed 60% of revenue",IF(G98&gt;=15,"Age 15+ → replace",IF(OR(G98&gt;=11,L98&gt;0.4),"Watch costs; plan replacement","Healthy — continue operating"))))</f>
        <v>Watch costs; plan replacement</v>
      </c>
      <c r="P98" s="188" t="str">
        <f aca="false">'Engineering Assumptions'!H23</f>
        <v>BOMAG BW138/Dynapac CC1300 ~Rs. 12–18M</v>
      </c>
    </row>
    <row r="99" customFormat="false" ht="15" hidden="false" customHeight="true" outlineLevel="0" collapsed="false">
      <c r="A99" s="9" t="n">
        <v>89</v>
      </c>
      <c r="B99" s="184" t="s">
        <v>103</v>
      </c>
      <c r="C99" s="184" t="s">
        <v>2325</v>
      </c>
      <c r="D99" s="184" t="s">
        <v>533</v>
      </c>
      <c r="E99" s="184"/>
      <c r="F99" s="45" t="s">
        <v>380</v>
      </c>
      <c r="G99" s="9" t="n">
        <v>13</v>
      </c>
      <c r="H99" s="185" t="n">
        <f aca="false">'Engineering Assumptions'!$F$23*0.12*1</f>
        <v>1.68</v>
      </c>
      <c r="I99" s="185" t="n">
        <f aca="false">'Engineering Assumptions'!$F$23*1</f>
        <v>14</v>
      </c>
      <c r="J99" s="12" t="n">
        <f aca="false">'Fleet Pricing'!L99</f>
        <v>326500</v>
      </c>
      <c r="K99" s="12" t="n">
        <f aca="false">'Maintenance &amp; Repair'!J99+'Maintenance &amp; Repair'!K99</f>
        <v>72360</v>
      </c>
      <c r="L99" s="186" t="n">
        <f aca="false">IFERROR(K99/J99,0)</f>
        <v>0.221623277182236</v>
      </c>
      <c r="M99" s="9" t="n">
        <f aca="false">MAX(0,'Engineering Assumptions'!$G$23-G99)</f>
        <v>0</v>
      </c>
      <c r="N99" s="187" t="str">
        <f aca="false">IF(G99&gt;=20,"REPLACE",IF(L99&gt;0.6,"REPLACE",IF(G99&gt;=15,"REPLACE",IF(OR(G99&gt;=11,L99&gt;0.4),"MONITOR","KEEP"))))</f>
        <v>MONITOR</v>
      </c>
      <c r="O99" s="188" t="str">
        <f aca="false">IF(G99&gt;=20,"End of life (age &gt; 20)",IF(L99&gt;0.6,"Repairs exceed 60% of revenue",IF(G99&gt;=15,"Age 15+ → replace",IF(OR(G99&gt;=11,L99&gt;0.4),"Watch costs; plan replacement","Healthy — continue operating"))))</f>
        <v>Watch costs; plan replacement</v>
      </c>
      <c r="P99" s="188" t="str">
        <f aca="false">'Engineering Assumptions'!H23</f>
        <v>BOMAG BW138/Dynapac CC1300 ~Rs. 12–18M</v>
      </c>
    </row>
    <row r="100" customFormat="false" ht="15" hidden="false" customHeight="true" outlineLevel="0" collapsed="false">
      <c r="A100" s="9" t="n">
        <v>90</v>
      </c>
      <c r="B100" s="184" t="s">
        <v>103</v>
      </c>
      <c r="C100" s="184" t="s">
        <v>2321</v>
      </c>
      <c r="D100" s="184" t="s">
        <v>521</v>
      </c>
      <c r="E100" s="184"/>
      <c r="F100" s="45" t="s">
        <v>380</v>
      </c>
      <c r="G100" s="9" t="n">
        <v>13</v>
      </c>
      <c r="H100" s="185" t="n">
        <f aca="false">'Engineering Assumptions'!$F$23*0.12*1</f>
        <v>1.68</v>
      </c>
      <c r="I100" s="185" t="n">
        <f aca="false">'Engineering Assumptions'!$F$23*1</f>
        <v>14</v>
      </c>
      <c r="J100" s="12" t="n">
        <f aca="false">'Fleet Pricing'!L100</f>
        <v>326500</v>
      </c>
      <c r="K100" s="12" t="n">
        <f aca="false">'Maintenance &amp; Repair'!J100+'Maintenance &amp; Repair'!K100</f>
        <v>72360</v>
      </c>
      <c r="L100" s="186" t="n">
        <f aca="false">IFERROR(K100/J100,0)</f>
        <v>0.221623277182236</v>
      </c>
      <c r="M100" s="9" t="n">
        <f aca="false">MAX(0,'Engineering Assumptions'!$G$23-G100)</f>
        <v>0</v>
      </c>
      <c r="N100" s="187" t="str">
        <f aca="false">IF(G100&gt;=20,"REPLACE",IF(L100&gt;0.6,"REPLACE",IF(G100&gt;=15,"REPLACE",IF(OR(G100&gt;=11,L100&gt;0.4),"MONITOR","KEEP"))))</f>
        <v>MONITOR</v>
      </c>
      <c r="O100" s="188" t="str">
        <f aca="false">IF(G100&gt;=20,"End of life (age &gt; 20)",IF(L100&gt;0.6,"Repairs exceed 60% of revenue",IF(G100&gt;=15,"Age 15+ → replace",IF(OR(G100&gt;=11,L100&gt;0.4),"Watch costs; plan replacement","Healthy — continue operating"))))</f>
        <v>Watch costs; plan replacement</v>
      </c>
      <c r="P100" s="188" t="str">
        <f aca="false">'Engineering Assumptions'!H23</f>
        <v>BOMAG BW138/Dynapac CC1300 ~Rs. 12–18M</v>
      </c>
    </row>
    <row r="101" customFormat="false" ht="15" hidden="false" customHeight="true" outlineLevel="0" collapsed="false">
      <c r="A101" s="9" t="n">
        <v>91</v>
      </c>
      <c r="B101" s="184" t="s">
        <v>103</v>
      </c>
      <c r="C101" s="184" t="s">
        <v>2321</v>
      </c>
      <c r="D101" s="184" t="s">
        <v>541</v>
      </c>
      <c r="E101" s="184"/>
      <c r="F101" s="45" t="s">
        <v>380</v>
      </c>
      <c r="G101" s="9" t="n">
        <v>13</v>
      </c>
      <c r="H101" s="185" t="n">
        <f aca="false">'Engineering Assumptions'!$F$23*0.12*1</f>
        <v>1.68</v>
      </c>
      <c r="I101" s="185" t="n">
        <f aca="false">'Engineering Assumptions'!$F$23*1</f>
        <v>14</v>
      </c>
      <c r="J101" s="12" t="n">
        <f aca="false">'Fleet Pricing'!L101</f>
        <v>326500</v>
      </c>
      <c r="K101" s="12" t="n">
        <f aca="false">'Maintenance &amp; Repair'!J101+'Maintenance &amp; Repair'!K101</f>
        <v>72360</v>
      </c>
      <c r="L101" s="186" t="n">
        <f aca="false">IFERROR(K101/J101,0)</f>
        <v>0.221623277182236</v>
      </c>
      <c r="M101" s="9" t="n">
        <f aca="false">MAX(0,'Engineering Assumptions'!$G$23-G101)</f>
        <v>0</v>
      </c>
      <c r="N101" s="187" t="str">
        <f aca="false">IF(G101&gt;=20,"REPLACE",IF(L101&gt;0.6,"REPLACE",IF(G101&gt;=15,"REPLACE",IF(OR(G101&gt;=11,L101&gt;0.4),"MONITOR","KEEP"))))</f>
        <v>MONITOR</v>
      </c>
      <c r="O101" s="188" t="str">
        <f aca="false">IF(G101&gt;=20,"End of life (age &gt; 20)",IF(L101&gt;0.6,"Repairs exceed 60% of revenue",IF(G101&gt;=15,"Age 15+ → replace",IF(OR(G101&gt;=11,L101&gt;0.4),"Watch costs; plan replacement","Healthy — continue operating"))))</f>
        <v>Watch costs; plan replacement</v>
      </c>
      <c r="P101" s="188" t="str">
        <f aca="false">'Engineering Assumptions'!H23</f>
        <v>BOMAG BW138/Dynapac CC1300 ~Rs. 12–18M</v>
      </c>
    </row>
    <row r="102" customFormat="false" ht="15" hidden="false" customHeight="true" outlineLevel="0" collapsed="false">
      <c r="A102" s="9" t="n">
        <v>92</v>
      </c>
      <c r="B102" s="184" t="s">
        <v>103</v>
      </c>
      <c r="C102" s="184" t="s">
        <v>2326</v>
      </c>
      <c r="D102" s="184" t="s">
        <v>523</v>
      </c>
      <c r="E102" s="184"/>
      <c r="F102" s="45" t="s">
        <v>380</v>
      </c>
      <c r="G102" s="9" t="n">
        <v>13</v>
      </c>
      <c r="H102" s="185" t="n">
        <f aca="false">'Engineering Assumptions'!$F$23*0.12*1</f>
        <v>1.68</v>
      </c>
      <c r="I102" s="185" t="n">
        <f aca="false">'Engineering Assumptions'!$F$23*1</f>
        <v>14</v>
      </c>
      <c r="J102" s="12" t="n">
        <f aca="false">'Fleet Pricing'!L102</f>
        <v>326500</v>
      </c>
      <c r="K102" s="12" t="n">
        <f aca="false">'Maintenance &amp; Repair'!J102+'Maintenance &amp; Repair'!K102</f>
        <v>72360</v>
      </c>
      <c r="L102" s="186" t="n">
        <f aca="false">IFERROR(K102/J102,0)</f>
        <v>0.221623277182236</v>
      </c>
      <c r="M102" s="9" t="n">
        <f aca="false">MAX(0,'Engineering Assumptions'!$G$23-G102)</f>
        <v>0</v>
      </c>
      <c r="N102" s="187" t="str">
        <f aca="false">IF(G102&gt;=20,"REPLACE",IF(L102&gt;0.6,"REPLACE",IF(G102&gt;=15,"REPLACE",IF(OR(G102&gt;=11,L102&gt;0.4),"MONITOR","KEEP"))))</f>
        <v>MONITOR</v>
      </c>
      <c r="O102" s="188" t="str">
        <f aca="false">IF(G102&gt;=20,"End of life (age &gt; 20)",IF(L102&gt;0.6,"Repairs exceed 60% of revenue",IF(G102&gt;=15,"Age 15+ → replace",IF(OR(G102&gt;=11,L102&gt;0.4),"Watch costs; plan replacement","Healthy — continue operating"))))</f>
        <v>Watch costs; plan replacement</v>
      </c>
      <c r="P102" s="188" t="str">
        <f aca="false">'Engineering Assumptions'!H23</f>
        <v>BOMAG BW138/Dynapac CC1300 ~Rs. 12–18M</v>
      </c>
    </row>
    <row r="103" customFormat="false" ht="15" hidden="false" customHeight="true" outlineLevel="0" collapsed="false">
      <c r="A103" s="9" t="n">
        <v>93</v>
      </c>
      <c r="B103" s="184" t="s">
        <v>103</v>
      </c>
      <c r="C103" s="184" t="s">
        <v>2327</v>
      </c>
      <c r="D103" s="184" t="s">
        <v>525</v>
      </c>
      <c r="E103" s="184"/>
      <c r="F103" s="45" t="s">
        <v>380</v>
      </c>
      <c r="G103" s="9" t="n">
        <v>13</v>
      </c>
      <c r="H103" s="185" t="n">
        <f aca="false">'Engineering Assumptions'!$F$23*0.12*1</f>
        <v>1.68</v>
      </c>
      <c r="I103" s="185" t="n">
        <f aca="false">'Engineering Assumptions'!$F$23*1</f>
        <v>14</v>
      </c>
      <c r="J103" s="12" t="n">
        <f aca="false">'Fleet Pricing'!L103</f>
        <v>326500</v>
      </c>
      <c r="K103" s="12" t="n">
        <f aca="false">'Maintenance &amp; Repair'!J103+'Maintenance &amp; Repair'!K103</f>
        <v>72360</v>
      </c>
      <c r="L103" s="186" t="n">
        <f aca="false">IFERROR(K103/J103,0)</f>
        <v>0.221623277182236</v>
      </c>
      <c r="M103" s="9" t="n">
        <f aca="false">MAX(0,'Engineering Assumptions'!$G$23-G103)</f>
        <v>0</v>
      </c>
      <c r="N103" s="187" t="str">
        <f aca="false">IF(G103&gt;=20,"REPLACE",IF(L103&gt;0.6,"REPLACE",IF(G103&gt;=15,"REPLACE",IF(OR(G103&gt;=11,L103&gt;0.4),"MONITOR","KEEP"))))</f>
        <v>MONITOR</v>
      </c>
      <c r="O103" s="188" t="str">
        <f aca="false">IF(G103&gt;=20,"End of life (age &gt; 20)",IF(L103&gt;0.6,"Repairs exceed 60% of revenue",IF(G103&gt;=15,"Age 15+ → replace",IF(OR(G103&gt;=11,L103&gt;0.4),"Watch costs; plan replacement","Healthy — continue operating"))))</f>
        <v>Watch costs; plan replacement</v>
      </c>
      <c r="P103" s="188" t="str">
        <f aca="false">'Engineering Assumptions'!H23</f>
        <v>BOMAG BW138/Dynapac CC1300 ~Rs. 12–18M</v>
      </c>
    </row>
    <row r="104" customFormat="false" ht="15" hidden="false" customHeight="true" outlineLevel="0" collapsed="false">
      <c r="A104" s="9" t="n">
        <v>94</v>
      </c>
      <c r="B104" s="184" t="s">
        <v>103</v>
      </c>
      <c r="C104" s="184" t="s">
        <v>2328</v>
      </c>
      <c r="D104" s="184" t="s">
        <v>527</v>
      </c>
      <c r="E104" s="184"/>
      <c r="F104" s="45" t="s">
        <v>380</v>
      </c>
      <c r="G104" s="9" t="n">
        <v>13</v>
      </c>
      <c r="H104" s="185" t="n">
        <f aca="false">'Engineering Assumptions'!$F$23*0.12*1</f>
        <v>1.68</v>
      </c>
      <c r="I104" s="185" t="n">
        <f aca="false">'Engineering Assumptions'!$F$23*1</f>
        <v>14</v>
      </c>
      <c r="J104" s="12" t="n">
        <f aca="false">'Fleet Pricing'!L104</f>
        <v>326500</v>
      </c>
      <c r="K104" s="12" t="n">
        <f aca="false">'Maintenance &amp; Repair'!J104+'Maintenance &amp; Repair'!K104</f>
        <v>72360</v>
      </c>
      <c r="L104" s="186" t="n">
        <f aca="false">IFERROR(K104/J104,0)</f>
        <v>0.221623277182236</v>
      </c>
      <c r="M104" s="9" t="n">
        <f aca="false">MAX(0,'Engineering Assumptions'!$G$23-G104)</f>
        <v>0</v>
      </c>
      <c r="N104" s="187" t="str">
        <f aca="false">IF(G104&gt;=20,"REPLACE",IF(L104&gt;0.6,"REPLACE",IF(G104&gt;=15,"REPLACE",IF(OR(G104&gt;=11,L104&gt;0.4),"MONITOR","KEEP"))))</f>
        <v>MONITOR</v>
      </c>
      <c r="O104" s="188" t="str">
        <f aca="false">IF(G104&gt;=20,"End of life (age &gt; 20)",IF(L104&gt;0.6,"Repairs exceed 60% of revenue",IF(G104&gt;=15,"Age 15+ → replace",IF(OR(G104&gt;=11,L104&gt;0.4),"Watch costs; plan replacement","Healthy — continue operating"))))</f>
        <v>Watch costs; plan replacement</v>
      </c>
      <c r="P104" s="188" t="str">
        <f aca="false">'Engineering Assumptions'!H23</f>
        <v>BOMAG BW138/Dynapac CC1300 ~Rs. 12–18M</v>
      </c>
    </row>
    <row r="105" customFormat="false" ht="15" hidden="false" customHeight="true" outlineLevel="0" collapsed="false">
      <c r="A105" s="9" t="n">
        <v>95</v>
      </c>
      <c r="B105" s="184" t="s">
        <v>103</v>
      </c>
      <c r="C105" s="184" t="s">
        <v>2329</v>
      </c>
      <c r="D105" s="184" t="s">
        <v>529</v>
      </c>
      <c r="E105" s="184"/>
      <c r="F105" s="45" t="s">
        <v>380</v>
      </c>
      <c r="G105" s="9" t="n">
        <v>13</v>
      </c>
      <c r="H105" s="185" t="n">
        <f aca="false">'Engineering Assumptions'!$F$23*0.12*1</f>
        <v>1.68</v>
      </c>
      <c r="I105" s="185" t="n">
        <f aca="false">'Engineering Assumptions'!$F$23*1</f>
        <v>14</v>
      </c>
      <c r="J105" s="12" t="n">
        <f aca="false">'Fleet Pricing'!L105</f>
        <v>326500</v>
      </c>
      <c r="K105" s="12" t="n">
        <f aca="false">'Maintenance &amp; Repair'!J105+'Maintenance &amp; Repair'!K105</f>
        <v>72360</v>
      </c>
      <c r="L105" s="186" t="n">
        <f aca="false">IFERROR(K105/J105,0)</f>
        <v>0.221623277182236</v>
      </c>
      <c r="M105" s="9" t="n">
        <f aca="false">MAX(0,'Engineering Assumptions'!$G$23-G105)</f>
        <v>0</v>
      </c>
      <c r="N105" s="187" t="str">
        <f aca="false">IF(G105&gt;=20,"REPLACE",IF(L105&gt;0.6,"REPLACE",IF(G105&gt;=15,"REPLACE",IF(OR(G105&gt;=11,L105&gt;0.4),"MONITOR","KEEP"))))</f>
        <v>MONITOR</v>
      </c>
      <c r="O105" s="188" t="str">
        <f aca="false">IF(G105&gt;=20,"End of life (age &gt; 20)",IF(L105&gt;0.6,"Repairs exceed 60% of revenue",IF(G105&gt;=15,"Age 15+ → replace",IF(OR(G105&gt;=11,L105&gt;0.4),"Watch costs; plan replacement","Healthy — continue operating"))))</f>
        <v>Watch costs; plan replacement</v>
      </c>
      <c r="P105" s="188" t="str">
        <f aca="false">'Engineering Assumptions'!H23</f>
        <v>BOMAG BW138/Dynapac CC1300 ~Rs. 12–18M</v>
      </c>
    </row>
    <row r="106" customFormat="false" ht="15" hidden="false" customHeight="true" outlineLevel="0" collapsed="false">
      <c r="A106" s="9" t="n">
        <v>96</v>
      </c>
      <c r="B106" s="184" t="s">
        <v>103</v>
      </c>
      <c r="C106" s="184" t="s">
        <v>2313</v>
      </c>
      <c r="D106" s="184" t="s">
        <v>516</v>
      </c>
      <c r="E106" s="184"/>
      <c r="F106" s="45" t="s">
        <v>310</v>
      </c>
      <c r="G106" s="9" t="n">
        <v>14</v>
      </c>
      <c r="H106" s="185" t="n">
        <f aca="false">'Engineering Assumptions'!$F$23*0.12*1</f>
        <v>1.68</v>
      </c>
      <c r="I106" s="185" t="n">
        <f aca="false">'Engineering Assumptions'!$F$23*1</f>
        <v>14</v>
      </c>
      <c r="J106" s="12" t="n">
        <f aca="false">'Fleet Pricing'!L106</f>
        <v>326500</v>
      </c>
      <c r="K106" s="12" t="n">
        <f aca="false">'Maintenance &amp; Repair'!J106+'Maintenance &amp; Repair'!K106</f>
        <v>72360</v>
      </c>
      <c r="L106" s="186" t="n">
        <f aca="false">IFERROR(K106/J106,0)</f>
        <v>0.221623277182236</v>
      </c>
      <c r="M106" s="9" t="n">
        <f aca="false">MAX(0,'Engineering Assumptions'!$G$23-G106)</f>
        <v>0</v>
      </c>
      <c r="N106" s="187" t="str">
        <f aca="false">IF(G106&gt;=20,"REPLACE",IF(L106&gt;0.6,"REPLACE",IF(G106&gt;=15,"REPLACE",IF(OR(G106&gt;=11,L106&gt;0.4),"MONITOR","KEEP"))))</f>
        <v>MONITOR</v>
      </c>
      <c r="O106" s="188" t="str">
        <f aca="false">IF(G106&gt;=20,"End of life (age &gt; 20)",IF(L106&gt;0.6,"Repairs exceed 60% of revenue",IF(G106&gt;=15,"Age 15+ → replace",IF(OR(G106&gt;=11,L106&gt;0.4),"Watch costs; plan replacement","Healthy — continue operating"))))</f>
        <v>Watch costs; plan replacement</v>
      </c>
      <c r="P106" s="188" t="str">
        <f aca="false">'Engineering Assumptions'!H23</f>
        <v>BOMAG BW138/Dynapac CC1300 ~Rs. 12–18M</v>
      </c>
    </row>
    <row r="107" customFormat="false" ht="15" hidden="false" customHeight="true" outlineLevel="0" collapsed="false">
      <c r="A107" s="9" t="n">
        <v>97</v>
      </c>
      <c r="B107" s="184" t="s">
        <v>103</v>
      </c>
      <c r="C107" s="184" t="s">
        <v>2313</v>
      </c>
      <c r="D107" s="184" t="s">
        <v>542</v>
      </c>
      <c r="E107" s="184"/>
      <c r="F107" s="45" t="s">
        <v>310</v>
      </c>
      <c r="G107" s="9" t="n">
        <v>14</v>
      </c>
      <c r="H107" s="185" t="n">
        <f aca="false">'Engineering Assumptions'!$F$23*0.12*1</f>
        <v>1.68</v>
      </c>
      <c r="I107" s="185" t="n">
        <f aca="false">'Engineering Assumptions'!$F$23*1</f>
        <v>14</v>
      </c>
      <c r="J107" s="12" t="n">
        <f aca="false">'Fleet Pricing'!L107</f>
        <v>326500</v>
      </c>
      <c r="K107" s="12" t="n">
        <f aca="false">'Maintenance &amp; Repair'!J107+'Maintenance &amp; Repair'!K107</f>
        <v>72360</v>
      </c>
      <c r="L107" s="186" t="n">
        <f aca="false">IFERROR(K107/J107,0)</f>
        <v>0.221623277182236</v>
      </c>
      <c r="M107" s="9" t="n">
        <f aca="false">MAX(0,'Engineering Assumptions'!$G$23-G107)</f>
        <v>0</v>
      </c>
      <c r="N107" s="187" t="str">
        <f aca="false">IF(G107&gt;=20,"REPLACE",IF(L107&gt;0.6,"REPLACE",IF(G107&gt;=15,"REPLACE",IF(OR(G107&gt;=11,L107&gt;0.4),"MONITOR","KEEP"))))</f>
        <v>MONITOR</v>
      </c>
      <c r="O107" s="188" t="str">
        <f aca="false">IF(G107&gt;=20,"End of life (age &gt; 20)",IF(L107&gt;0.6,"Repairs exceed 60% of revenue",IF(G107&gt;=15,"Age 15+ → replace",IF(OR(G107&gt;=11,L107&gt;0.4),"Watch costs; plan replacement","Healthy — continue operating"))))</f>
        <v>Watch costs; plan replacement</v>
      </c>
      <c r="P107" s="188" t="str">
        <f aca="false">'Engineering Assumptions'!H23</f>
        <v>BOMAG BW138/Dynapac CC1300 ~Rs. 12–18M</v>
      </c>
    </row>
    <row r="108" customFormat="false" ht="15" hidden="false" customHeight="true" outlineLevel="0" collapsed="false">
      <c r="A108" s="9" t="n">
        <v>98</v>
      </c>
      <c r="B108" s="184" t="s">
        <v>103</v>
      </c>
      <c r="C108" s="184" t="s">
        <v>2330</v>
      </c>
      <c r="D108" s="184" t="s">
        <v>534</v>
      </c>
      <c r="E108" s="184"/>
      <c r="F108" s="45" t="s">
        <v>310</v>
      </c>
      <c r="G108" s="9" t="n">
        <v>14</v>
      </c>
      <c r="H108" s="185" t="n">
        <f aca="false">'Engineering Assumptions'!$F$23*0.12*1</f>
        <v>1.68</v>
      </c>
      <c r="I108" s="185" t="n">
        <f aca="false">'Engineering Assumptions'!$F$23*1</f>
        <v>14</v>
      </c>
      <c r="J108" s="12" t="n">
        <f aca="false">'Fleet Pricing'!L108</f>
        <v>326500</v>
      </c>
      <c r="K108" s="12" t="n">
        <f aca="false">'Maintenance &amp; Repair'!J108+'Maintenance &amp; Repair'!K108</f>
        <v>72360</v>
      </c>
      <c r="L108" s="186" t="n">
        <f aca="false">IFERROR(K108/J108,0)</f>
        <v>0.221623277182236</v>
      </c>
      <c r="M108" s="9" t="n">
        <f aca="false">MAX(0,'Engineering Assumptions'!$G$23-G108)</f>
        <v>0</v>
      </c>
      <c r="N108" s="187" t="str">
        <f aca="false">IF(G108&gt;=20,"REPLACE",IF(L108&gt;0.6,"REPLACE",IF(G108&gt;=15,"REPLACE",IF(OR(G108&gt;=11,L108&gt;0.4),"MONITOR","KEEP"))))</f>
        <v>MONITOR</v>
      </c>
      <c r="O108" s="188" t="str">
        <f aca="false">IF(G108&gt;=20,"End of life (age &gt; 20)",IF(L108&gt;0.6,"Repairs exceed 60% of revenue",IF(G108&gt;=15,"Age 15+ → replace",IF(OR(G108&gt;=11,L108&gt;0.4),"Watch costs; plan replacement","Healthy — continue operating"))))</f>
        <v>Watch costs; plan replacement</v>
      </c>
      <c r="P108" s="188" t="str">
        <f aca="false">'Engineering Assumptions'!H23</f>
        <v>BOMAG BW138/Dynapac CC1300 ~Rs. 12–18M</v>
      </c>
    </row>
    <row r="109" customFormat="false" ht="15" hidden="false" customHeight="true" outlineLevel="0" collapsed="false">
      <c r="A109" s="9" t="n">
        <v>99</v>
      </c>
      <c r="B109" s="184" t="s">
        <v>103</v>
      </c>
      <c r="C109" s="184" t="s">
        <v>2331</v>
      </c>
      <c r="D109" s="184" t="s">
        <v>496</v>
      </c>
      <c r="E109" s="184"/>
      <c r="F109" s="45" t="s">
        <v>310</v>
      </c>
      <c r="G109" s="9" t="n">
        <v>14</v>
      </c>
      <c r="H109" s="185" t="n">
        <f aca="false">'Engineering Assumptions'!$F$23*0.12*1</f>
        <v>1.68</v>
      </c>
      <c r="I109" s="185" t="n">
        <f aca="false">'Engineering Assumptions'!$F$23*1</f>
        <v>14</v>
      </c>
      <c r="J109" s="12" t="n">
        <f aca="false">'Fleet Pricing'!L109</f>
        <v>326500</v>
      </c>
      <c r="K109" s="12" t="n">
        <f aca="false">'Maintenance &amp; Repair'!J109+'Maintenance &amp; Repair'!K109</f>
        <v>72360</v>
      </c>
      <c r="L109" s="186" t="n">
        <f aca="false">IFERROR(K109/J109,0)</f>
        <v>0.221623277182236</v>
      </c>
      <c r="M109" s="9" t="n">
        <f aca="false">MAX(0,'Engineering Assumptions'!$G$23-G109)</f>
        <v>0</v>
      </c>
      <c r="N109" s="187" t="str">
        <f aca="false">IF(G109&gt;=20,"REPLACE",IF(L109&gt;0.6,"REPLACE",IF(G109&gt;=15,"REPLACE",IF(OR(G109&gt;=11,L109&gt;0.4),"MONITOR","KEEP"))))</f>
        <v>MONITOR</v>
      </c>
      <c r="O109" s="188" t="str">
        <f aca="false">IF(G109&gt;=20,"End of life (age &gt; 20)",IF(L109&gt;0.6,"Repairs exceed 60% of revenue",IF(G109&gt;=15,"Age 15+ → replace",IF(OR(G109&gt;=11,L109&gt;0.4),"Watch costs; plan replacement","Healthy — continue operating"))))</f>
        <v>Watch costs; plan replacement</v>
      </c>
      <c r="P109" s="188" t="str">
        <f aca="false">'Engineering Assumptions'!H23</f>
        <v>BOMAG BW138/Dynapac CC1300 ~Rs. 12–18M</v>
      </c>
    </row>
    <row r="110" customFormat="false" ht="15" hidden="false" customHeight="true" outlineLevel="0" collapsed="false">
      <c r="A110" s="9" t="n">
        <v>100</v>
      </c>
      <c r="B110" s="184" t="s">
        <v>103</v>
      </c>
      <c r="C110" s="184" t="s">
        <v>2313</v>
      </c>
      <c r="D110" s="184" t="s">
        <v>495</v>
      </c>
      <c r="E110" s="184"/>
      <c r="F110" s="45" t="s">
        <v>389</v>
      </c>
      <c r="G110" s="9" t="n">
        <v>16</v>
      </c>
      <c r="H110" s="185" t="n">
        <f aca="false">'Engineering Assumptions'!$F$23*0.12*1</f>
        <v>1.68</v>
      </c>
      <c r="I110" s="185" t="n">
        <f aca="false">'Engineering Assumptions'!$F$23*1</f>
        <v>14</v>
      </c>
      <c r="J110" s="12" t="n">
        <f aca="false">'Fleet Pricing'!L110</f>
        <v>326500</v>
      </c>
      <c r="K110" s="12" t="n">
        <f aca="false">'Maintenance &amp; Repair'!J110+'Maintenance &amp; Repair'!K110</f>
        <v>102600</v>
      </c>
      <c r="L110" s="186" t="n">
        <f aca="false">IFERROR(K110/J110,0)</f>
        <v>0.314241960183767</v>
      </c>
      <c r="M110" s="9" t="n">
        <f aca="false">MAX(0,'Engineering Assumptions'!$G$23-G110)</f>
        <v>0</v>
      </c>
      <c r="N110" s="187" t="str">
        <f aca="false">IF(G110&gt;=20,"REPLACE",IF(L110&gt;0.6,"REPLACE",IF(G110&gt;=15,"REPLACE",IF(OR(G110&gt;=11,L110&gt;0.4),"MONITOR","KEEP"))))</f>
        <v>REPLACE</v>
      </c>
      <c r="O110" s="188" t="str">
        <f aca="false">IF(G110&gt;=20,"End of life (age &gt; 20)",IF(L110&gt;0.6,"Repairs exceed 60% of revenue",IF(G110&gt;=15,"Age 15+ → replace",IF(OR(G110&gt;=11,L110&gt;0.4),"Watch costs; plan replacement","Healthy — continue operating"))))</f>
        <v>Age 15+ → replace</v>
      </c>
      <c r="P110" s="188" t="str">
        <f aca="false">'Engineering Assumptions'!H23</f>
        <v>BOMAG BW138/Dynapac CC1300 ~Rs. 12–18M</v>
      </c>
    </row>
    <row r="111" customFormat="false" ht="15" hidden="false" customHeight="true" outlineLevel="0" collapsed="false">
      <c r="A111" s="9" t="n">
        <v>101</v>
      </c>
      <c r="B111" s="184" t="s">
        <v>103</v>
      </c>
      <c r="C111" s="184" t="s">
        <v>2313</v>
      </c>
      <c r="D111" s="184" t="s">
        <v>511</v>
      </c>
      <c r="E111" s="184"/>
      <c r="F111" s="45" t="s">
        <v>389</v>
      </c>
      <c r="G111" s="9" t="n">
        <v>16</v>
      </c>
      <c r="H111" s="185" t="n">
        <f aca="false">'Engineering Assumptions'!$F$23*0.12*1</f>
        <v>1.68</v>
      </c>
      <c r="I111" s="185" t="n">
        <f aca="false">'Engineering Assumptions'!$F$23*1</f>
        <v>14</v>
      </c>
      <c r="J111" s="12" t="n">
        <f aca="false">'Fleet Pricing'!L111</f>
        <v>326500</v>
      </c>
      <c r="K111" s="12" t="n">
        <f aca="false">'Maintenance &amp; Repair'!J111+'Maintenance &amp; Repair'!K111</f>
        <v>102600</v>
      </c>
      <c r="L111" s="186" t="n">
        <f aca="false">IFERROR(K111/J111,0)</f>
        <v>0.314241960183767</v>
      </c>
      <c r="M111" s="9" t="n">
        <f aca="false">MAX(0,'Engineering Assumptions'!$G$23-G111)</f>
        <v>0</v>
      </c>
      <c r="N111" s="187" t="str">
        <f aca="false">IF(G111&gt;=20,"REPLACE",IF(L111&gt;0.6,"REPLACE",IF(G111&gt;=15,"REPLACE",IF(OR(G111&gt;=11,L111&gt;0.4),"MONITOR","KEEP"))))</f>
        <v>REPLACE</v>
      </c>
      <c r="O111" s="188" t="str">
        <f aca="false">IF(G111&gt;=20,"End of life (age &gt; 20)",IF(L111&gt;0.6,"Repairs exceed 60% of revenue",IF(G111&gt;=15,"Age 15+ → replace",IF(OR(G111&gt;=11,L111&gt;0.4),"Watch costs; plan replacement","Healthy — continue operating"))))</f>
        <v>Age 15+ → replace</v>
      </c>
      <c r="P111" s="188" t="str">
        <f aca="false">'Engineering Assumptions'!H23</f>
        <v>BOMAG BW138/Dynapac CC1300 ~Rs. 12–18M</v>
      </c>
    </row>
    <row r="112" customFormat="false" ht="15" hidden="false" customHeight="true" outlineLevel="0" collapsed="false">
      <c r="A112" s="9" t="n">
        <v>102</v>
      </c>
      <c r="B112" s="184" t="s">
        <v>103</v>
      </c>
      <c r="C112" s="184" t="s">
        <v>2313</v>
      </c>
      <c r="D112" s="184" t="s">
        <v>535</v>
      </c>
      <c r="E112" s="184"/>
      <c r="F112" s="45" t="s">
        <v>472</v>
      </c>
      <c r="G112" s="9" t="n">
        <v>30</v>
      </c>
      <c r="H112" s="185" t="n">
        <f aca="false">'Engineering Assumptions'!$F$23*0.03*1</f>
        <v>0.42</v>
      </c>
      <c r="I112" s="185" t="n">
        <f aca="false">'Engineering Assumptions'!$F$23*1</f>
        <v>14</v>
      </c>
      <c r="J112" s="12" t="n">
        <f aca="false">'Fleet Pricing'!L112</f>
        <v>230500</v>
      </c>
      <c r="K112" s="12" t="n">
        <f aca="false">'Maintenance &amp; Repair'!J112+'Maintenance &amp; Repair'!K112</f>
        <v>138240</v>
      </c>
      <c r="L112" s="186" t="n">
        <f aca="false">IFERROR(K112/J112,0)</f>
        <v>0.599739696312365</v>
      </c>
      <c r="M112" s="9" t="n">
        <f aca="false">MAX(0,'Engineering Assumptions'!$G$23-G112)</f>
        <v>0</v>
      </c>
      <c r="N112" s="187" t="str">
        <f aca="false">IF(G112&gt;=20,"REPLACE",IF(L112&gt;0.6,"REPLACE",IF(G112&gt;=15,"REPLACE",IF(OR(G112&gt;=11,L112&gt;0.4),"MONITOR","KEEP"))))</f>
        <v>REPLACE</v>
      </c>
      <c r="O112" s="188" t="str">
        <f aca="false">IF(G112&gt;=20,"End of life (age &gt; 20)",IF(L112&gt;0.6,"Repairs exceed 60% of revenue",IF(G112&gt;=15,"Age 15+ → replace",IF(OR(G112&gt;=11,L112&gt;0.4),"Watch costs; plan replacement","Healthy — continue operating"))))</f>
        <v>End of life (age &gt; 20)</v>
      </c>
      <c r="P112" s="188" t="str">
        <f aca="false">'Engineering Assumptions'!H23</f>
        <v>BOMAG BW138/Dynapac CC1300 ~Rs. 12–18M</v>
      </c>
    </row>
    <row r="113" customFormat="false" ht="15" hidden="false" customHeight="true" outlineLevel="0" collapsed="false">
      <c r="A113" s="9" t="n">
        <v>103</v>
      </c>
      <c r="B113" s="184" t="s">
        <v>103</v>
      </c>
      <c r="C113" s="184" t="s">
        <v>2313</v>
      </c>
      <c r="D113" s="184" t="s">
        <v>536</v>
      </c>
      <c r="E113" s="184"/>
      <c r="F113" s="45" t="s">
        <v>472</v>
      </c>
      <c r="G113" s="9" t="n">
        <v>30</v>
      </c>
      <c r="H113" s="185" t="n">
        <f aca="false">'Engineering Assumptions'!$F$23*0.03*1</f>
        <v>0.42</v>
      </c>
      <c r="I113" s="185" t="n">
        <f aca="false">'Engineering Assumptions'!$F$23*1</f>
        <v>14</v>
      </c>
      <c r="J113" s="12" t="n">
        <f aca="false">'Fleet Pricing'!L113</f>
        <v>230500</v>
      </c>
      <c r="K113" s="12" t="n">
        <f aca="false">'Maintenance &amp; Repair'!J113+'Maintenance &amp; Repair'!K113</f>
        <v>138240</v>
      </c>
      <c r="L113" s="186" t="n">
        <f aca="false">IFERROR(K113/J113,0)</f>
        <v>0.599739696312365</v>
      </c>
      <c r="M113" s="9" t="n">
        <f aca="false">MAX(0,'Engineering Assumptions'!$G$23-G113)</f>
        <v>0</v>
      </c>
      <c r="N113" s="187" t="str">
        <f aca="false">IF(G113&gt;=20,"REPLACE",IF(L113&gt;0.6,"REPLACE",IF(G113&gt;=15,"REPLACE",IF(OR(G113&gt;=11,L113&gt;0.4),"MONITOR","KEEP"))))</f>
        <v>REPLACE</v>
      </c>
      <c r="O113" s="188" t="str">
        <f aca="false">IF(G113&gt;=20,"End of life (age &gt; 20)",IF(L113&gt;0.6,"Repairs exceed 60% of revenue",IF(G113&gt;=15,"Age 15+ → replace",IF(OR(G113&gt;=11,L113&gt;0.4),"Watch costs; plan replacement","Healthy — continue operating"))))</f>
        <v>End of life (age &gt; 20)</v>
      </c>
      <c r="P113" s="188" t="str">
        <f aca="false">'Engineering Assumptions'!H23</f>
        <v>BOMAG BW138/Dynapac CC1300 ~Rs. 12–18M</v>
      </c>
    </row>
    <row r="114" customFormat="false" ht="15" hidden="false" customHeight="true" outlineLevel="0" collapsed="false">
      <c r="A114" s="9" t="n">
        <v>104</v>
      </c>
      <c r="B114" s="184" t="s">
        <v>103</v>
      </c>
      <c r="C114" s="184" t="s">
        <v>2313</v>
      </c>
      <c r="D114" s="184" t="s">
        <v>537</v>
      </c>
      <c r="E114" s="184"/>
      <c r="F114" s="45" t="s">
        <v>472</v>
      </c>
      <c r="G114" s="9" t="n">
        <v>30</v>
      </c>
      <c r="H114" s="185" t="n">
        <f aca="false">'Engineering Assumptions'!$F$23*0.03*1</f>
        <v>0.42</v>
      </c>
      <c r="I114" s="185" t="n">
        <f aca="false">'Engineering Assumptions'!$F$23*1</f>
        <v>14</v>
      </c>
      <c r="J114" s="12" t="n">
        <f aca="false">'Fleet Pricing'!L114</f>
        <v>230500</v>
      </c>
      <c r="K114" s="12" t="n">
        <f aca="false">'Maintenance &amp; Repair'!J114+'Maintenance &amp; Repair'!K114</f>
        <v>138240</v>
      </c>
      <c r="L114" s="186" t="n">
        <f aca="false">IFERROR(K114/J114,0)</f>
        <v>0.599739696312365</v>
      </c>
      <c r="M114" s="9" t="n">
        <f aca="false">MAX(0,'Engineering Assumptions'!$G$23-G114)</f>
        <v>0</v>
      </c>
      <c r="N114" s="187" t="str">
        <f aca="false">IF(G114&gt;=20,"REPLACE",IF(L114&gt;0.6,"REPLACE",IF(G114&gt;=15,"REPLACE",IF(OR(G114&gt;=11,L114&gt;0.4),"MONITOR","KEEP"))))</f>
        <v>REPLACE</v>
      </c>
      <c r="O114" s="188" t="str">
        <f aca="false">IF(G114&gt;=20,"End of life (age &gt; 20)",IF(L114&gt;0.6,"Repairs exceed 60% of revenue",IF(G114&gt;=15,"Age 15+ → replace",IF(OR(G114&gt;=11,L114&gt;0.4),"Watch costs; plan replacement","Healthy — continue operating"))))</f>
        <v>End of life (age &gt; 20)</v>
      </c>
      <c r="P114" s="188" t="str">
        <f aca="false">'Engineering Assumptions'!H23</f>
        <v>BOMAG BW138/Dynapac CC1300 ~Rs. 12–18M</v>
      </c>
    </row>
    <row r="115" customFormat="false" ht="15" hidden="false" customHeight="true" outlineLevel="0" collapsed="false">
      <c r="A115" s="9" t="n">
        <v>105</v>
      </c>
      <c r="B115" s="184" t="s">
        <v>103</v>
      </c>
      <c r="C115" s="184" t="s">
        <v>2313</v>
      </c>
      <c r="D115" s="184" t="s">
        <v>544</v>
      </c>
      <c r="E115" s="184"/>
      <c r="F115" s="45" t="s">
        <v>472</v>
      </c>
      <c r="G115" s="9" t="n">
        <v>30</v>
      </c>
      <c r="H115" s="185" t="n">
        <f aca="false">'Engineering Assumptions'!$F$23*0.03*1</f>
        <v>0.42</v>
      </c>
      <c r="I115" s="185" t="n">
        <f aca="false">'Engineering Assumptions'!$F$23*1</f>
        <v>14</v>
      </c>
      <c r="J115" s="12" t="n">
        <f aca="false">'Fleet Pricing'!L115</f>
        <v>230500</v>
      </c>
      <c r="K115" s="12" t="n">
        <f aca="false">'Maintenance &amp; Repair'!J115+'Maintenance &amp; Repair'!K115</f>
        <v>138240</v>
      </c>
      <c r="L115" s="186" t="n">
        <f aca="false">IFERROR(K115/J115,0)</f>
        <v>0.599739696312365</v>
      </c>
      <c r="M115" s="9" t="n">
        <f aca="false">MAX(0,'Engineering Assumptions'!$G$23-G115)</f>
        <v>0</v>
      </c>
      <c r="N115" s="187" t="str">
        <f aca="false">IF(G115&gt;=20,"REPLACE",IF(L115&gt;0.6,"REPLACE",IF(G115&gt;=15,"REPLACE",IF(OR(G115&gt;=11,L115&gt;0.4),"MONITOR","KEEP"))))</f>
        <v>REPLACE</v>
      </c>
      <c r="O115" s="188" t="str">
        <f aca="false">IF(G115&gt;=20,"End of life (age &gt; 20)",IF(L115&gt;0.6,"Repairs exceed 60% of revenue",IF(G115&gt;=15,"Age 15+ → replace",IF(OR(G115&gt;=11,L115&gt;0.4),"Watch costs; plan replacement","Healthy — continue operating"))))</f>
        <v>End of life (age &gt; 20)</v>
      </c>
      <c r="P115" s="188" t="str">
        <f aca="false">'Engineering Assumptions'!H23</f>
        <v>BOMAG BW138/Dynapac CC1300 ~Rs. 12–18M</v>
      </c>
    </row>
    <row r="116" customFormat="false" ht="15" hidden="false" customHeight="true" outlineLevel="0" collapsed="false">
      <c r="A116" s="9" t="n">
        <v>106</v>
      </c>
      <c r="B116" s="184" t="s">
        <v>103</v>
      </c>
      <c r="C116" s="184" t="s">
        <v>2313</v>
      </c>
      <c r="D116" s="184" t="s">
        <v>545</v>
      </c>
      <c r="E116" s="184"/>
      <c r="F116" s="45" t="s">
        <v>472</v>
      </c>
      <c r="G116" s="9" t="n">
        <v>30</v>
      </c>
      <c r="H116" s="185" t="n">
        <f aca="false">'Engineering Assumptions'!$F$23*0.03*1</f>
        <v>0.42</v>
      </c>
      <c r="I116" s="185" t="n">
        <f aca="false">'Engineering Assumptions'!$F$23*1</f>
        <v>14</v>
      </c>
      <c r="J116" s="12" t="n">
        <f aca="false">'Fleet Pricing'!L116</f>
        <v>230500</v>
      </c>
      <c r="K116" s="12" t="n">
        <f aca="false">'Maintenance &amp; Repair'!J116+'Maintenance &amp; Repair'!K116</f>
        <v>138240</v>
      </c>
      <c r="L116" s="186" t="n">
        <f aca="false">IFERROR(K116/J116,0)</f>
        <v>0.599739696312365</v>
      </c>
      <c r="M116" s="9" t="n">
        <f aca="false">MAX(0,'Engineering Assumptions'!$G$23-G116)</f>
        <v>0</v>
      </c>
      <c r="N116" s="187" t="str">
        <f aca="false">IF(G116&gt;=20,"REPLACE",IF(L116&gt;0.6,"REPLACE",IF(G116&gt;=15,"REPLACE",IF(OR(G116&gt;=11,L116&gt;0.4),"MONITOR","KEEP"))))</f>
        <v>REPLACE</v>
      </c>
      <c r="O116" s="188" t="str">
        <f aca="false">IF(G116&gt;=20,"End of life (age &gt; 20)",IF(L116&gt;0.6,"Repairs exceed 60% of revenue",IF(G116&gt;=15,"Age 15+ → replace",IF(OR(G116&gt;=11,L116&gt;0.4),"Watch costs; plan replacement","Healthy — continue operating"))))</f>
        <v>End of life (age &gt; 20)</v>
      </c>
      <c r="P116" s="188" t="str">
        <f aca="false">'Engineering Assumptions'!H23</f>
        <v>BOMAG BW138/Dynapac CC1300 ~Rs. 12–18M</v>
      </c>
    </row>
    <row r="117" customFormat="false" ht="15" hidden="false" customHeight="true" outlineLevel="0" collapsed="false">
      <c r="A117" s="9" t="n">
        <v>107</v>
      </c>
      <c r="B117" s="184" t="s">
        <v>103</v>
      </c>
      <c r="C117" s="184" t="s">
        <v>2313</v>
      </c>
      <c r="D117" s="184" t="s">
        <v>546</v>
      </c>
      <c r="E117" s="184"/>
      <c r="F117" s="45" t="s">
        <v>472</v>
      </c>
      <c r="G117" s="9" t="n">
        <v>30</v>
      </c>
      <c r="H117" s="185" t="n">
        <f aca="false">'Engineering Assumptions'!$F$23*0.03*1</f>
        <v>0.42</v>
      </c>
      <c r="I117" s="185" t="n">
        <f aca="false">'Engineering Assumptions'!$F$23*1</f>
        <v>14</v>
      </c>
      <c r="J117" s="12" t="n">
        <f aca="false">'Fleet Pricing'!L117</f>
        <v>230500</v>
      </c>
      <c r="K117" s="12" t="n">
        <f aca="false">'Maintenance &amp; Repair'!J117+'Maintenance &amp; Repair'!K117</f>
        <v>138240</v>
      </c>
      <c r="L117" s="186" t="n">
        <f aca="false">IFERROR(K117/J117,0)</f>
        <v>0.599739696312365</v>
      </c>
      <c r="M117" s="9" t="n">
        <f aca="false">MAX(0,'Engineering Assumptions'!$G$23-G117)</f>
        <v>0</v>
      </c>
      <c r="N117" s="187" t="str">
        <f aca="false">IF(G117&gt;=20,"REPLACE",IF(L117&gt;0.6,"REPLACE",IF(G117&gt;=15,"REPLACE",IF(OR(G117&gt;=11,L117&gt;0.4),"MONITOR","KEEP"))))</f>
        <v>REPLACE</v>
      </c>
      <c r="O117" s="188" t="str">
        <f aca="false">IF(G117&gt;=20,"End of life (age &gt; 20)",IF(L117&gt;0.6,"Repairs exceed 60% of revenue",IF(G117&gt;=15,"Age 15+ → replace",IF(OR(G117&gt;=11,L117&gt;0.4),"Watch costs; plan replacement","Healthy — continue operating"))))</f>
        <v>End of life (age &gt; 20)</v>
      </c>
      <c r="P117" s="188" t="str">
        <f aca="false">'Engineering Assumptions'!H23</f>
        <v>BOMAG BW138/Dynapac CC1300 ~Rs. 12–18M</v>
      </c>
    </row>
    <row r="118" customFormat="false" ht="15" hidden="false" customHeight="true" outlineLevel="0" collapsed="false">
      <c r="A118" s="9" t="n">
        <v>108</v>
      </c>
      <c r="B118" s="184" t="s">
        <v>103</v>
      </c>
      <c r="C118" s="184" t="s">
        <v>2313</v>
      </c>
      <c r="D118" s="184" t="s">
        <v>548</v>
      </c>
      <c r="E118" s="184"/>
      <c r="F118" s="45" t="s">
        <v>472</v>
      </c>
      <c r="G118" s="9" t="n">
        <v>30</v>
      </c>
      <c r="H118" s="185" t="n">
        <f aca="false">'Engineering Assumptions'!$F$23*0.03*1</f>
        <v>0.42</v>
      </c>
      <c r="I118" s="185" t="n">
        <f aca="false">'Engineering Assumptions'!$F$23*1</f>
        <v>14</v>
      </c>
      <c r="J118" s="12" t="n">
        <f aca="false">'Fleet Pricing'!L118</f>
        <v>230500</v>
      </c>
      <c r="K118" s="12" t="n">
        <f aca="false">'Maintenance &amp; Repair'!J118+'Maintenance &amp; Repair'!K118</f>
        <v>138240</v>
      </c>
      <c r="L118" s="186" t="n">
        <f aca="false">IFERROR(K118/J118,0)</f>
        <v>0.599739696312365</v>
      </c>
      <c r="M118" s="9" t="n">
        <f aca="false">MAX(0,'Engineering Assumptions'!$G$23-G118)</f>
        <v>0</v>
      </c>
      <c r="N118" s="187" t="str">
        <f aca="false">IF(G118&gt;=20,"REPLACE",IF(L118&gt;0.6,"REPLACE",IF(G118&gt;=15,"REPLACE",IF(OR(G118&gt;=11,L118&gt;0.4),"MONITOR","KEEP"))))</f>
        <v>REPLACE</v>
      </c>
      <c r="O118" s="188" t="str">
        <f aca="false">IF(G118&gt;=20,"End of life (age &gt; 20)",IF(L118&gt;0.6,"Repairs exceed 60% of revenue",IF(G118&gt;=15,"Age 15+ → replace",IF(OR(G118&gt;=11,L118&gt;0.4),"Watch costs; plan replacement","Healthy — continue operating"))))</f>
        <v>End of life (age &gt; 20)</v>
      </c>
      <c r="P118" s="188" t="str">
        <f aca="false">'Engineering Assumptions'!H23</f>
        <v>BOMAG BW138/Dynapac CC1300 ~Rs. 12–18M</v>
      </c>
    </row>
    <row r="119" customFormat="false" ht="15" hidden="false" customHeight="true" outlineLevel="0" collapsed="false">
      <c r="A119" s="9" t="n">
        <v>109</v>
      </c>
      <c r="B119" s="184" t="s">
        <v>103</v>
      </c>
      <c r="C119" s="184" t="s">
        <v>2313</v>
      </c>
      <c r="D119" s="184" t="s">
        <v>549</v>
      </c>
      <c r="E119" s="184"/>
      <c r="F119" s="45" t="s">
        <v>472</v>
      </c>
      <c r="G119" s="9" t="n">
        <v>30</v>
      </c>
      <c r="H119" s="185" t="n">
        <f aca="false">'Engineering Assumptions'!$F$23*0.03*1</f>
        <v>0.42</v>
      </c>
      <c r="I119" s="185" t="n">
        <f aca="false">'Engineering Assumptions'!$F$23*1</f>
        <v>14</v>
      </c>
      <c r="J119" s="12" t="n">
        <f aca="false">'Fleet Pricing'!L119</f>
        <v>230500</v>
      </c>
      <c r="K119" s="12" t="n">
        <f aca="false">'Maintenance &amp; Repair'!J119+'Maintenance &amp; Repair'!K119</f>
        <v>138240</v>
      </c>
      <c r="L119" s="186" t="n">
        <f aca="false">IFERROR(K119/J119,0)</f>
        <v>0.599739696312365</v>
      </c>
      <c r="M119" s="9" t="n">
        <f aca="false">MAX(0,'Engineering Assumptions'!$G$23-G119)</f>
        <v>0</v>
      </c>
      <c r="N119" s="187" t="str">
        <f aca="false">IF(G119&gt;=20,"REPLACE",IF(L119&gt;0.6,"REPLACE",IF(G119&gt;=15,"REPLACE",IF(OR(G119&gt;=11,L119&gt;0.4),"MONITOR","KEEP"))))</f>
        <v>REPLACE</v>
      </c>
      <c r="O119" s="188" t="str">
        <f aca="false">IF(G119&gt;=20,"End of life (age &gt; 20)",IF(L119&gt;0.6,"Repairs exceed 60% of revenue",IF(G119&gt;=15,"Age 15+ → replace",IF(OR(G119&gt;=11,L119&gt;0.4),"Watch costs; plan replacement","Healthy — continue operating"))))</f>
        <v>End of life (age &gt; 20)</v>
      </c>
      <c r="P119" s="188" t="str">
        <f aca="false">'Engineering Assumptions'!H23</f>
        <v>BOMAG BW138/Dynapac CC1300 ~Rs. 12–18M</v>
      </c>
    </row>
    <row r="120" customFormat="false" ht="15" hidden="false" customHeight="true" outlineLevel="0" collapsed="false">
      <c r="A120" s="9" t="n">
        <v>110</v>
      </c>
      <c r="B120" s="184" t="s">
        <v>103</v>
      </c>
      <c r="C120" s="184" t="s">
        <v>2313</v>
      </c>
      <c r="D120" s="184" t="s">
        <v>550</v>
      </c>
      <c r="E120" s="184"/>
      <c r="F120" s="45" t="s">
        <v>472</v>
      </c>
      <c r="G120" s="9" t="n">
        <v>30</v>
      </c>
      <c r="H120" s="185" t="n">
        <f aca="false">'Engineering Assumptions'!$F$23*0.03*1</f>
        <v>0.42</v>
      </c>
      <c r="I120" s="185" t="n">
        <f aca="false">'Engineering Assumptions'!$F$23*1</f>
        <v>14</v>
      </c>
      <c r="J120" s="12" t="n">
        <f aca="false">'Fleet Pricing'!L120</f>
        <v>230500</v>
      </c>
      <c r="K120" s="12" t="n">
        <f aca="false">'Maintenance &amp; Repair'!J120+'Maintenance &amp; Repair'!K120</f>
        <v>138240</v>
      </c>
      <c r="L120" s="186" t="n">
        <f aca="false">IFERROR(K120/J120,0)</f>
        <v>0.599739696312365</v>
      </c>
      <c r="M120" s="9" t="n">
        <f aca="false">MAX(0,'Engineering Assumptions'!$G$23-G120)</f>
        <v>0</v>
      </c>
      <c r="N120" s="187" t="str">
        <f aca="false">IF(G120&gt;=20,"REPLACE",IF(L120&gt;0.6,"REPLACE",IF(G120&gt;=15,"REPLACE",IF(OR(G120&gt;=11,L120&gt;0.4),"MONITOR","KEEP"))))</f>
        <v>REPLACE</v>
      </c>
      <c r="O120" s="188" t="str">
        <f aca="false">IF(G120&gt;=20,"End of life (age &gt; 20)",IF(L120&gt;0.6,"Repairs exceed 60% of revenue",IF(G120&gt;=15,"Age 15+ → replace",IF(OR(G120&gt;=11,L120&gt;0.4),"Watch costs; plan replacement","Healthy — continue operating"))))</f>
        <v>End of life (age &gt; 20)</v>
      </c>
      <c r="P120" s="188" t="str">
        <f aca="false">'Engineering Assumptions'!H23</f>
        <v>BOMAG BW138/Dynapac CC1300 ~Rs. 12–18M</v>
      </c>
    </row>
    <row r="121" customFormat="false" ht="15" hidden="false" customHeight="true" outlineLevel="0" collapsed="false">
      <c r="A121" s="9" t="n">
        <v>111</v>
      </c>
      <c r="B121" s="184" t="s">
        <v>103</v>
      </c>
      <c r="C121" s="184" t="s">
        <v>2313</v>
      </c>
      <c r="D121" s="184" t="s">
        <v>551</v>
      </c>
      <c r="E121" s="184"/>
      <c r="F121" s="45" t="s">
        <v>472</v>
      </c>
      <c r="G121" s="9" t="n">
        <v>30</v>
      </c>
      <c r="H121" s="185" t="n">
        <f aca="false">'Engineering Assumptions'!$F$23*0.03*1</f>
        <v>0.42</v>
      </c>
      <c r="I121" s="185" t="n">
        <f aca="false">'Engineering Assumptions'!$F$23*1</f>
        <v>14</v>
      </c>
      <c r="J121" s="12" t="n">
        <f aca="false">'Fleet Pricing'!L121</f>
        <v>230500</v>
      </c>
      <c r="K121" s="12" t="n">
        <f aca="false">'Maintenance &amp; Repair'!J121+'Maintenance &amp; Repair'!K121</f>
        <v>138240</v>
      </c>
      <c r="L121" s="186" t="n">
        <f aca="false">IFERROR(K121/J121,0)</f>
        <v>0.599739696312365</v>
      </c>
      <c r="M121" s="9" t="n">
        <f aca="false">MAX(0,'Engineering Assumptions'!$G$23-G121)</f>
        <v>0</v>
      </c>
      <c r="N121" s="187" t="str">
        <f aca="false">IF(G121&gt;=20,"REPLACE",IF(L121&gt;0.6,"REPLACE",IF(G121&gt;=15,"REPLACE",IF(OR(G121&gt;=11,L121&gt;0.4),"MONITOR","KEEP"))))</f>
        <v>REPLACE</v>
      </c>
      <c r="O121" s="188" t="str">
        <f aca="false">IF(G121&gt;=20,"End of life (age &gt; 20)",IF(L121&gt;0.6,"Repairs exceed 60% of revenue",IF(G121&gt;=15,"Age 15+ → replace",IF(OR(G121&gt;=11,L121&gt;0.4),"Watch costs; plan replacement","Healthy — continue operating"))))</f>
        <v>End of life (age &gt; 20)</v>
      </c>
      <c r="P121" s="188" t="str">
        <f aca="false">'Engineering Assumptions'!H23</f>
        <v>BOMAG BW138/Dynapac CC1300 ~Rs. 12–18M</v>
      </c>
    </row>
    <row r="122" customFormat="false" ht="15" hidden="false" customHeight="true" outlineLevel="0" collapsed="false">
      <c r="A122" s="9" t="n">
        <v>112</v>
      </c>
      <c r="B122" s="184" t="s">
        <v>103</v>
      </c>
      <c r="C122" s="184" t="s">
        <v>2313</v>
      </c>
      <c r="D122" s="184" t="s">
        <v>552</v>
      </c>
      <c r="E122" s="184"/>
      <c r="F122" s="45" t="s">
        <v>472</v>
      </c>
      <c r="G122" s="9" t="n">
        <v>30</v>
      </c>
      <c r="H122" s="185" t="n">
        <f aca="false">'Engineering Assumptions'!$F$23*0.03*1</f>
        <v>0.42</v>
      </c>
      <c r="I122" s="185" t="n">
        <f aca="false">'Engineering Assumptions'!$F$23*1</f>
        <v>14</v>
      </c>
      <c r="J122" s="12" t="n">
        <f aca="false">'Fleet Pricing'!L122</f>
        <v>230500</v>
      </c>
      <c r="K122" s="12" t="n">
        <f aca="false">'Maintenance &amp; Repair'!J122+'Maintenance &amp; Repair'!K122</f>
        <v>138240</v>
      </c>
      <c r="L122" s="186" t="n">
        <f aca="false">IFERROR(K122/J122,0)</f>
        <v>0.599739696312365</v>
      </c>
      <c r="M122" s="9" t="n">
        <f aca="false">MAX(0,'Engineering Assumptions'!$G$23-G122)</f>
        <v>0</v>
      </c>
      <c r="N122" s="187" t="str">
        <f aca="false">IF(G122&gt;=20,"REPLACE",IF(L122&gt;0.6,"REPLACE",IF(G122&gt;=15,"REPLACE",IF(OR(G122&gt;=11,L122&gt;0.4),"MONITOR","KEEP"))))</f>
        <v>REPLACE</v>
      </c>
      <c r="O122" s="188" t="str">
        <f aca="false">IF(G122&gt;=20,"End of life (age &gt; 20)",IF(L122&gt;0.6,"Repairs exceed 60% of revenue",IF(G122&gt;=15,"Age 15+ → replace",IF(OR(G122&gt;=11,L122&gt;0.4),"Watch costs; plan replacement","Healthy — continue operating"))))</f>
        <v>End of life (age &gt; 20)</v>
      </c>
      <c r="P122" s="188" t="str">
        <f aca="false">'Engineering Assumptions'!H23</f>
        <v>BOMAG BW138/Dynapac CC1300 ~Rs. 12–18M</v>
      </c>
    </row>
    <row r="123" customFormat="false" ht="15" hidden="false" customHeight="true" outlineLevel="0" collapsed="false">
      <c r="A123" s="9" t="n">
        <v>113</v>
      </c>
      <c r="B123" s="184" t="s">
        <v>103</v>
      </c>
      <c r="C123" s="184" t="s">
        <v>2313</v>
      </c>
      <c r="D123" s="184" t="s">
        <v>554</v>
      </c>
      <c r="E123" s="184"/>
      <c r="F123" s="45" t="s">
        <v>472</v>
      </c>
      <c r="G123" s="9" t="n">
        <v>30</v>
      </c>
      <c r="H123" s="185" t="n">
        <f aca="false">'Engineering Assumptions'!$F$23*0.03*1</f>
        <v>0.42</v>
      </c>
      <c r="I123" s="185" t="n">
        <f aca="false">'Engineering Assumptions'!$F$23*1</f>
        <v>14</v>
      </c>
      <c r="J123" s="12" t="n">
        <f aca="false">'Fleet Pricing'!L123</f>
        <v>230500</v>
      </c>
      <c r="K123" s="12" t="n">
        <f aca="false">'Maintenance &amp; Repair'!J123+'Maintenance &amp; Repair'!K123</f>
        <v>138240</v>
      </c>
      <c r="L123" s="186" t="n">
        <f aca="false">IFERROR(K123/J123,0)</f>
        <v>0.599739696312365</v>
      </c>
      <c r="M123" s="9" t="n">
        <f aca="false">MAX(0,'Engineering Assumptions'!$G$23-G123)</f>
        <v>0</v>
      </c>
      <c r="N123" s="187" t="str">
        <f aca="false">IF(G123&gt;=20,"REPLACE",IF(L123&gt;0.6,"REPLACE",IF(G123&gt;=15,"REPLACE",IF(OR(G123&gt;=11,L123&gt;0.4),"MONITOR","KEEP"))))</f>
        <v>REPLACE</v>
      </c>
      <c r="O123" s="188" t="str">
        <f aca="false">IF(G123&gt;=20,"End of life (age &gt; 20)",IF(L123&gt;0.6,"Repairs exceed 60% of revenue",IF(G123&gt;=15,"Age 15+ → replace",IF(OR(G123&gt;=11,L123&gt;0.4),"Watch costs; plan replacement","Healthy — continue operating"))))</f>
        <v>End of life (age &gt; 20)</v>
      </c>
      <c r="P123" s="188" t="str">
        <f aca="false">'Engineering Assumptions'!H23</f>
        <v>BOMAG BW138/Dynapac CC1300 ~Rs. 12–18M</v>
      </c>
    </row>
    <row r="124" customFormat="false" ht="15" hidden="false" customHeight="true" outlineLevel="0" collapsed="false">
      <c r="A124" s="9" t="n">
        <v>114</v>
      </c>
      <c r="B124" s="184" t="s">
        <v>103</v>
      </c>
      <c r="C124" s="184" t="s">
        <v>2313</v>
      </c>
      <c r="D124" s="184" t="s">
        <v>555</v>
      </c>
      <c r="E124" s="184"/>
      <c r="F124" s="45" t="s">
        <v>472</v>
      </c>
      <c r="G124" s="9" t="n">
        <v>30</v>
      </c>
      <c r="H124" s="185" t="n">
        <f aca="false">'Engineering Assumptions'!$F$23*0.03*1</f>
        <v>0.42</v>
      </c>
      <c r="I124" s="185" t="n">
        <f aca="false">'Engineering Assumptions'!$F$23*1</f>
        <v>14</v>
      </c>
      <c r="J124" s="12" t="n">
        <f aca="false">'Fleet Pricing'!L124</f>
        <v>230500</v>
      </c>
      <c r="K124" s="12" t="n">
        <f aca="false">'Maintenance &amp; Repair'!J124+'Maintenance &amp; Repair'!K124</f>
        <v>138240</v>
      </c>
      <c r="L124" s="186" t="n">
        <f aca="false">IFERROR(K124/J124,0)</f>
        <v>0.599739696312365</v>
      </c>
      <c r="M124" s="9" t="n">
        <f aca="false">MAX(0,'Engineering Assumptions'!$G$23-G124)</f>
        <v>0</v>
      </c>
      <c r="N124" s="187" t="str">
        <f aca="false">IF(G124&gt;=20,"REPLACE",IF(L124&gt;0.6,"REPLACE",IF(G124&gt;=15,"REPLACE",IF(OR(G124&gt;=11,L124&gt;0.4),"MONITOR","KEEP"))))</f>
        <v>REPLACE</v>
      </c>
      <c r="O124" s="188" t="str">
        <f aca="false">IF(G124&gt;=20,"End of life (age &gt; 20)",IF(L124&gt;0.6,"Repairs exceed 60% of revenue",IF(G124&gt;=15,"Age 15+ → replace",IF(OR(G124&gt;=11,L124&gt;0.4),"Watch costs; plan replacement","Healthy — continue operating"))))</f>
        <v>End of life (age &gt; 20)</v>
      </c>
      <c r="P124" s="188" t="str">
        <f aca="false">'Engineering Assumptions'!H23</f>
        <v>BOMAG BW138/Dynapac CC1300 ~Rs. 12–18M</v>
      </c>
    </row>
    <row r="125" customFormat="false" ht="15" hidden="false" customHeight="true" outlineLevel="0" collapsed="false">
      <c r="A125" s="9" t="n">
        <v>115</v>
      </c>
      <c r="B125" s="184" t="s">
        <v>103</v>
      </c>
      <c r="C125" s="184" t="s">
        <v>2313</v>
      </c>
      <c r="D125" s="184" t="s">
        <v>556</v>
      </c>
      <c r="E125" s="184"/>
      <c r="F125" s="45" t="s">
        <v>472</v>
      </c>
      <c r="G125" s="9" t="n">
        <v>30</v>
      </c>
      <c r="H125" s="185" t="n">
        <f aca="false">'Engineering Assumptions'!$F$23*0.03*1</f>
        <v>0.42</v>
      </c>
      <c r="I125" s="185" t="n">
        <f aca="false">'Engineering Assumptions'!$F$23*1</f>
        <v>14</v>
      </c>
      <c r="J125" s="12" t="n">
        <f aca="false">'Fleet Pricing'!L125</f>
        <v>230500</v>
      </c>
      <c r="K125" s="12" t="n">
        <f aca="false">'Maintenance &amp; Repair'!J125+'Maintenance &amp; Repair'!K125</f>
        <v>138240</v>
      </c>
      <c r="L125" s="186" t="n">
        <f aca="false">IFERROR(K125/J125,0)</f>
        <v>0.599739696312365</v>
      </c>
      <c r="M125" s="9" t="n">
        <f aca="false">MAX(0,'Engineering Assumptions'!$G$23-G125)</f>
        <v>0</v>
      </c>
      <c r="N125" s="187" t="str">
        <f aca="false">IF(G125&gt;=20,"REPLACE",IF(L125&gt;0.6,"REPLACE",IF(G125&gt;=15,"REPLACE",IF(OR(G125&gt;=11,L125&gt;0.4),"MONITOR","KEEP"))))</f>
        <v>REPLACE</v>
      </c>
      <c r="O125" s="188" t="str">
        <f aca="false">IF(G125&gt;=20,"End of life (age &gt; 20)",IF(L125&gt;0.6,"Repairs exceed 60% of revenue",IF(G125&gt;=15,"Age 15+ → replace",IF(OR(G125&gt;=11,L125&gt;0.4),"Watch costs; plan replacement","Healthy — continue operating"))))</f>
        <v>End of life (age &gt; 20)</v>
      </c>
      <c r="P125" s="188" t="str">
        <f aca="false">'Engineering Assumptions'!H23</f>
        <v>BOMAG BW138/Dynapac CC1300 ~Rs. 12–18M</v>
      </c>
    </row>
    <row r="126" customFormat="false" ht="15" hidden="false" customHeight="true" outlineLevel="0" collapsed="false">
      <c r="A126" s="9" t="n">
        <v>116</v>
      </c>
      <c r="B126" s="184" t="s">
        <v>103</v>
      </c>
      <c r="C126" s="184" t="s">
        <v>2313</v>
      </c>
      <c r="D126" s="184" t="s">
        <v>557</v>
      </c>
      <c r="E126" s="184"/>
      <c r="F126" s="45" t="s">
        <v>472</v>
      </c>
      <c r="G126" s="9" t="n">
        <v>30</v>
      </c>
      <c r="H126" s="185" t="n">
        <f aca="false">'Engineering Assumptions'!$F$23*0.03*1</f>
        <v>0.42</v>
      </c>
      <c r="I126" s="185" t="n">
        <f aca="false">'Engineering Assumptions'!$F$23*1</f>
        <v>14</v>
      </c>
      <c r="J126" s="12" t="n">
        <f aca="false">'Fleet Pricing'!L126</f>
        <v>230500</v>
      </c>
      <c r="K126" s="12" t="n">
        <f aca="false">'Maintenance &amp; Repair'!J126+'Maintenance &amp; Repair'!K126</f>
        <v>138240</v>
      </c>
      <c r="L126" s="186" t="n">
        <f aca="false">IFERROR(K126/J126,0)</f>
        <v>0.599739696312365</v>
      </c>
      <c r="M126" s="9" t="n">
        <f aca="false">MAX(0,'Engineering Assumptions'!$G$23-G126)</f>
        <v>0</v>
      </c>
      <c r="N126" s="187" t="str">
        <f aca="false">IF(G126&gt;=20,"REPLACE",IF(L126&gt;0.6,"REPLACE",IF(G126&gt;=15,"REPLACE",IF(OR(G126&gt;=11,L126&gt;0.4),"MONITOR","KEEP"))))</f>
        <v>REPLACE</v>
      </c>
      <c r="O126" s="188" t="str">
        <f aca="false">IF(G126&gt;=20,"End of life (age &gt; 20)",IF(L126&gt;0.6,"Repairs exceed 60% of revenue",IF(G126&gt;=15,"Age 15+ → replace",IF(OR(G126&gt;=11,L126&gt;0.4),"Watch costs; plan replacement","Healthy — continue operating"))))</f>
        <v>End of life (age &gt; 20)</v>
      </c>
      <c r="P126" s="188" t="str">
        <f aca="false">'Engineering Assumptions'!H23</f>
        <v>BOMAG BW138/Dynapac CC1300 ~Rs. 12–18M</v>
      </c>
    </row>
    <row r="127" customFormat="false" ht="15" hidden="false" customHeight="true" outlineLevel="0" collapsed="false">
      <c r="A127" s="9" t="n">
        <v>117</v>
      </c>
      <c r="B127" s="184" t="s">
        <v>103</v>
      </c>
      <c r="C127" s="184" t="s">
        <v>2313</v>
      </c>
      <c r="D127" s="184" t="s">
        <v>558</v>
      </c>
      <c r="E127" s="184"/>
      <c r="F127" s="45" t="s">
        <v>472</v>
      </c>
      <c r="G127" s="9" t="n">
        <v>30</v>
      </c>
      <c r="H127" s="185" t="n">
        <f aca="false">'Engineering Assumptions'!$F$23*0.03*1</f>
        <v>0.42</v>
      </c>
      <c r="I127" s="185" t="n">
        <f aca="false">'Engineering Assumptions'!$F$23*1</f>
        <v>14</v>
      </c>
      <c r="J127" s="12" t="n">
        <f aca="false">'Fleet Pricing'!L127</f>
        <v>230500</v>
      </c>
      <c r="K127" s="12" t="n">
        <f aca="false">'Maintenance &amp; Repair'!J127+'Maintenance &amp; Repair'!K127</f>
        <v>138240</v>
      </c>
      <c r="L127" s="186" t="n">
        <f aca="false">IFERROR(K127/J127,0)</f>
        <v>0.599739696312365</v>
      </c>
      <c r="M127" s="9" t="n">
        <f aca="false">MAX(0,'Engineering Assumptions'!$G$23-G127)</f>
        <v>0</v>
      </c>
      <c r="N127" s="187" t="str">
        <f aca="false">IF(G127&gt;=20,"REPLACE",IF(L127&gt;0.6,"REPLACE",IF(G127&gt;=15,"REPLACE",IF(OR(G127&gt;=11,L127&gt;0.4),"MONITOR","KEEP"))))</f>
        <v>REPLACE</v>
      </c>
      <c r="O127" s="188" t="str">
        <f aca="false">IF(G127&gt;=20,"End of life (age &gt; 20)",IF(L127&gt;0.6,"Repairs exceed 60% of revenue",IF(G127&gt;=15,"Age 15+ → replace",IF(OR(G127&gt;=11,L127&gt;0.4),"Watch costs; plan replacement","Healthy — continue operating"))))</f>
        <v>End of life (age &gt; 20)</v>
      </c>
      <c r="P127" s="188" t="str">
        <f aca="false">'Engineering Assumptions'!H23</f>
        <v>BOMAG BW138/Dynapac CC1300 ~Rs. 12–18M</v>
      </c>
    </row>
    <row r="128" customFormat="false" ht="15" hidden="false" customHeight="true" outlineLevel="0" collapsed="false">
      <c r="A128" s="9" t="n">
        <v>118</v>
      </c>
      <c r="B128" s="184" t="s">
        <v>103</v>
      </c>
      <c r="C128" s="184" t="s">
        <v>2313</v>
      </c>
      <c r="D128" s="184" t="s">
        <v>559</v>
      </c>
      <c r="E128" s="184"/>
      <c r="F128" s="45" t="s">
        <v>472</v>
      </c>
      <c r="G128" s="9" t="n">
        <v>30</v>
      </c>
      <c r="H128" s="185" t="n">
        <f aca="false">'Engineering Assumptions'!$F$23*0.03*1</f>
        <v>0.42</v>
      </c>
      <c r="I128" s="185" t="n">
        <f aca="false">'Engineering Assumptions'!$F$23*1</f>
        <v>14</v>
      </c>
      <c r="J128" s="12" t="n">
        <f aca="false">'Fleet Pricing'!L128</f>
        <v>230500</v>
      </c>
      <c r="K128" s="12" t="n">
        <f aca="false">'Maintenance &amp; Repair'!J128+'Maintenance &amp; Repair'!K128</f>
        <v>138240</v>
      </c>
      <c r="L128" s="186" t="n">
        <f aca="false">IFERROR(K128/J128,0)</f>
        <v>0.599739696312365</v>
      </c>
      <c r="M128" s="9" t="n">
        <f aca="false">MAX(0,'Engineering Assumptions'!$G$23-G128)</f>
        <v>0</v>
      </c>
      <c r="N128" s="187" t="str">
        <f aca="false">IF(G128&gt;=20,"REPLACE",IF(L128&gt;0.6,"REPLACE",IF(G128&gt;=15,"REPLACE",IF(OR(G128&gt;=11,L128&gt;0.4),"MONITOR","KEEP"))))</f>
        <v>REPLACE</v>
      </c>
      <c r="O128" s="188" t="str">
        <f aca="false">IF(G128&gt;=20,"End of life (age &gt; 20)",IF(L128&gt;0.6,"Repairs exceed 60% of revenue",IF(G128&gt;=15,"Age 15+ → replace",IF(OR(G128&gt;=11,L128&gt;0.4),"Watch costs; plan replacement","Healthy — continue operating"))))</f>
        <v>End of life (age &gt; 20)</v>
      </c>
      <c r="P128" s="188" t="str">
        <f aca="false">'Engineering Assumptions'!H23</f>
        <v>BOMAG BW138/Dynapac CC1300 ~Rs. 12–18M</v>
      </c>
    </row>
    <row r="129" customFormat="false" ht="15" hidden="false" customHeight="true" outlineLevel="0" collapsed="false">
      <c r="A129" s="9" t="n">
        <v>119</v>
      </c>
      <c r="B129" s="184" t="s">
        <v>103</v>
      </c>
      <c r="C129" s="184" t="s">
        <v>2313</v>
      </c>
      <c r="D129" s="184" t="s">
        <v>560</v>
      </c>
      <c r="E129" s="184"/>
      <c r="F129" s="45" t="s">
        <v>472</v>
      </c>
      <c r="G129" s="9" t="n">
        <v>30</v>
      </c>
      <c r="H129" s="185" t="n">
        <f aca="false">'Engineering Assumptions'!$F$23*0.03*1</f>
        <v>0.42</v>
      </c>
      <c r="I129" s="185" t="n">
        <f aca="false">'Engineering Assumptions'!$F$23*1</f>
        <v>14</v>
      </c>
      <c r="J129" s="12" t="n">
        <f aca="false">'Fleet Pricing'!L129</f>
        <v>230500</v>
      </c>
      <c r="K129" s="12" t="n">
        <f aca="false">'Maintenance &amp; Repair'!J129+'Maintenance &amp; Repair'!K129</f>
        <v>138240</v>
      </c>
      <c r="L129" s="186" t="n">
        <f aca="false">IFERROR(K129/J129,0)</f>
        <v>0.599739696312365</v>
      </c>
      <c r="M129" s="9" t="n">
        <f aca="false">MAX(0,'Engineering Assumptions'!$G$23-G129)</f>
        <v>0</v>
      </c>
      <c r="N129" s="187" t="str">
        <f aca="false">IF(G129&gt;=20,"REPLACE",IF(L129&gt;0.6,"REPLACE",IF(G129&gt;=15,"REPLACE",IF(OR(G129&gt;=11,L129&gt;0.4),"MONITOR","KEEP"))))</f>
        <v>REPLACE</v>
      </c>
      <c r="O129" s="188" t="str">
        <f aca="false">IF(G129&gt;=20,"End of life (age &gt; 20)",IF(L129&gt;0.6,"Repairs exceed 60% of revenue",IF(G129&gt;=15,"Age 15+ → replace",IF(OR(G129&gt;=11,L129&gt;0.4),"Watch costs; plan replacement","Healthy — continue operating"))))</f>
        <v>End of life (age &gt; 20)</v>
      </c>
      <c r="P129" s="188" t="str">
        <f aca="false">'Engineering Assumptions'!H23</f>
        <v>BOMAG BW138/Dynapac CC1300 ~Rs. 12–18M</v>
      </c>
    </row>
    <row r="130" customFormat="false" ht="15" hidden="false" customHeight="true" outlineLevel="0" collapsed="false">
      <c r="A130" s="9" t="n">
        <v>120</v>
      </c>
      <c r="B130" s="184" t="s">
        <v>103</v>
      </c>
      <c r="C130" s="184" t="s">
        <v>2313</v>
      </c>
      <c r="D130" s="184" t="s">
        <v>561</v>
      </c>
      <c r="E130" s="184"/>
      <c r="F130" s="45" t="s">
        <v>472</v>
      </c>
      <c r="G130" s="9" t="n">
        <v>30</v>
      </c>
      <c r="H130" s="185" t="n">
        <f aca="false">'Engineering Assumptions'!$F$23*0.03*1</f>
        <v>0.42</v>
      </c>
      <c r="I130" s="185" t="n">
        <f aca="false">'Engineering Assumptions'!$F$23*1</f>
        <v>14</v>
      </c>
      <c r="J130" s="12" t="n">
        <f aca="false">'Fleet Pricing'!L130</f>
        <v>230500</v>
      </c>
      <c r="K130" s="12" t="n">
        <f aca="false">'Maintenance &amp; Repair'!J130+'Maintenance &amp; Repair'!K130</f>
        <v>138240</v>
      </c>
      <c r="L130" s="186" t="n">
        <f aca="false">IFERROR(K130/J130,0)</f>
        <v>0.599739696312365</v>
      </c>
      <c r="M130" s="9" t="n">
        <f aca="false">MAX(0,'Engineering Assumptions'!$G$23-G130)</f>
        <v>0</v>
      </c>
      <c r="N130" s="187" t="str">
        <f aca="false">IF(G130&gt;=20,"REPLACE",IF(L130&gt;0.6,"REPLACE",IF(G130&gt;=15,"REPLACE",IF(OR(G130&gt;=11,L130&gt;0.4),"MONITOR","KEEP"))))</f>
        <v>REPLACE</v>
      </c>
      <c r="O130" s="188" t="str">
        <f aca="false">IF(G130&gt;=20,"End of life (age &gt; 20)",IF(L130&gt;0.6,"Repairs exceed 60% of revenue",IF(G130&gt;=15,"Age 15+ → replace",IF(OR(G130&gt;=11,L130&gt;0.4),"Watch costs; plan replacement","Healthy — continue operating"))))</f>
        <v>End of life (age &gt; 20)</v>
      </c>
      <c r="P130" s="188" t="str">
        <f aca="false">'Engineering Assumptions'!H23</f>
        <v>BOMAG BW138/Dynapac CC1300 ~Rs. 12–18M</v>
      </c>
    </row>
    <row r="131" customFormat="false" ht="15" hidden="false" customHeight="true" outlineLevel="0" collapsed="false">
      <c r="A131" s="9" t="n">
        <v>121</v>
      </c>
      <c r="B131" s="184" t="s">
        <v>103</v>
      </c>
      <c r="C131" s="184" t="s">
        <v>2313</v>
      </c>
      <c r="D131" s="184" t="s">
        <v>562</v>
      </c>
      <c r="E131" s="184"/>
      <c r="F131" s="45" t="s">
        <v>472</v>
      </c>
      <c r="G131" s="9" t="n">
        <v>30</v>
      </c>
      <c r="H131" s="185" t="n">
        <f aca="false">'Engineering Assumptions'!$F$23*0.03*1</f>
        <v>0.42</v>
      </c>
      <c r="I131" s="185" t="n">
        <f aca="false">'Engineering Assumptions'!$F$23*1</f>
        <v>14</v>
      </c>
      <c r="J131" s="12" t="n">
        <f aca="false">'Fleet Pricing'!L131</f>
        <v>230500</v>
      </c>
      <c r="K131" s="12" t="n">
        <f aca="false">'Maintenance &amp; Repair'!J131+'Maintenance &amp; Repair'!K131</f>
        <v>138240</v>
      </c>
      <c r="L131" s="186" t="n">
        <f aca="false">IFERROR(K131/J131,0)</f>
        <v>0.599739696312365</v>
      </c>
      <c r="M131" s="9" t="n">
        <f aca="false">MAX(0,'Engineering Assumptions'!$G$23-G131)</f>
        <v>0</v>
      </c>
      <c r="N131" s="187" t="str">
        <f aca="false">IF(G131&gt;=20,"REPLACE",IF(L131&gt;0.6,"REPLACE",IF(G131&gt;=15,"REPLACE",IF(OR(G131&gt;=11,L131&gt;0.4),"MONITOR","KEEP"))))</f>
        <v>REPLACE</v>
      </c>
      <c r="O131" s="188" t="str">
        <f aca="false">IF(G131&gt;=20,"End of life (age &gt; 20)",IF(L131&gt;0.6,"Repairs exceed 60% of revenue",IF(G131&gt;=15,"Age 15+ → replace",IF(OR(G131&gt;=11,L131&gt;0.4),"Watch costs; plan replacement","Healthy — continue operating"))))</f>
        <v>End of life (age &gt; 20)</v>
      </c>
      <c r="P131" s="188" t="str">
        <f aca="false">'Engineering Assumptions'!H23</f>
        <v>BOMAG BW138/Dynapac CC1300 ~Rs. 12–18M</v>
      </c>
    </row>
    <row r="132" customFormat="false" ht="15" hidden="false" customHeight="true" outlineLevel="0" collapsed="false">
      <c r="A132" s="9" t="n">
        <v>122</v>
      </c>
      <c r="B132" s="184" t="s">
        <v>103</v>
      </c>
      <c r="C132" s="184" t="s">
        <v>2313</v>
      </c>
      <c r="D132" s="184" t="s">
        <v>563</v>
      </c>
      <c r="E132" s="184"/>
      <c r="F132" s="45" t="s">
        <v>472</v>
      </c>
      <c r="G132" s="9" t="n">
        <v>30</v>
      </c>
      <c r="H132" s="185" t="n">
        <f aca="false">'Engineering Assumptions'!$F$23*0.03*1</f>
        <v>0.42</v>
      </c>
      <c r="I132" s="185" t="n">
        <f aca="false">'Engineering Assumptions'!$F$23*1</f>
        <v>14</v>
      </c>
      <c r="J132" s="12" t="n">
        <f aca="false">'Fleet Pricing'!L132</f>
        <v>230500</v>
      </c>
      <c r="K132" s="12" t="n">
        <f aca="false">'Maintenance &amp; Repair'!J132+'Maintenance &amp; Repair'!K132</f>
        <v>138240</v>
      </c>
      <c r="L132" s="186" t="n">
        <f aca="false">IFERROR(K132/J132,0)</f>
        <v>0.599739696312365</v>
      </c>
      <c r="M132" s="9" t="n">
        <f aca="false">MAX(0,'Engineering Assumptions'!$G$23-G132)</f>
        <v>0</v>
      </c>
      <c r="N132" s="187" t="str">
        <f aca="false">IF(G132&gt;=20,"REPLACE",IF(L132&gt;0.6,"REPLACE",IF(G132&gt;=15,"REPLACE",IF(OR(G132&gt;=11,L132&gt;0.4),"MONITOR","KEEP"))))</f>
        <v>REPLACE</v>
      </c>
      <c r="O132" s="188" t="str">
        <f aca="false">IF(G132&gt;=20,"End of life (age &gt; 20)",IF(L132&gt;0.6,"Repairs exceed 60% of revenue",IF(G132&gt;=15,"Age 15+ → replace",IF(OR(G132&gt;=11,L132&gt;0.4),"Watch costs; plan replacement","Healthy — continue operating"))))</f>
        <v>End of life (age &gt; 20)</v>
      </c>
      <c r="P132" s="188" t="str">
        <f aca="false">'Engineering Assumptions'!H23</f>
        <v>BOMAG BW138/Dynapac CC1300 ~Rs. 12–18M</v>
      </c>
    </row>
    <row r="133" customFormat="false" ht="15" hidden="false" customHeight="true" outlineLevel="0" collapsed="false">
      <c r="A133" s="9" t="n">
        <v>123</v>
      </c>
      <c r="B133" s="184" t="s">
        <v>103</v>
      </c>
      <c r="C133" s="184" t="s">
        <v>2313</v>
      </c>
      <c r="D133" s="184" t="s">
        <v>564</v>
      </c>
      <c r="E133" s="184"/>
      <c r="F133" s="45" t="s">
        <v>472</v>
      </c>
      <c r="G133" s="9" t="n">
        <v>30</v>
      </c>
      <c r="H133" s="185" t="n">
        <f aca="false">'Engineering Assumptions'!$F$23*0.03*1</f>
        <v>0.42</v>
      </c>
      <c r="I133" s="185" t="n">
        <f aca="false">'Engineering Assumptions'!$F$23*1</f>
        <v>14</v>
      </c>
      <c r="J133" s="12" t="n">
        <f aca="false">'Fleet Pricing'!L133</f>
        <v>230500</v>
      </c>
      <c r="K133" s="12" t="n">
        <f aca="false">'Maintenance &amp; Repair'!J133+'Maintenance &amp; Repair'!K133</f>
        <v>138240</v>
      </c>
      <c r="L133" s="186" t="n">
        <f aca="false">IFERROR(K133/J133,0)</f>
        <v>0.599739696312365</v>
      </c>
      <c r="M133" s="9" t="n">
        <f aca="false">MAX(0,'Engineering Assumptions'!$G$23-G133)</f>
        <v>0</v>
      </c>
      <c r="N133" s="187" t="str">
        <f aca="false">IF(G133&gt;=20,"REPLACE",IF(L133&gt;0.6,"REPLACE",IF(G133&gt;=15,"REPLACE",IF(OR(G133&gt;=11,L133&gt;0.4),"MONITOR","KEEP"))))</f>
        <v>REPLACE</v>
      </c>
      <c r="O133" s="188" t="str">
        <f aca="false">IF(G133&gt;=20,"End of life (age &gt; 20)",IF(L133&gt;0.6,"Repairs exceed 60% of revenue",IF(G133&gt;=15,"Age 15+ → replace",IF(OR(G133&gt;=11,L133&gt;0.4),"Watch costs; plan replacement","Healthy — continue operating"))))</f>
        <v>End of life (age &gt; 20)</v>
      </c>
      <c r="P133" s="188" t="str">
        <f aca="false">'Engineering Assumptions'!H23</f>
        <v>BOMAG BW138/Dynapac CC1300 ~Rs. 12–18M</v>
      </c>
    </row>
    <row r="134" customFormat="false" ht="15" hidden="false" customHeight="true" outlineLevel="0" collapsed="false">
      <c r="A134" s="9" t="n">
        <v>124</v>
      </c>
      <c r="B134" s="184" t="s">
        <v>103</v>
      </c>
      <c r="C134" s="184" t="s">
        <v>2313</v>
      </c>
      <c r="D134" s="184" t="s">
        <v>566</v>
      </c>
      <c r="E134" s="184"/>
      <c r="F134" s="45" t="s">
        <v>472</v>
      </c>
      <c r="G134" s="9" t="n">
        <v>30</v>
      </c>
      <c r="H134" s="185" t="n">
        <f aca="false">'Engineering Assumptions'!$F$23*0.03*1</f>
        <v>0.42</v>
      </c>
      <c r="I134" s="185" t="n">
        <f aca="false">'Engineering Assumptions'!$F$23*1</f>
        <v>14</v>
      </c>
      <c r="J134" s="12" t="n">
        <f aca="false">'Fleet Pricing'!L134</f>
        <v>230500</v>
      </c>
      <c r="K134" s="12" t="n">
        <f aca="false">'Maintenance &amp; Repair'!J134+'Maintenance &amp; Repair'!K134</f>
        <v>138240</v>
      </c>
      <c r="L134" s="186" t="n">
        <f aca="false">IFERROR(K134/J134,0)</f>
        <v>0.599739696312365</v>
      </c>
      <c r="M134" s="9" t="n">
        <f aca="false">MAX(0,'Engineering Assumptions'!$G$23-G134)</f>
        <v>0</v>
      </c>
      <c r="N134" s="187" t="str">
        <f aca="false">IF(G134&gt;=20,"REPLACE",IF(L134&gt;0.6,"REPLACE",IF(G134&gt;=15,"REPLACE",IF(OR(G134&gt;=11,L134&gt;0.4),"MONITOR","KEEP"))))</f>
        <v>REPLACE</v>
      </c>
      <c r="O134" s="188" t="str">
        <f aca="false">IF(G134&gt;=20,"End of life (age &gt; 20)",IF(L134&gt;0.6,"Repairs exceed 60% of revenue",IF(G134&gt;=15,"Age 15+ → replace",IF(OR(G134&gt;=11,L134&gt;0.4),"Watch costs; plan replacement","Healthy — continue operating"))))</f>
        <v>End of life (age &gt; 20)</v>
      </c>
      <c r="P134" s="188" t="str">
        <f aca="false">'Engineering Assumptions'!H23</f>
        <v>BOMAG BW138/Dynapac CC1300 ~Rs. 12–18M</v>
      </c>
    </row>
    <row r="135" customFormat="false" ht="15" hidden="false" customHeight="true" outlineLevel="0" collapsed="false">
      <c r="A135" s="9" t="n">
        <v>125</v>
      </c>
      <c r="B135" s="184" t="s">
        <v>103</v>
      </c>
      <c r="C135" s="184" t="s">
        <v>2313</v>
      </c>
      <c r="D135" s="184" t="s">
        <v>567</v>
      </c>
      <c r="E135" s="184"/>
      <c r="F135" s="45" t="s">
        <v>472</v>
      </c>
      <c r="G135" s="9" t="n">
        <v>30</v>
      </c>
      <c r="H135" s="185" t="n">
        <f aca="false">'Engineering Assumptions'!$F$23*0.03*1</f>
        <v>0.42</v>
      </c>
      <c r="I135" s="185" t="n">
        <f aca="false">'Engineering Assumptions'!$F$23*1</f>
        <v>14</v>
      </c>
      <c r="J135" s="12" t="n">
        <f aca="false">'Fleet Pricing'!L135</f>
        <v>230500</v>
      </c>
      <c r="K135" s="12" t="n">
        <f aca="false">'Maintenance &amp; Repair'!J135+'Maintenance &amp; Repair'!K135</f>
        <v>138240</v>
      </c>
      <c r="L135" s="186" t="n">
        <f aca="false">IFERROR(K135/J135,0)</f>
        <v>0.599739696312365</v>
      </c>
      <c r="M135" s="9" t="n">
        <f aca="false">MAX(0,'Engineering Assumptions'!$G$23-G135)</f>
        <v>0</v>
      </c>
      <c r="N135" s="187" t="str">
        <f aca="false">IF(G135&gt;=20,"REPLACE",IF(L135&gt;0.6,"REPLACE",IF(G135&gt;=15,"REPLACE",IF(OR(G135&gt;=11,L135&gt;0.4),"MONITOR","KEEP"))))</f>
        <v>REPLACE</v>
      </c>
      <c r="O135" s="188" t="str">
        <f aca="false">IF(G135&gt;=20,"End of life (age &gt; 20)",IF(L135&gt;0.6,"Repairs exceed 60% of revenue",IF(G135&gt;=15,"Age 15+ → replace",IF(OR(G135&gt;=11,L135&gt;0.4),"Watch costs; plan replacement","Healthy — continue operating"))))</f>
        <v>End of life (age &gt; 20)</v>
      </c>
      <c r="P135" s="188" t="str">
        <f aca="false">'Engineering Assumptions'!H23</f>
        <v>BOMAG BW138/Dynapac CC1300 ~Rs. 12–18M</v>
      </c>
    </row>
    <row r="136" customFormat="false" ht="15" hidden="false" customHeight="true" outlineLevel="0" collapsed="false">
      <c r="A136" s="9" t="n">
        <v>126</v>
      </c>
      <c r="B136" s="184" t="s">
        <v>103</v>
      </c>
      <c r="C136" s="184" t="s">
        <v>2313</v>
      </c>
      <c r="D136" s="184" t="s">
        <v>568</v>
      </c>
      <c r="E136" s="184"/>
      <c r="F136" s="45" t="s">
        <v>472</v>
      </c>
      <c r="G136" s="9" t="n">
        <v>30</v>
      </c>
      <c r="H136" s="185" t="n">
        <f aca="false">'Engineering Assumptions'!$F$23*0.03*1</f>
        <v>0.42</v>
      </c>
      <c r="I136" s="185" t="n">
        <f aca="false">'Engineering Assumptions'!$F$23*1</f>
        <v>14</v>
      </c>
      <c r="J136" s="12" t="n">
        <f aca="false">'Fleet Pricing'!L136</f>
        <v>230500</v>
      </c>
      <c r="K136" s="12" t="n">
        <f aca="false">'Maintenance &amp; Repair'!J136+'Maintenance &amp; Repair'!K136</f>
        <v>138240</v>
      </c>
      <c r="L136" s="186" t="n">
        <f aca="false">IFERROR(K136/J136,0)</f>
        <v>0.599739696312365</v>
      </c>
      <c r="M136" s="9" t="n">
        <f aca="false">MAX(0,'Engineering Assumptions'!$G$23-G136)</f>
        <v>0</v>
      </c>
      <c r="N136" s="187" t="str">
        <f aca="false">IF(G136&gt;=20,"REPLACE",IF(L136&gt;0.6,"REPLACE",IF(G136&gt;=15,"REPLACE",IF(OR(G136&gt;=11,L136&gt;0.4),"MONITOR","KEEP"))))</f>
        <v>REPLACE</v>
      </c>
      <c r="O136" s="188" t="str">
        <f aca="false">IF(G136&gt;=20,"End of life (age &gt; 20)",IF(L136&gt;0.6,"Repairs exceed 60% of revenue",IF(G136&gt;=15,"Age 15+ → replace",IF(OR(G136&gt;=11,L136&gt;0.4),"Watch costs; plan replacement","Healthy — continue operating"))))</f>
        <v>End of life (age &gt; 20)</v>
      </c>
      <c r="P136" s="188" t="str">
        <f aca="false">'Engineering Assumptions'!H23</f>
        <v>BOMAG BW138/Dynapac CC1300 ~Rs. 12–18M</v>
      </c>
    </row>
    <row r="137" customFormat="false" ht="15" hidden="false" customHeight="true" outlineLevel="0" collapsed="false">
      <c r="A137" s="9" t="n">
        <v>127</v>
      </c>
      <c r="B137" s="184" t="s">
        <v>103</v>
      </c>
      <c r="C137" s="184" t="s">
        <v>2313</v>
      </c>
      <c r="D137" s="184" t="s">
        <v>569</v>
      </c>
      <c r="E137" s="184"/>
      <c r="F137" s="45" t="s">
        <v>472</v>
      </c>
      <c r="G137" s="9" t="n">
        <v>30</v>
      </c>
      <c r="H137" s="185" t="n">
        <f aca="false">'Engineering Assumptions'!$F$23*0.03*1</f>
        <v>0.42</v>
      </c>
      <c r="I137" s="185" t="n">
        <f aca="false">'Engineering Assumptions'!$F$23*1</f>
        <v>14</v>
      </c>
      <c r="J137" s="12" t="n">
        <f aca="false">'Fleet Pricing'!L137</f>
        <v>230500</v>
      </c>
      <c r="K137" s="12" t="n">
        <f aca="false">'Maintenance &amp; Repair'!J137+'Maintenance &amp; Repair'!K137</f>
        <v>138240</v>
      </c>
      <c r="L137" s="186" t="n">
        <f aca="false">IFERROR(K137/J137,0)</f>
        <v>0.599739696312365</v>
      </c>
      <c r="M137" s="9" t="n">
        <f aca="false">MAX(0,'Engineering Assumptions'!$G$23-G137)</f>
        <v>0</v>
      </c>
      <c r="N137" s="187" t="str">
        <f aca="false">IF(G137&gt;=20,"REPLACE",IF(L137&gt;0.6,"REPLACE",IF(G137&gt;=15,"REPLACE",IF(OR(G137&gt;=11,L137&gt;0.4),"MONITOR","KEEP"))))</f>
        <v>REPLACE</v>
      </c>
      <c r="O137" s="188" t="str">
        <f aca="false">IF(G137&gt;=20,"End of life (age &gt; 20)",IF(L137&gt;0.6,"Repairs exceed 60% of revenue",IF(G137&gt;=15,"Age 15+ → replace",IF(OR(G137&gt;=11,L137&gt;0.4),"Watch costs; plan replacement","Healthy — continue operating"))))</f>
        <v>End of life (age &gt; 20)</v>
      </c>
      <c r="P137" s="188" t="str">
        <f aca="false">'Engineering Assumptions'!H23</f>
        <v>BOMAG BW138/Dynapac CC1300 ~Rs. 12–18M</v>
      </c>
    </row>
    <row r="138" customFormat="false" ht="15" hidden="false" customHeight="true" outlineLevel="0" collapsed="false">
      <c r="A138" s="9" t="n">
        <v>128</v>
      </c>
      <c r="B138" s="184" t="s">
        <v>103</v>
      </c>
      <c r="C138" s="184" t="s">
        <v>2332</v>
      </c>
      <c r="D138" s="184" t="s">
        <v>570</v>
      </c>
      <c r="E138" s="184"/>
      <c r="F138" s="45" t="s">
        <v>472</v>
      </c>
      <c r="G138" s="9" t="n">
        <v>30</v>
      </c>
      <c r="H138" s="185" t="n">
        <f aca="false">'Engineering Assumptions'!$F$23*0.03*1</f>
        <v>0.42</v>
      </c>
      <c r="I138" s="185" t="n">
        <f aca="false">'Engineering Assumptions'!$F$23*1</f>
        <v>14</v>
      </c>
      <c r="J138" s="12" t="n">
        <f aca="false">'Fleet Pricing'!L138</f>
        <v>230500</v>
      </c>
      <c r="K138" s="12" t="n">
        <f aca="false">'Maintenance &amp; Repair'!J138+'Maintenance &amp; Repair'!K138</f>
        <v>138240</v>
      </c>
      <c r="L138" s="186" t="n">
        <f aca="false">IFERROR(K138/J138,0)</f>
        <v>0.599739696312365</v>
      </c>
      <c r="M138" s="9" t="n">
        <f aca="false">MAX(0,'Engineering Assumptions'!$G$23-G138)</f>
        <v>0</v>
      </c>
      <c r="N138" s="187" t="str">
        <f aca="false">IF(G138&gt;=20,"REPLACE",IF(L138&gt;0.6,"REPLACE",IF(G138&gt;=15,"REPLACE",IF(OR(G138&gt;=11,L138&gt;0.4),"MONITOR","KEEP"))))</f>
        <v>REPLACE</v>
      </c>
      <c r="O138" s="188" t="str">
        <f aca="false">IF(G138&gt;=20,"End of life (age &gt; 20)",IF(L138&gt;0.6,"Repairs exceed 60% of revenue",IF(G138&gt;=15,"Age 15+ → replace",IF(OR(G138&gt;=11,L138&gt;0.4),"Watch costs; plan replacement","Healthy — continue operating"))))</f>
        <v>End of life (age &gt; 20)</v>
      </c>
      <c r="P138" s="188" t="str">
        <f aca="false">'Engineering Assumptions'!H23</f>
        <v>BOMAG BW138/Dynapac CC1300 ~Rs. 12–18M</v>
      </c>
    </row>
    <row r="139" customFormat="false" ht="15" hidden="false" customHeight="true" outlineLevel="0" collapsed="false">
      <c r="A139" s="9" t="n">
        <v>129</v>
      </c>
      <c r="B139" s="184" t="s">
        <v>103</v>
      </c>
      <c r="C139" s="184" t="s">
        <v>2332</v>
      </c>
      <c r="D139" s="184" t="s">
        <v>571</v>
      </c>
      <c r="E139" s="184"/>
      <c r="F139" s="45" t="s">
        <v>472</v>
      </c>
      <c r="G139" s="9" t="n">
        <v>30</v>
      </c>
      <c r="H139" s="185" t="n">
        <f aca="false">'Engineering Assumptions'!$F$23*0.03*1</f>
        <v>0.42</v>
      </c>
      <c r="I139" s="185" t="n">
        <f aca="false">'Engineering Assumptions'!$F$23*1</f>
        <v>14</v>
      </c>
      <c r="J139" s="12" t="n">
        <f aca="false">'Fleet Pricing'!L139</f>
        <v>230500</v>
      </c>
      <c r="K139" s="12" t="n">
        <f aca="false">'Maintenance &amp; Repair'!J139+'Maintenance &amp; Repair'!K139</f>
        <v>138240</v>
      </c>
      <c r="L139" s="186" t="n">
        <f aca="false">IFERROR(K139/J139,0)</f>
        <v>0.599739696312365</v>
      </c>
      <c r="M139" s="9" t="n">
        <f aca="false">MAX(0,'Engineering Assumptions'!$G$23-G139)</f>
        <v>0</v>
      </c>
      <c r="N139" s="187" t="str">
        <f aca="false">IF(G139&gt;=20,"REPLACE",IF(L139&gt;0.6,"REPLACE",IF(G139&gt;=15,"REPLACE",IF(OR(G139&gt;=11,L139&gt;0.4),"MONITOR","KEEP"))))</f>
        <v>REPLACE</v>
      </c>
      <c r="O139" s="188" t="str">
        <f aca="false">IF(G139&gt;=20,"End of life (age &gt; 20)",IF(L139&gt;0.6,"Repairs exceed 60% of revenue",IF(G139&gt;=15,"Age 15+ → replace",IF(OR(G139&gt;=11,L139&gt;0.4),"Watch costs; plan replacement","Healthy — continue operating"))))</f>
        <v>End of life (age &gt; 20)</v>
      </c>
      <c r="P139" s="188" t="str">
        <f aca="false">'Engineering Assumptions'!H23</f>
        <v>BOMAG BW138/Dynapac CC1300 ~Rs. 12–18M</v>
      </c>
    </row>
    <row r="140" customFormat="false" ht="15" hidden="false" customHeight="true" outlineLevel="0" collapsed="false">
      <c r="A140" s="9" t="n">
        <v>130</v>
      </c>
      <c r="B140" s="184" t="s">
        <v>103</v>
      </c>
      <c r="C140" s="184" t="s">
        <v>2332</v>
      </c>
      <c r="D140" s="184" t="s">
        <v>572</v>
      </c>
      <c r="E140" s="184"/>
      <c r="F140" s="45" t="s">
        <v>472</v>
      </c>
      <c r="G140" s="9" t="n">
        <v>30</v>
      </c>
      <c r="H140" s="185" t="n">
        <f aca="false">'Engineering Assumptions'!$F$23*0.03*1</f>
        <v>0.42</v>
      </c>
      <c r="I140" s="185" t="n">
        <f aca="false">'Engineering Assumptions'!$F$23*1</f>
        <v>14</v>
      </c>
      <c r="J140" s="12" t="n">
        <f aca="false">'Fleet Pricing'!L140</f>
        <v>230500</v>
      </c>
      <c r="K140" s="12" t="n">
        <f aca="false">'Maintenance &amp; Repair'!J140+'Maintenance &amp; Repair'!K140</f>
        <v>138240</v>
      </c>
      <c r="L140" s="186" t="n">
        <f aca="false">IFERROR(K140/J140,0)</f>
        <v>0.599739696312365</v>
      </c>
      <c r="M140" s="9" t="n">
        <f aca="false">MAX(0,'Engineering Assumptions'!$G$23-G140)</f>
        <v>0</v>
      </c>
      <c r="N140" s="187" t="str">
        <f aca="false">IF(G140&gt;=20,"REPLACE",IF(L140&gt;0.6,"REPLACE",IF(G140&gt;=15,"REPLACE",IF(OR(G140&gt;=11,L140&gt;0.4),"MONITOR","KEEP"))))</f>
        <v>REPLACE</v>
      </c>
      <c r="O140" s="188" t="str">
        <f aca="false">IF(G140&gt;=20,"End of life (age &gt; 20)",IF(L140&gt;0.6,"Repairs exceed 60% of revenue",IF(G140&gt;=15,"Age 15+ → replace",IF(OR(G140&gt;=11,L140&gt;0.4),"Watch costs; plan replacement","Healthy — continue operating"))))</f>
        <v>End of life (age &gt; 20)</v>
      </c>
      <c r="P140" s="188" t="str">
        <f aca="false">'Engineering Assumptions'!H23</f>
        <v>BOMAG BW138/Dynapac CC1300 ~Rs. 12–18M</v>
      </c>
    </row>
    <row r="141" customFormat="false" ht="15" hidden="false" customHeight="true" outlineLevel="0" collapsed="false">
      <c r="A141" s="9" t="n">
        <v>131</v>
      </c>
      <c r="B141" s="184" t="s">
        <v>103</v>
      </c>
      <c r="C141" s="184" t="s">
        <v>2332</v>
      </c>
      <c r="D141" s="184" t="s">
        <v>573</v>
      </c>
      <c r="E141" s="184"/>
      <c r="F141" s="45" t="s">
        <v>472</v>
      </c>
      <c r="G141" s="9" t="n">
        <v>30</v>
      </c>
      <c r="H141" s="185" t="n">
        <f aca="false">'Engineering Assumptions'!$F$23*0.03*1</f>
        <v>0.42</v>
      </c>
      <c r="I141" s="185" t="n">
        <f aca="false">'Engineering Assumptions'!$F$23*1</f>
        <v>14</v>
      </c>
      <c r="J141" s="12" t="n">
        <f aca="false">'Fleet Pricing'!L141</f>
        <v>230500</v>
      </c>
      <c r="K141" s="12" t="n">
        <f aca="false">'Maintenance &amp; Repair'!J141+'Maintenance &amp; Repair'!K141</f>
        <v>138240</v>
      </c>
      <c r="L141" s="186" t="n">
        <f aca="false">IFERROR(K141/J141,0)</f>
        <v>0.599739696312365</v>
      </c>
      <c r="M141" s="9" t="n">
        <f aca="false">MAX(0,'Engineering Assumptions'!$G$23-G141)</f>
        <v>0</v>
      </c>
      <c r="N141" s="187" t="str">
        <f aca="false">IF(G141&gt;=20,"REPLACE",IF(L141&gt;0.6,"REPLACE",IF(G141&gt;=15,"REPLACE",IF(OR(G141&gt;=11,L141&gt;0.4),"MONITOR","KEEP"))))</f>
        <v>REPLACE</v>
      </c>
      <c r="O141" s="188" t="str">
        <f aca="false">IF(G141&gt;=20,"End of life (age &gt; 20)",IF(L141&gt;0.6,"Repairs exceed 60% of revenue",IF(G141&gt;=15,"Age 15+ → replace",IF(OR(G141&gt;=11,L141&gt;0.4),"Watch costs; plan replacement","Healthy — continue operating"))))</f>
        <v>End of life (age &gt; 20)</v>
      </c>
      <c r="P141" s="188" t="str">
        <f aca="false">'Engineering Assumptions'!H23</f>
        <v>BOMAG BW138/Dynapac CC1300 ~Rs. 12–18M</v>
      </c>
    </row>
    <row r="142" customFormat="false" ht="15" hidden="false" customHeight="true" outlineLevel="0" collapsed="false">
      <c r="A142" s="9" t="n">
        <v>132</v>
      </c>
      <c r="B142" s="184" t="s">
        <v>103</v>
      </c>
      <c r="C142" s="184" t="s">
        <v>2332</v>
      </c>
      <c r="D142" s="184" t="s">
        <v>574</v>
      </c>
      <c r="E142" s="184"/>
      <c r="F142" s="45" t="s">
        <v>472</v>
      </c>
      <c r="G142" s="9" t="n">
        <v>30</v>
      </c>
      <c r="H142" s="185" t="n">
        <f aca="false">'Engineering Assumptions'!$F$23*0.03*1</f>
        <v>0.42</v>
      </c>
      <c r="I142" s="185" t="n">
        <f aca="false">'Engineering Assumptions'!$F$23*1</f>
        <v>14</v>
      </c>
      <c r="J142" s="12" t="n">
        <f aca="false">'Fleet Pricing'!L142</f>
        <v>230500</v>
      </c>
      <c r="K142" s="12" t="n">
        <f aca="false">'Maintenance &amp; Repair'!J142+'Maintenance &amp; Repair'!K142</f>
        <v>138240</v>
      </c>
      <c r="L142" s="186" t="n">
        <f aca="false">IFERROR(K142/J142,0)</f>
        <v>0.599739696312365</v>
      </c>
      <c r="M142" s="9" t="n">
        <f aca="false">MAX(0,'Engineering Assumptions'!$G$23-G142)</f>
        <v>0</v>
      </c>
      <c r="N142" s="187" t="str">
        <f aca="false">IF(G142&gt;=20,"REPLACE",IF(L142&gt;0.6,"REPLACE",IF(G142&gt;=15,"REPLACE",IF(OR(G142&gt;=11,L142&gt;0.4),"MONITOR","KEEP"))))</f>
        <v>REPLACE</v>
      </c>
      <c r="O142" s="188" t="str">
        <f aca="false">IF(G142&gt;=20,"End of life (age &gt; 20)",IF(L142&gt;0.6,"Repairs exceed 60% of revenue",IF(G142&gt;=15,"Age 15+ → replace",IF(OR(G142&gt;=11,L142&gt;0.4),"Watch costs; plan replacement","Healthy — continue operating"))))</f>
        <v>End of life (age &gt; 20)</v>
      </c>
      <c r="P142" s="188" t="str">
        <f aca="false">'Engineering Assumptions'!H23</f>
        <v>BOMAG BW138/Dynapac CC1300 ~Rs. 12–18M</v>
      </c>
    </row>
    <row r="143" customFormat="false" ht="15" hidden="false" customHeight="true" outlineLevel="0" collapsed="false">
      <c r="A143" s="9" t="n">
        <v>133</v>
      </c>
      <c r="B143" s="184" t="s">
        <v>103</v>
      </c>
      <c r="C143" s="184" t="s">
        <v>2332</v>
      </c>
      <c r="D143" s="184" t="s">
        <v>575</v>
      </c>
      <c r="E143" s="184"/>
      <c r="F143" s="45" t="s">
        <v>472</v>
      </c>
      <c r="G143" s="9" t="n">
        <v>30</v>
      </c>
      <c r="H143" s="185" t="n">
        <f aca="false">'Engineering Assumptions'!$F$23*0.03*1</f>
        <v>0.42</v>
      </c>
      <c r="I143" s="185" t="n">
        <f aca="false">'Engineering Assumptions'!$F$23*1</f>
        <v>14</v>
      </c>
      <c r="J143" s="12" t="n">
        <f aca="false">'Fleet Pricing'!L143</f>
        <v>230500</v>
      </c>
      <c r="K143" s="12" t="n">
        <f aca="false">'Maintenance &amp; Repair'!J143+'Maintenance &amp; Repair'!K143</f>
        <v>138240</v>
      </c>
      <c r="L143" s="186" t="n">
        <f aca="false">IFERROR(K143/J143,0)</f>
        <v>0.599739696312365</v>
      </c>
      <c r="M143" s="9" t="n">
        <f aca="false">MAX(0,'Engineering Assumptions'!$G$23-G143)</f>
        <v>0</v>
      </c>
      <c r="N143" s="187" t="str">
        <f aca="false">IF(G143&gt;=20,"REPLACE",IF(L143&gt;0.6,"REPLACE",IF(G143&gt;=15,"REPLACE",IF(OR(G143&gt;=11,L143&gt;0.4),"MONITOR","KEEP"))))</f>
        <v>REPLACE</v>
      </c>
      <c r="O143" s="188" t="str">
        <f aca="false">IF(G143&gt;=20,"End of life (age &gt; 20)",IF(L143&gt;0.6,"Repairs exceed 60% of revenue",IF(G143&gt;=15,"Age 15+ → replace",IF(OR(G143&gt;=11,L143&gt;0.4),"Watch costs; plan replacement","Healthy — continue operating"))))</f>
        <v>End of life (age &gt; 20)</v>
      </c>
      <c r="P143" s="188" t="str">
        <f aca="false">'Engineering Assumptions'!H23</f>
        <v>BOMAG BW138/Dynapac CC1300 ~Rs. 12–18M</v>
      </c>
    </row>
    <row r="144" customFormat="false" ht="15" hidden="false" customHeight="true" outlineLevel="0" collapsed="false">
      <c r="A144" s="9" t="n">
        <v>134</v>
      </c>
      <c r="B144" s="184" t="s">
        <v>103</v>
      </c>
      <c r="C144" s="184" t="s">
        <v>2332</v>
      </c>
      <c r="D144" s="184" t="s">
        <v>576</v>
      </c>
      <c r="E144" s="184"/>
      <c r="F144" s="45" t="s">
        <v>472</v>
      </c>
      <c r="G144" s="9" t="n">
        <v>30</v>
      </c>
      <c r="H144" s="185" t="n">
        <f aca="false">'Engineering Assumptions'!$F$23*0.03*1</f>
        <v>0.42</v>
      </c>
      <c r="I144" s="185" t="n">
        <f aca="false">'Engineering Assumptions'!$F$23*1</f>
        <v>14</v>
      </c>
      <c r="J144" s="12" t="n">
        <f aca="false">'Fleet Pricing'!L144</f>
        <v>230500</v>
      </c>
      <c r="K144" s="12" t="n">
        <f aca="false">'Maintenance &amp; Repair'!J144+'Maintenance &amp; Repair'!K144</f>
        <v>138240</v>
      </c>
      <c r="L144" s="186" t="n">
        <f aca="false">IFERROR(K144/J144,0)</f>
        <v>0.599739696312365</v>
      </c>
      <c r="M144" s="9" t="n">
        <f aca="false">MAX(0,'Engineering Assumptions'!$G$23-G144)</f>
        <v>0</v>
      </c>
      <c r="N144" s="187" t="str">
        <f aca="false">IF(G144&gt;=20,"REPLACE",IF(L144&gt;0.6,"REPLACE",IF(G144&gt;=15,"REPLACE",IF(OR(G144&gt;=11,L144&gt;0.4),"MONITOR","KEEP"))))</f>
        <v>REPLACE</v>
      </c>
      <c r="O144" s="188" t="str">
        <f aca="false">IF(G144&gt;=20,"End of life (age &gt; 20)",IF(L144&gt;0.6,"Repairs exceed 60% of revenue",IF(G144&gt;=15,"Age 15+ → replace",IF(OR(G144&gt;=11,L144&gt;0.4),"Watch costs; plan replacement","Healthy — continue operating"))))</f>
        <v>End of life (age &gt; 20)</v>
      </c>
      <c r="P144" s="188" t="str">
        <f aca="false">'Engineering Assumptions'!H23</f>
        <v>BOMAG BW138/Dynapac CC1300 ~Rs. 12–18M</v>
      </c>
    </row>
    <row r="145" customFormat="false" ht="15" hidden="false" customHeight="true" outlineLevel="0" collapsed="false">
      <c r="A145" s="9" t="n">
        <v>135</v>
      </c>
      <c r="B145" s="184" t="s">
        <v>103</v>
      </c>
      <c r="C145" s="184" t="s">
        <v>2332</v>
      </c>
      <c r="D145" s="184" t="s">
        <v>579</v>
      </c>
      <c r="E145" s="184"/>
      <c r="F145" s="45" t="s">
        <v>472</v>
      </c>
      <c r="G145" s="9" t="n">
        <v>30</v>
      </c>
      <c r="H145" s="185" t="n">
        <f aca="false">'Engineering Assumptions'!$F$23*0.03*1</f>
        <v>0.42</v>
      </c>
      <c r="I145" s="185" t="n">
        <f aca="false">'Engineering Assumptions'!$F$23*1</f>
        <v>14</v>
      </c>
      <c r="J145" s="12" t="n">
        <f aca="false">'Fleet Pricing'!L145</f>
        <v>230500</v>
      </c>
      <c r="K145" s="12" t="n">
        <f aca="false">'Maintenance &amp; Repair'!J145+'Maintenance &amp; Repair'!K145</f>
        <v>138240</v>
      </c>
      <c r="L145" s="186" t="n">
        <f aca="false">IFERROR(K145/J145,0)</f>
        <v>0.599739696312365</v>
      </c>
      <c r="M145" s="9" t="n">
        <f aca="false">MAX(0,'Engineering Assumptions'!$G$23-G145)</f>
        <v>0</v>
      </c>
      <c r="N145" s="187" t="str">
        <f aca="false">IF(G145&gt;=20,"REPLACE",IF(L145&gt;0.6,"REPLACE",IF(G145&gt;=15,"REPLACE",IF(OR(G145&gt;=11,L145&gt;0.4),"MONITOR","KEEP"))))</f>
        <v>REPLACE</v>
      </c>
      <c r="O145" s="188" t="str">
        <f aca="false">IF(G145&gt;=20,"End of life (age &gt; 20)",IF(L145&gt;0.6,"Repairs exceed 60% of revenue",IF(G145&gt;=15,"Age 15+ → replace",IF(OR(G145&gt;=11,L145&gt;0.4),"Watch costs; plan replacement","Healthy — continue operating"))))</f>
        <v>End of life (age &gt; 20)</v>
      </c>
      <c r="P145" s="188" t="str">
        <f aca="false">'Engineering Assumptions'!H23</f>
        <v>BOMAG BW138/Dynapac CC1300 ~Rs. 12–18M</v>
      </c>
    </row>
    <row r="146" customFormat="false" ht="15" hidden="false" customHeight="true" outlineLevel="0" collapsed="false">
      <c r="A146" s="9" t="n">
        <v>136</v>
      </c>
      <c r="B146" s="184" t="s">
        <v>103</v>
      </c>
      <c r="C146" s="184" t="s">
        <v>2332</v>
      </c>
      <c r="D146" s="184" t="s">
        <v>510</v>
      </c>
      <c r="E146" s="184"/>
      <c r="F146" s="45" t="s">
        <v>472</v>
      </c>
      <c r="G146" s="9" t="n">
        <v>30</v>
      </c>
      <c r="H146" s="185" t="n">
        <f aca="false">'Engineering Assumptions'!$F$23*0.03*1</f>
        <v>0.42</v>
      </c>
      <c r="I146" s="185" t="n">
        <f aca="false">'Engineering Assumptions'!$F$23*1</f>
        <v>14</v>
      </c>
      <c r="J146" s="12" t="n">
        <f aca="false">'Fleet Pricing'!L146</f>
        <v>230500</v>
      </c>
      <c r="K146" s="12" t="n">
        <f aca="false">'Maintenance &amp; Repair'!J146+'Maintenance &amp; Repair'!K146</f>
        <v>138240</v>
      </c>
      <c r="L146" s="186" t="n">
        <f aca="false">IFERROR(K146/J146,0)</f>
        <v>0.599739696312365</v>
      </c>
      <c r="M146" s="9" t="n">
        <f aca="false">MAX(0,'Engineering Assumptions'!$G$23-G146)</f>
        <v>0</v>
      </c>
      <c r="N146" s="187" t="str">
        <f aca="false">IF(G146&gt;=20,"REPLACE",IF(L146&gt;0.6,"REPLACE",IF(G146&gt;=15,"REPLACE",IF(OR(G146&gt;=11,L146&gt;0.4),"MONITOR","KEEP"))))</f>
        <v>REPLACE</v>
      </c>
      <c r="O146" s="188" t="str">
        <f aca="false">IF(G146&gt;=20,"End of life (age &gt; 20)",IF(L146&gt;0.6,"Repairs exceed 60% of revenue",IF(G146&gt;=15,"Age 15+ → replace",IF(OR(G146&gt;=11,L146&gt;0.4),"Watch costs; plan replacement","Healthy — continue operating"))))</f>
        <v>End of life (age &gt; 20)</v>
      </c>
      <c r="P146" s="188" t="str">
        <f aca="false">'Engineering Assumptions'!H23</f>
        <v>BOMAG BW138/Dynapac CC1300 ~Rs. 12–18M</v>
      </c>
    </row>
    <row r="147" customFormat="false" ht="15" hidden="false" customHeight="true" outlineLevel="0" collapsed="false">
      <c r="A147" s="9" t="n">
        <v>137</v>
      </c>
      <c r="B147" s="184" t="s">
        <v>103</v>
      </c>
      <c r="C147" s="184" t="s">
        <v>2332</v>
      </c>
      <c r="D147" s="184" t="s">
        <v>520</v>
      </c>
      <c r="E147" s="184"/>
      <c r="F147" s="45" t="s">
        <v>472</v>
      </c>
      <c r="G147" s="9" t="n">
        <v>30</v>
      </c>
      <c r="H147" s="185" t="n">
        <f aca="false">'Engineering Assumptions'!$F$23*0.03*1</f>
        <v>0.42</v>
      </c>
      <c r="I147" s="185" t="n">
        <f aca="false">'Engineering Assumptions'!$F$23*1</f>
        <v>14</v>
      </c>
      <c r="J147" s="12" t="n">
        <f aca="false">'Fleet Pricing'!L147</f>
        <v>230500</v>
      </c>
      <c r="K147" s="12" t="n">
        <f aca="false">'Maintenance &amp; Repair'!J147+'Maintenance &amp; Repair'!K147</f>
        <v>138240</v>
      </c>
      <c r="L147" s="186" t="n">
        <f aca="false">IFERROR(K147/J147,0)</f>
        <v>0.599739696312365</v>
      </c>
      <c r="M147" s="9" t="n">
        <f aca="false">MAX(0,'Engineering Assumptions'!$G$23-G147)</f>
        <v>0</v>
      </c>
      <c r="N147" s="187" t="str">
        <f aca="false">IF(G147&gt;=20,"REPLACE",IF(L147&gt;0.6,"REPLACE",IF(G147&gt;=15,"REPLACE",IF(OR(G147&gt;=11,L147&gt;0.4),"MONITOR","KEEP"))))</f>
        <v>REPLACE</v>
      </c>
      <c r="O147" s="188" t="str">
        <f aca="false">IF(G147&gt;=20,"End of life (age &gt; 20)",IF(L147&gt;0.6,"Repairs exceed 60% of revenue",IF(G147&gt;=15,"Age 15+ → replace",IF(OR(G147&gt;=11,L147&gt;0.4),"Watch costs; plan replacement","Healthy — continue operating"))))</f>
        <v>End of life (age &gt; 20)</v>
      </c>
      <c r="P147" s="188" t="str">
        <f aca="false">'Engineering Assumptions'!H23</f>
        <v>BOMAG BW138/Dynapac CC1300 ~Rs. 12–18M</v>
      </c>
    </row>
    <row r="148" customFormat="false" ht="15" hidden="false" customHeight="true" outlineLevel="0" collapsed="false">
      <c r="A148" s="9" t="n">
        <v>138</v>
      </c>
      <c r="B148" s="184" t="s">
        <v>103</v>
      </c>
      <c r="C148" s="184" t="s">
        <v>2332</v>
      </c>
      <c r="D148" s="184" t="s">
        <v>522</v>
      </c>
      <c r="E148" s="184"/>
      <c r="F148" s="45" t="s">
        <v>472</v>
      </c>
      <c r="G148" s="9" t="n">
        <v>30</v>
      </c>
      <c r="H148" s="185" t="n">
        <f aca="false">'Engineering Assumptions'!$F$23*0.03*1</f>
        <v>0.42</v>
      </c>
      <c r="I148" s="185" t="n">
        <f aca="false">'Engineering Assumptions'!$F$23*1</f>
        <v>14</v>
      </c>
      <c r="J148" s="12" t="n">
        <f aca="false">'Fleet Pricing'!L148</f>
        <v>230500</v>
      </c>
      <c r="K148" s="12" t="n">
        <f aca="false">'Maintenance &amp; Repair'!J148+'Maintenance &amp; Repair'!K148</f>
        <v>138240</v>
      </c>
      <c r="L148" s="186" t="n">
        <f aca="false">IFERROR(K148/J148,0)</f>
        <v>0.599739696312365</v>
      </c>
      <c r="M148" s="9" t="n">
        <f aca="false">MAX(0,'Engineering Assumptions'!$G$23-G148)</f>
        <v>0</v>
      </c>
      <c r="N148" s="187" t="str">
        <f aca="false">IF(G148&gt;=20,"REPLACE",IF(L148&gt;0.6,"REPLACE",IF(G148&gt;=15,"REPLACE",IF(OR(G148&gt;=11,L148&gt;0.4),"MONITOR","KEEP"))))</f>
        <v>REPLACE</v>
      </c>
      <c r="O148" s="188" t="str">
        <f aca="false">IF(G148&gt;=20,"End of life (age &gt; 20)",IF(L148&gt;0.6,"Repairs exceed 60% of revenue",IF(G148&gt;=15,"Age 15+ → replace",IF(OR(G148&gt;=11,L148&gt;0.4),"Watch costs; plan replacement","Healthy — continue operating"))))</f>
        <v>End of life (age &gt; 20)</v>
      </c>
      <c r="P148" s="188" t="str">
        <f aca="false">'Engineering Assumptions'!H23</f>
        <v>BOMAG BW138/Dynapac CC1300 ~Rs. 12–18M</v>
      </c>
    </row>
    <row r="149" customFormat="false" ht="15" hidden="false" customHeight="true" outlineLevel="0" collapsed="false">
      <c r="A149" s="9" t="n">
        <v>139</v>
      </c>
      <c r="B149" s="184" t="s">
        <v>103</v>
      </c>
      <c r="C149" s="184" t="s">
        <v>2333</v>
      </c>
      <c r="D149" s="184"/>
      <c r="E149" s="184"/>
      <c r="F149" s="45" t="s">
        <v>472</v>
      </c>
      <c r="G149" s="9" t="n">
        <v>30</v>
      </c>
      <c r="H149" s="185" t="n">
        <f aca="false">'Engineering Assumptions'!$F$23*0.03*1</f>
        <v>0.42</v>
      </c>
      <c r="I149" s="185" t="n">
        <f aca="false">'Engineering Assumptions'!$F$23*1</f>
        <v>14</v>
      </c>
      <c r="J149" s="12" t="n">
        <f aca="false">'Fleet Pricing'!L149</f>
        <v>230500</v>
      </c>
      <c r="K149" s="12" t="n">
        <f aca="false">'Maintenance &amp; Repair'!J149+'Maintenance &amp; Repair'!K149</f>
        <v>138240</v>
      </c>
      <c r="L149" s="186" t="n">
        <f aca="false">IFERROR(K149/J149,0)</f>
        <v>0.599739696312365</v>
      </c>
      <c r="M149" s="9" t="n">
        <f aca="false">MAX(0,'Engineering Assumptions'!$G$23-G149)</f>
        <v>0</v>
      </c>
      <c r="N149" s="187" t="str">
        <f aca="false">IF(G149&gt;=20,"REPLACE",IF(L149&gt;0.6,"REPLACE",IF(G149&gt;=15,"REPLACE",IF(OR(G149&gt;=11,L149&gt;0.4),"MONITOR","KEEP"))))</f>
        <v>REPLACE</v>
      </c>
      <c r="O149" s="188" t="str">
        <f aca="false">IF(G149&gt;=20,"End of life (age &gt; 20)",IF(L149&gt;0.6,"Repairs exceed 60% of revenue",IF(G149&gt;=15,"Age 15+ → replace",IF(OR(G149&gt;=11,L149&gt;0.4),"Watch costs; plan replacement","Healthy — continue operating"))))</f>
        <v>End of life (age &gt; 20)</v>
      </c>
      <c r="P149" s="188" t="str">
        <f aca="false">'Engineering Assumptions'!H23</f>
        <v>BOMAG BW138/Dynapac CC1300 ~Rs. 12–18M</v>
      </c>
    </row>
    <row r="150" customFormat="false" ht="15" hidden="false" customHeight="true" outlineLevel="0" collapsed="false">
      <c r="A150" s="9" t="n">
        <v>140</v>
      </c>
      <c r="B150" s="184" t="s">
        <v>103</v>
      </c>
      <c r="C150" s="184" t="s">
        <v>2334</v>
      </c>
      <c r="D150" s="184" t="s">
        <v>577</v>
      </c>
      <c r="E150" s="184"/>
      <c r="F150" s="45" t="s">
        <v>472</v>
      </c>
      <c r="G150" s="9" t="n">
        <v>30</v>
      </c>
      <c r="H150" s="185" t="n">
        <f aca="false">'Engineering Assumptions'!$F$23*0.03*1</f>
        <v>0.42</v>
      </c>
      <c r="I150" s="185" t="n">
        <f aca="false">'Engineering Assumptions'!$F$23*1</f>
        <v>14</v>
      </c>
      <c r="J150" s="12" t="n">
        <f aca="false">'Fleet Pricing'!L150</f>
        <v>230500</v>
      </c>
      <c r="K150" s="12" t="n">
        <f aca="false">'Maintenance &amp; Repair'!J150+'Maintenance &amp; Repair'!K150</f>
        <v>138240</v>
      </c>
      <c r="L150" s="186" t="n">
        <f aca="false">IFERROR(K150/J150,0)</f>
        <v>0.599739696312365</v>
      </c>
      <c r="M150" s="9" t="n">
        <f aca="false">MAX(0,'Engineering Assumptions'!$G$23-G150)</f>
        <v>0</v>
      </c>
      <c r="N150" s="187" t="str">
        <f aca="false">IF(G150&gt;=20,"REPLACE",IF(L150&gt;0.6,"REPLACE",IF(G150&gt;=15,"REPLACE",IF(OR(G150&gt;=11,L150&gt;0.4),"MONITOR","KEEP"))))</f>
        <v>REPLACE</v>
      </c>
      <c r="O150" s="188" t="str">
        <f aca="false">IF(G150&gt;=20,"End of life (age &gt; 20)",IF(L150&gt;0.6,"Repairs exceed 60% of revenue",IF(G150&gt;=15,"Age 15+ → replace",IF(OR(G150&gt;=11,L150&gt;0.4),"Watch costs; plan replacement","Healthy — continue operating"))))</f>
        <v>End of life (age &gt; 20)</v>
      </c>
      <c r="P150" s="188" t="str">
        <f aca="false">'Engineering Assumptions'!H23</f>
        <v>BOMAG BW138/Dynapac CC1300 ~Rs. 12–18M</v>
      </c>
    </row>
    <row r="151" customFormat="false" ht="15" hidden="false" customHeight="true" outlineLevel="0" collapsed="false">
      <c r="A151" s="9" t="n">
        <v>141</v>
      </c>
      <c r="B151" s="184" t="s">
        <v>103</v>
      </c>
      <c r="C151" s="184" t="s">
        <v>2329</v>
      </c>
      <c r="D151" s="184" t="s">
        <v>547</v>
      </c>
      <c r="E151" s="184"/>
      <c r="F151" s="45" t="s">
        <v>472</v>
      </c>
      <c r="G151" s="9" t="n">
        <v>30</v>
      </c>
      <c r="H151" s="185" t="n">
        <f aca="false">'Engineering Assumptions'!$F$23*0.03*1</f>
        <v>0.42</v>
      </c>
      <c r="I151" s="185" t="n">
        <f aca="false">'Engineering Assumptions'!$F$23*1</f>
        <v>14</v>
      </c>
      <c r="J151" s="12" t="n">
        <f aca="false">'Fleet Pricing'!L151</f>
        <v>230500</v>
      </c>
      <c r="K151" s="12" t="n">
        <f aca="false">'Maintenance &amp; Repair'!J151+'Maintenance &amp; Repair'!K151</f>
        <v>138240</v>
      </c>
      <c r="L151" s="186" t="n">
        <f aca="false">IFERROR(K151/J151,0)</f>
        <v>0.599739696312365</v>
      </c>
      <c r="M151" s="9" t="n">
        <f aca="false">MAX(0,'Engineering Assumptions'!$G$23-G151)</f>
        <v>0</v>
      </c>
      <c r="N151" s="187" t="str">
        <f aca="false">IF(G151&gt;=20,"REPLACE",IF(L151&gt;0.6,"REPLACE",IF(G151&gt;=15,"REPLACE",IF(OR(G151&gt;=11,L151&gt;0.4),"MONITOR","KEEP"))))</f>
        <v>REPLACE</v>
      </c>
      <c r="O151" s="188" t="str">
        <f aca="false">IF(G151&gt;=20,"End of life (age &gt; 20)",IF(L151&gt;0.6,"Repairs exceed 60% of revenue",IF(G151&gt;=15,"Age 15+ → replace",IF(OR(G151&gt;=11,L151&gt;0.4),"Watch costs; plan replacement","Healthy — continue operating"))))</f>
        <v>End of life (age &gt; 20)</v>
      </c>
      <c r="P151" s="188" t="str">
        <f aca="false">'Engineering Assumptions'!H23</f>
        <v>BOMAG BW138/Dynapac CC1300 ~Rs. 12–18M</v>
      </c>
    </row>
    <row r="152" customFormat="false" ht="15" hidden="false" customHeight="true" outlineLevel="0" collapsed="false">
      <c r="A152" s="9" t="n">
        <v>142</v>
      </c>
      <c r="B152" s="184" t="s">
        <v>103</v>
      </c>
      <c r="C152" s="184" t="s">
        <v>2335</v>
      </c>
      <c r="D152" s="184" t="s">
        <v>553</v>
      </c>
      <c r="E152" s="184"/>
      <c r="F152" s="45" t="s">
        <v>472</v>
      </c>
      <c r="G152" s="9" t="n">
        <v>30</v>
      </c>
      <c r="H152" s="185" t="n">
        <f aca="false">'Engineering Assumptions'!$F$23*0.03*1</f>
        <v>0.42</v>
      </c>
      <c r="I152" s="185" t="n">
        <f aca="false">'Engineering Assumptions'!$F$23*1</f>
        <v>14</v>
      </c>
      <c r="J152" s="12" t="n">
        <f aca="false">'Fleet Pricing'!L152</f>
        <v>230500</v>
      </c>
      <c r="K152" s="12" t="n">
        <f aca="false">'Maintenance &amp; Repair'!J152+'Maintenance &amp; Repair'!K152</f>
        <v>138240</v>
      </c>
      <c r="L152" s="186" t="n">
        <f aca="false">IFERROR(K152/J152,0)</f>
        <v>0.599739696312365</v>
      </c>
      <c r="M152" s="9" t="n">
        <f aca="false">MAX(0,'Engineering Assumptions'!$G$23-G152)</f>
        <v>0</v>
      </c>
      <c r="N152" s="187" t="str">
        <f aca="false">IF(G152&gt;=20,"REPLACE",IF(L152&gt;0.6,"REPLACE",IF(G152&gt;=15,"REPLACE",IF(OR(G152&gt;=11,L152&gt;0.4),"MONITOR","KEEP"))))</f>
        <v>REPLACE</v>
      </c>
      <c r="O152" s="188" t="str">
        <f aca="false">IF(G152&gt;=20,"End of life (age &gt; 20)",IF(L152&gt;0.6,"Repairs exceed 60% of revenue",IF(G152&gt;=15,"Age 15+ → replace",IF(OR(G152&gt;=11,L152&gt;0.4),"Watch costs; plan replacement","Healthy — continue operating"))))</f>
        <v>End of life (age &gt; 20)</v>
      </c>
      <c r="P152" s="188" t="str">
        <f aca="false">'Engineering Assumptions'!H23</f>
        <v>BOMAG BW138/Dynapac CC1300 ~Rs. 12–18M</v>
      </c>
    </row>
    <row r="153" customFormat="false" ht="15" hidden="false" customHeight="true" outlineLevel="0" collapsed="false">
      <c r="A153" s="9" t="n">
        <v>143</v>
      </c>
      <c r="B153" s="184" t="s">
        <v>103</v>
      </c>
      <c r="C153" s="184" t="s">
        <v>2336</v>
      </c>
      <c r="D153" s="184" t="s">
        <v>580</v>
      </c>
      <c r="E153" s="184"/>
      <c r="F153" s="45" t="s">
        <v>472</v>
      </c>
      <c r="G153" s="9" t="n">
        <v>30</v>
      </c>
      <c r="H153" s="185" t="n">
        <f aca="false">'Engineering Assumptions'!$F$23*0.03*1</f>
        <v>0.42</v>
      </c>
      <c r="I153" s="185" t="n">
        <f aca="false">'Engineering Assumptions'!$F$23*1</f>
        <v>14</v>
      </c>
      <c r="J153" s="12" t="n">
        <f aca="false">'Fleet Pricing'!L153</f>
        <v>230500</v>
      </c>
      <c r="K153" s="12" t="n">
        <f aca="false">'Maintenance &amp; Repair'!J153+'Maintenance &amp; Repair'!K153</f>
        <v>138240</v>
      </c>
      <c r="L153" s="186" t="n">
        <f aca="false">IFERROR(K153/J153,0)</f>
        <v>0.599739696312365</v>
      </c>
      <c r="M153" s="9" t="n">
        <f aca="false">MAX(0,'Engineering Assumptions'!$G$23-G153)</f>
        <v>0</v>
      </c>
      <c r="N153" s="187" t="str">
        <f aca="false">IF(G153&gt;=20,"REPLACE",IF(L153&gt;0.6,"REPLACE",IF(G153&gt;=15,"REPLACE",IF(OR(G153&gt;=11,L153&gt;0.4),"MONITOR","KEEP"))))</f>
        <v>REPLACE</v>
      </c>
      <c r="O153" s="188" t="str">
        <f aca="false">IF(G153&gt;=20,"End of life (age &gt; 20)",IF(L153&gt;0.6,"Repairs exceed 60% of revenue",IF(G153&gt;=15,"Age 15+ → replace",IF(OR(G153&gt;=11,L153&gt;0.4),"Watch costs; plan replacement","Healthy — continue operating"))))</f>
        <v>End of life (age &gt; 20)</v>
      </c>
      <c r="P153" s="188" t="str">
        <f aca="false">'Engineering Assumptions'!H23</f>
        <v>BOMAG BW138/Dynapac CC1300 ~Rs. 12–18M</v>
      </c>
    </row>
    <row r="154" customFormat="false" ht="15" hidden="false" customHeight="true" outlineLevel="0" collapsed="false">
      <c r="A154" s="42" t="s">
        <v>582</v>
      </c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</row>
    <row r="155" customFormat="false" ht="15" hidden="false" customHeight="true" outlineLevel="0" collapsed="false">
      <c r="A155" s="9" t="n">
        <v>144</v>
      </c>
      <c r="B155" s="184" t="s">
        <v>105</v>
      </c>
      <c r="C155" s="184" t="s">
        <v>2313</v>
      </c>
      <c r="D155" s="184" t="s">
        <v>583</v>
      </c>
      <c r="E155" s="184"/>
      <c r="F155" s="45" t="s">
        <v>310</v>
      </c>
      <c r="G155" s="9" t="n">
        <v>14</v>
      </c>
      <c r="H155" s="185" t="n">
        <f aca="false">'Engineering Assumptions'!$F$24*0.12*1</f>
        <v>2.28</v>
      </c>
      <c r="I155" s="185" t="n">
        <f aca="false">'Engineering Assumptions'!$F$24*1</f>
        <v>19</v>
      </c>
      <c r="J155" s="12" t="n">
        <f aca="false">'Fleet Pricing'!L155</f>
        <v>330500</v>
      </c>
      <c r="K155" s="12" t="n">
        <f aca="false">'Maintenance &amp; Repair'!J155+'Maintenance &amp; Repair'!K155</f>
        <v>80940</v>
      </c>
      <c r="L155" s="186" t="n">
        <f aca="false">IFERROR(K155/J155,0)</f>
        <v>0.244901664145234</v>
      </c>
      <c r="M155" s="9" t="n">
        <f aca="false">MAX(0,'Engineering Assumptions'!$G$24-G155)</f>
        <v>1</v>
      </c>
      <c r="N155" s="187" t="str">
        <f aca="false">IF(G155&gt;=20,"REPLACE",IF(L155&gt;0.6,"REPLACE",IF(G155&gt;=15,"REPLACE",IF(OR(G155&gt;=11,L155&gt;0.4),"MONITOR","KEEP"))))</f>
        <v>MONITOR</v>
      </c>
      <c r="O155" s="188" t="str">
        <f aca="false">IF(G155&gt;=20,"End of life (age &gt; 20)",IF(L155&gt;0.6,"Repairs exceed 60% of revenue",IF(G155&gt;=15,"Age 15+ → replace",IF(OR(G155&gt;=11,L155&gt;0.4),"Watch costs; plan replacement","Healthy — continue operating"))))</f>
        <v>Watch costs; plan replacement</v>
      </c>
      <c r="P155" s="188" t="str">
        <f aca="false">'Engineering Assumptions'!H24</f>
        <v>Dynapac CP201 / SAKAI ~Rs. 18–22M</v>
      </c>
    </row>
    <row r="156" customFormat="false" ht="15" hidden="false" customHeight="true" outlineLevel="0" collapsed="false">
      <c r="A156" s="9" t="n">
        <v>145</v>
      </c>
      <c r="B156" s="184" t="s">
        <v>105</v>
      </c>
      <c r="C156" s="184" t="s">
        <v>2337</v>
      </c>
      <c r="D156" s="184" t="s">
        <v>584</v>
      </c>
      <c r="E156" s="184"/>
      <c r="F156" s="45" t="s">
        <v>310</v>
      </c>
      <c r="G156" s="9" t="n">
        <v>14</v>
      </c>
      <c r="H156" s="185" t="n">
        <f aca="false">'Engineering Assumptions'!$F$24*0.12*1</f>
        <v>2.28</v>
      </c>
      <c r="I156" s="185" t="n">
        <f aca="false">'Engineering Assumptions'!$F$24*1</f>
        <v>19</v>
      </c>
      <c r="J156" s="12" t="n">
        <f aca="false">'Fleet Pricing'!L156</f>
        <v>330500</v>
      </c>
      <c r="K156" s="12" t="n">
        <f aca="false">'Maintenance &amp; Repair'!J156+'Maintenance &amp; Repair'!K156</f>
        <v>80940</v>
      </c>
      <c r="L156" s="186" t="n">
        <f aca="false">IFERROR(K156/J156,0)</f>
        <v>0.244901664145234</v>
      </c>
      <c r="M156" s="9" t="n">
        <f aca="false">MAX(0,'Engineering Assumptions'!$G$24-G156)</f>
        <v>1</v>
      </c>
      <c r="N156" s="187" t="str">
        <f aca="false">IF(G156&gt;=20,"REPLACE",IF(L156&gt;0.6,"REPLACE",IF(G156&gt;=15,"REPLACE",IF(OR(G156&gt;=11,L156&gt;0.4),"MONITOR","KEEP"))))</f>
        <v>MONITOR</v>
      </c>
      <c r="O156" s="188" t="str">
        <f aca="false">IF(G156&gt;=20,"End of life (age &gt; 20)",IF(L156&gt;0.6,"Repairs exceed 60% of revenue",IF(G156&gt;=15,"Age 15+ → replace",IF(OR(G156&gt;=11,L156&gt;0.4),"Watch costs; plan replacement","Healthy — continue operating"))))</f>
        <v>Watch costs; plan replacement</v>
      </c>
      <c r="P156" s="188" t="str">
        <f aca="false">'Engineering Assumptions'!H24</f>
        <v>Dynapac CP201 / SAKAI ~Rs. 18–22M</v>
      </c>
    </row>
    <row r="157" customFormat="false" ht="15" hidden="false" customHeight="true" outlineLevel="0" collapsed="false">
      <c r="A157" s="9" t="n">
        <v>146</v>
      </c>
      <c r="B157" s="184" t="s">
        <v>105</v>
      </c>
      <c r="C157" s="184" t="s">
        <v>2337</v>
      </c>
      <c r="D157" s="184" t="s">
        <v>586</v>
      </c>
      <c r="E157" s="184"/>
      <c r="F157" s="45" t="s">
        <v>310</v>
      </c>
      <c r="G157" s="9" t="n">
        <v>14</v>
      </c>
      <c r="H157" s="185" t="n">
        <f aca="false">'Engineering Assumptions'!$F$24*0.12*1</f>
        <v>2.28</v>
      </c>
      <c r="I157" s="185" t="n">
        <f aca="false">'Engineering Assumptions'!$F$24*1</f>
        <v>19</v>
      </c>
      <c r="J157" s="12" t="n">
        <f aca="false">'Fleet Pricing'!L157</f>
        <v>330500</v>
      </c>
      <c r="K157" s="12" t="n">
        <f aca="false">'Maintenance &amp; Repair'!J157+'Maintenance &amp; Repair'!K157</f>
        <v>80940</v>
      </c>
      <c r="L157" s="186" t="n">
        <f aca="false">IFERROR(K157/J157,0)</f>
        <v>0.244901664145234</v>
      </c>
      <c r="M157" s="9" t="n">
        <f aca="false">MAX(0,'Engineering Assumptions'!$G$24-G157)</f>
        <v>1</v>
      </c>
      <c r="N157" s="187" t="str">
        <f aca="false">IF(G157&gt;=20,"REPLACE",IF(L157&gt;0.6,"REPLACE",IF(G157&gt;=15,"REPLACE",IF(OR(G157&gt;=11,L157&gt;0.4),"MONITOR","KEEP"))))</f>
        <v>MONITOR</v>
      </c>
      <c r="O157" s="188" t="str">
        <f aca="false">IF(G157&gt;=20,"End of life (age &gt; 20)",IF(L157&gt;0.6,"Repairs exceed 60% of revenue",IF(G157&gt;=15,"Age 15+ → replace",IF(OR(G157&gt;=11,L157&gt;0.4),"Watch costs; plan replacement","Healthy — continue operating"))))</f>
        <v>Watch costs; plan replacement</v>
      </c>
      <c r="P157" s="188" t="str">
        <f aca="false">'Engineering Assumptions'!H24</f>
        <v>Dynapac CP201 / SAKAI ~Rs. 18–22M</v>
      </c>
    </row>
    <row r="158" customFormat="false" ht="15" hidden="false" customHeight="true" outlineLevel="0" collapsed="false">
      <c r="A158" s="9" t="n">
        <v>147</v>
      </c>
      <c r="B158" s="184" t="s">
        <v>105</v>
      </c>
      <c r="C158" s="184" t="s">
        <v>2338</v>
      </c>
      <c r="D158" s="184" t="s">
        <v>588</v>
      </c>
      <c r="E158" s="184"/>
      <c r="F158" s="45" t="s">
        <v>310</v>
      </c>
      <c r="G158" s="9" t="n">
        <v>14</v>
      </c>
      <c r="H158" s="185" t="n">
        <f aca="false">'Engineering Assumptions'!$F$24*0.12*1</f>
        <v>2.28</v>
      </c>
      <c r="I158" s="185" t="n">
        <f aca="false">'Engineering Assumptions'!$F$24*1</f>
        <v>19</v>
      </c>
      <c r="J158" s="12" t="n">
        <f aca="false">'Fleet Pricing'!L158</f>
        <v>330500</v>
      </c>
      <c r="K158" s="12" t="n">
        <f aca="false">'Maintenance &amp; Repair'!J158+'Maintenance &amp; Repair'!K158</f>
        <v>80940</v>
      </c>
      <c r="L158" s="186" t="n">
        <f aca="false">IFERROR(K158/J158,0)</f>
        <v>0.244901664145234</v>
      </c>
      <c r="M158" s="9" t="n">
        <f aca="false">MAX(0,'Engineering Assumptions'!$G$24-G158)</f>
        <v>1</v>
      </c>
      <c r="N158" s="187" t="str">
        <f aca="false">IF(G158&gt;=20,"REPLACE",IF(L158&gt;0.6,"REPLACE",IF(G158&gt;=15,"REPLACE",IF(OR(G158&gt;=11,L158&gt;0.4),"MONITOR","KEEP"))))</f>
        <v>MONITOR</v>
      </c>
      <c r="O158" s="188" t="str">
        <f aca="false">IF(G158&gt;=20,"End of life (age &gt; 20)",IF(L158&gt;0.6,"Repairs exceed 60% of revenue",IF(G158&gt;=15,"Age 15+ → replace",IF(OR(G158&gt;=11,L158&gt;0.4),"Watch costs; plan replacement","Healthy — continue operating"))))</f>
        <v>Watch costs; plan replacement</v>
      </c>
      <c r="P158" s="188" t="str">
        <f aca="false">'Engineering Assumptions'!H24</f>
        <v>Dynapac CP201 / SAKAI ~Rs. 18–22M</v>
      </c>
    </row>
    <row r="159" customFormat="false" ht="15" hidden="false" customHeight="true" outlineLevel="0" collapsed="false">
      <c r="A159" s="9" t="n">
        <v>148</v>
      </c>
      <c r="B159" s="184" t="s">
        <v>105</v>
      </c>
      <c r="C159" s="184" t="s">
        <v>2339</v>
      </c>
      <c r="D159" s="184" t="s">
        <v>591</v>
      </c>
      <c r="E159" s="184"/>
      <c r="F159" s="45" t="s">
        <v>310</v>
      </c>
      <c r="G159" s="9" t="n">
        <v>14</v>
      </c>
      <c r="H159" s="185" t="n">
        <f aca="false">'Engineering Assumptions'!$F$24*0.12*1</f>
        <v>2.28</v>
      </c>
      <c r="I159" s="185" t="n">
        <f aca="false">'Engineering Assumptions'!$F$24*1</f>
        <v>19</v>
      </c>
      <c r="J159" s="12" t="n">
        <f aca="false">'Fleet Pricing'!L159</f>
        <v>330500</v>
      </c>
      <c r="K159" s="12" t="n">
        <f aca="false">'Maintenance &amp; Repair'!J159+'Maintenance &amp; Repair'!K159</f>
        <v>80940</v>
      </c>
      <c r="L159" s="186" t="n">
        <f aca="false">IFERROR(K159/J159,0)</f>
        <v>0.244901664145234</v>
      </c>
      <c r="M159" s="9" t="n">
        <f aca="false">MAX(0,'Engineering Assumptions'!$G$24-G159)</f>
        <v>1</v>
      </c>
      <c r="N159" s="187" t="str">
        <f aca="false">IF(G159&gt;=20,"REPLACE",IF(L159&gt;0.6,"REPLACE",IF(G159&gt;=15,"REPLACE",IF(OR(G159&gt;=11,L159&gt;0.4),"MONITOR","KEEP"))))</f>
        <v>MONITOR</v>
      </c>
      <c r="O159" s="188" t="str">
        <f aca="false">IF(G159&gt;=20,"End of life (age &gt; 20)",IF(L159&gt;0.6,"Repairs exceed 60% of revenue",IF(G159&gt;=15,"Age 15+ → replace",IF(OR(G159&gt;=11,L159&gt;0.4),"Watch costs; plan replacement","Healthy — continue operating"))))</f>
        <v>Watch costs; plan replacement</v>
      </c>
      <c r="P159" s="188" t="str">
        <f aca="false">'Engineering Assumptions'!H24</f>
        <v>Dynapac CP201 / SAKAI ~Rs. 18–22M</v>
      </c>
    </row>
    <row r="160" customFormat="false" ht="15" hidden="false" customHeight="true" outlineLevel="0" collapsed="false">
      <c r="A160" s="9" t="n">
        <v>149</v>
      </c>
      <c r="B160" s="184" t="s">
        <v>105</v>
      </c>
      <c r="C160" s="184" t="s">
        <v>2340</v>
      </c>
      <c r="D160" s="184" t="s">
        <v>594</v>
      </c>
      <c r="E160" s="184"/>
      <c r="F160" s="45" t="s">
        <v>310</v>
      </c>
      <c r="G160" s="9" t="n">
        <v>14</v>
      </c>
      <c r="H160" s="185" t="n">
        <f aca="false">'Engineering Assumptions'!$F$24*0.12*1</f>
        <v>2.28</v>
      </c>
      <c r="I160" s="185" t="n">
        <f aca="false">'Engineering Assumptions'!$F$24*1</f>
        <v>19</v>
      </c>
      <c r="J160" s="12" t="n">
        <f aca="false">'Fleet Pricing'!L160</f>
        <v>330500</v>
      </c>
      <c r="K160" s="12" t="n">
        <f aca="false">'Maintenance &amp; Repair'!J160+'Maintenance &amp; Repair'!K160</f>
        <v>80940</v>
      </c>
      <c r="L160" s="186" t="n">
        <f aca="false">IFERROR(K160/J160,0)</f>
        <v>0.244901664145234</v>
      </c>
      <c r="M160" s="9" t="n">
        <f aca="false">MAX(0,'Engineering Assumptions'!$G$24-G160)</f>
        <v>1</v>
      </c>
      <c r="N160" s="187" t="str">
        <f aca="false">IF(G160&gt;=20,"REPLACE",IF(L160&gt;0.6,"REPLACE",IF(G160&gt;=15,"REPLACE",IF(OR(G160&gt;=11,L160&gt;0.4),"MONITOR","KEEP"))))</f>
        <v>MONITOR</v>
      </c>
      <c r="O160" s="188" t="str">
        <f aca="false">IF(G160&gt;=20,"End of life (age &gt; 20)",IF(L160&gt;0.6,"Repairs exceed 60% of revenue",IF(G160&gt;=15,"Age 15+ → replace",IF(OR(G160&gt;=11,L160&gt;0.4),"Watch costs; plan replacement","Healthy — continue operating"))))</f>
        <v>Watch costs; plan replacement</v>
      </c>
      <c r="P160" s="188" t="str">
        <f aca="false">'Engineering Assumptions'!H24</f>
        <v>Dynapac CP201 / SAKAI ~Rs. 18–22M</v>
      </c>
    </row>
    <row r="161" customFormat="false" ht="15" hidden="false" customHeight="true" outlineLevel="0" collapsed="false">
      <c r="A161" s="9" t="n">
        <v>150</v>
      </c>
      <c r="B161" s="184" t="s">
        <v>105</v>
      </c>
      <c r="C161" s="184" t="s">
        <v>2341</v>
      </c>
      <c r="D161" s="184" t="s">
        <v>596</v>
      </c>
      <c r="E161" s="184"/>
      <c r="F161" s="45" t="s">
        <v>310</v>
      </c>
      <c r="G161" s="9" t="n">
        <v>14</v>
      </c>
      <c r="H161" s="185" t="n">
        <f aca="false">'Engineering Assumptions'!$F$24*0.12*1</f>
        <v>2.28</v>
      </c>
      <c r="I161" s="185" t="n">
        <f aca="false">'Engineering Assumptions'!$F$24*1</f>
        <v>19</v>
      </c>
      <c r="J161" s="12" t="n">
        <f aca="false">'Fleet Pricing'!L161</f>
        <v>330500</v>
      </c>
      <c r="K161" s="12" t="n">
        <f aca="false">'Maintenance &amp; Repair'!J161+'Maintenance &amp; Repair'!K161</f>
        <v>80940</v>
      </c>
      <c r="L161" s="186" t="n">
        <f aca="false">IFERROR(K161/J161,0)</f>
        <v>0.244901664145234</v>
      </c>
      <c r="M161" s="9" t="n">
        <f aca="false">MAX(0,'Engineering Assumptions'!$G$24-G161)</f>
        <v>1</v>
      </c>
      <c r="N161" s="187" t="str">
        <f aca="false">IF(G161&gt;=20,"REPLACE",IF(L161&gt;0.6,"REPLACE",IF(G161&gt;=15,"REPLACE",IF(OR(G161&gt;=11,L161&gt;0.4),"MONITOR","KEEP"))))</f>
        <v>MONITOR</v>
      </c>
      <c r="O161" s="188" t="str">
        <f aca="false">IF(G161&gt;=20,"End of life (age &gt; 20)",IF(L161&gt;0.6,"Repairs exceed 60% of revenue",IF(G161&gt;=15,"Age 15+ → replace",IF(OR(G161&gt;=11,L161&gt;0.4),"Watch costs; plan replacement","Healthy — continue operating"))))</f>
        <v>Watch costs; plan replacement</v>
      </c>
      <c r="P161" s="188" t="str">
        <f aca="false">'Engineering Assumptions'!H24</f>
        <v>Dynapac CP201 / SAKAI ~Rs. 18–22M</v>
      </c>
    </row>
    <row r="162" customFormat="false" ht="15" hidden="false" customHeight="true" outlineLevel="0" collapsed="false">
      <c r="A162" s="9" t="n">
        <v>151</v>
      </c>
      <c r="B162" s="184" t="s">
        <v>105</v>
      </c>
      <c r="C162" s="184" t="s">
        <v>2342</v>
      </c>
      <c r="D162" s="184" t="s">
        <v>598</v>
      </c>
      <c r="E162" s="184"/>
      <c r="F162" s="45" t="s">
        <v>428</v>
      </c>
      <c r="G162" s="9" t="n">
        <v>26</v>
      </c>
      <c r="H162" s="185" t="n">
        <f aca="false">'Engineering Assumptions'!$F$24*0.03*1</f>
        <v>0.57</v>
      </c>
      <c r="I162" s="185" t="n">
        <f aca="false">'Engineering Assumptions'!$F$24*1</f>
        <v>19</v>
      </c>
      <c r="J162" s="12" t="n">
        <f aca="false">'Fleet Pricing'!L162</f>
        <v>262000</v>
      </c>
      <c r="K162" s="12" t="n">
        <f aca="false">'Maintenance &amp; Repair'!J162+'Maintenance &amp; Repair'!K162</f>
        <v>154800</v>
      </c>
      <c r="L162" s="186" t="n">
        <f aca="false">IFERROR(K162/J162,0)</f>
        <v>0.590839694656489</v>
      </c>
      <c r="M162" s="9" t="n">
        <f aca="false">MAX(0,'Engineering Assumptions'!$G$24-G162)</f>
        <v>0</v>
      </c>
      <c r="N162" s="187" t="str">
        <f aca="false">IF(G162&gt;=20,"REPLACE",IF(L162&gt;0.6,"REPLACE",IF(G162&gt;=15,"REPLACE",IF(OR(G162&gt;=11,L162&gt;0.4),"MONITOR","KEEP"))))</f>
        <v>REPLACE</v>
      </c>
      <c r="O162" s="188" t="str">
        <f aca="false">IF(G162&gt;=20,"End of life (age &gt; 20)",IF(L162&gt;0.6,"Repairs exceed 60% of revenue",IF(G162&gt;=15,"Age 15+ → replace",IF(OR(G162&gt;=11,L162&gt;0.4),"Watch costs; plan replacement","Healthy — continue operating"))))</f>
        <v>End of life (age &gt; 20)</v>
      </c>
      <c r="P162" s="188" t="str">
        <f aca="false">'Engineering Assumptions'!H24</f>
        <v>Dynapac CP201 / SAKAI ~Rs. 18–22M</v>
      </c>
    </row>
    <row r="163" customFormat="false" ht="15" hidden="false" customHeight="true" outlineLevel="0" collapsed="false">
      <c r="A163" s="9" t="n">
        <v>152</v>
      </c>
      <c r="B163" s="184" t="s">
        <v>105</v>
      </c>
      <c r="C163" s="184" t="s">
        <v>2343</v>
      </c>
      <c r="D163" s="184" t="s">
        <v>600</v>
      </c>
      <c r="E163" s="184"/>
      <c r="F163" s="45" t="s">
        <v>602</v>
      </c>
      <c r="G163" s="9" t="n">
        <v>36</v>
      </c>
      <c r="H163" s="185" t="n">
        <f aca="false">'Engineering Assumptions'!$F$24*0.03*1</f>
        <v>0.57</v>
      </c>
      <c r="I163" s="185" t="n">
        <f aca="false">'Engineering Assumptions'!$F$24*1</f>
        <v>19</v>
      </c>
      <c r="J163" s="12" t="n">
        <f aca="false">'Fleet Pricing'!L163</f>
        <v>233500</v>
      </c>
      <c r="K163" s="12" t="n">
        <f aca="false">'Maintenance &amp; Repair'!J163+'Maintenance &amp; Repair'!K163</f>
        <v>154800</v>
      </c>
      <c r="L163" s="186" t="n">
        <f aca="false">IFERROR(K163/J163,0)</f>
        <v>0.662955032119914</v>
      </c>
      <c r="M163" s="9" t="n">
        <f aca="false">MAX(0,'Engineering Assumptions'!$G$24-G163)</f>
        <v>0</v>
      </c>
      <c r="N163" s="187" t="str">
        <f aca="false">IF(G163&gt;=20,"REPLACE",IF(L163&gt;0.6,"REPLACE",IF(G163&gt;=15,"REPLACE",IF(OR(G163&gt;=11,L163&gt;0.4),"MONITOR","KEEP"))))</f>
        <v>REPLACE</v>
      </c>
      <c r="O163" s="188" t="str">
        <f aca="false">IF(G163&gt;=20,"End of life (age &gt; 20)",IF(L163&gt;0.6,"Repairs exceed 60% of revenue",IF(G163&gt;=15,"Age 15+ → replace",IF(OR(G163&gt;=11,L163&gt;0.4),"Watch costs; plan replacement","Healthy — continue operating"))))</f>
        <v>End of life (age &gt; 20)</v>
      </c>
      <c r="P163" s="188" t="str">
        <f aca="false">'Engineering Assumptions'!H24</f>
        <v>Dynapac CP201 / SAKAI ~Rs. 18–22M</v>
      </c>
    </row>
    <row r="164" customFormat="false" ht="15" hidden="false" customHeight="true" outlineLevel="0" collapsed="false">
      <c r="A164" s="9" t="n">
        <v>153</v>
      </c>
      <c r="B164" s="184" t="s">
        <v>105</v>
      </c>
      <c r="C164" s="184" t="s">
        <v>2344</v>
      </c>
      <c r="D164" s="184" t="s">
        <v>603</v>
      </c>
      <c r="E164" s="184"/>
      <c r="F164" s="45" t="s">
        <v>472</v>
      </c>
      <c r="G164" s="9" t="n">
        <v>30</v>
      </c>
      <c r="H164" s="185" t="n">
        <f aca="false">'Engineering Assumptions'!$F$24*0.03*1</f>
        <v>0.57</v>
      </c>
      <c r="I164" s="185" t="n">
        <f aca="false">'Engineering Assumptions'!$F$24*1</f>
        <v>19</v>
      </c>
      <c r="J164" s="12" t="n">
        <f aca="false">'Fleet Pricing'!L164</f>
        <v>233500</v>
      </c>
      <c r="K164" s="12" t="n">
        <f aca="false">'Maintenance &amp; Repair'!J164+'Maintenance &amp; Repair'!K164</f>
        <v>154800</v>
      </c>
      <c r="L164" s="186" t="n">
        <f aca="false">IFERROR(K164/J164,0)</f>
        <v>0.662955032119914</v>
      </c>
      <c r="M164" s="9" t="n">
        <f aca="false">MAX(0,'Engineering Assumptions'!$G$24-G164)</f>
        <v>0</v>
      </c>
      <c r="N164" s="187" t="str">
        <f aca="false">IF(G164&gt;=20,"REPLACE",IF(L164&gt;0.6,"REPLACE",IF(G164&gt;=15,"REPLACE",IF(OR(G164&gt;=11,L164&gt;0.4),"MONITOR","KEEP"))))</f>
        <v>REPLACE</v>
      </c>
      <c r="O164" s="188" t="str">
        <f aca="false">IF(G164&gt;=20,"End of life (age &gt; 20)",IF(L164&gt;0.6,"Repairs exceed 60% of revenue",IF(G164&gt;=15,"Age 15+ → replace",IF(OR(G164&gt;=11,L164&gt;0.4),"Watch costs; plan replacement","Healthy — continue operating"))))</f>
        <v>End of life (age &gt; 20)</v>
      </c>
      <c r="P164" s="188" t="str">
        <f aca="false">'Engineering Assumptions'!H24</f>
        <v>Dynapac CP201 / SAKAI ~Rs. 18–22M</v>
      </c>
    </row>
    <row r="165" customFormat="false" ht="15" hidden="false" customHeight="true" outlineLevel="0" collapsed="false">
      <c r="A165" s="42" t="s">
        <v>605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</row>
    <row r="166" customFormat="false" ht="15" hidden="false" customHeight="true" outlineLevel="0" collapsed="false">
      <c r="A166" s="9" t="n">
        <v>154</v>
      </c>
      <c r="B166" s="184" t="s">
        <v>107</v>
      </c>
      <c r="C166" s="184" t="s">
        <v>2345</v>
      </c>
      <c r="D166" s="184" t="s">
        <v>607</v>
      </c>
      <c r="E166" s="184" t="s">
        <v>609</v>
      </c>
      <c r="F166" s="45" t="s">
        <v>297</v>
      </c>
      <c r="G166" s="9" t="n">
        <v>5</v>
      </c>
      <c r="H166" s="185" t="n">
        <f aca="false">'Engineering Assumptions'!$F$25*0.5*1</f>
        <v>27.5</v>
      </c>
      <c r="I166" s="185" t="n">
        <f aca="false">'Engineering Assumptions'!$F$25*1</f>
        <v>55</v>
      </c>
      <c r="J166" s="12" t="n">
        <f aca="false">'Fleet Pricing'!L166</f>
        <v>984500</v>
      </c>
      <c r="K166" s="12" t="n">
        <f aca="false">'Maintenance &amp; Repair'!J166+'Maintenance &amp; Repair'!K166</f>
        <v>72000</v>
      </c>
      <c r="L166" s="186" t="n">
        <f aca="false">IFERROR(K166/J166,0)</f>
        <v>0.0731335703402743</v>
      </c>
      <c r="M166" s="9" t="n">
        <f aca="false">MAX(0,'Engineering Assumptions'!$G$25-G166)</f>
        <v>13</v>
      </c>
      <c r="N166" s="187" t="str">
        <f aca="false">IF(G166&gt;=20,"REPLACE",IF(L166&gt;0.6,"REPLACE",IF(G166&gt;=15,"REPLACE",IF(OR(G166&gt;=11,L166&gt;0.4),"MONITOR","KEEP"))))</f>
        <v>KEEP</v>
      </c>
      <c r="O166" s="188" t="str">
        <f aca="false">IF(G166&gt;=20,"End of life (age &gt; 20)",IF(L166&gt;0.6,"Repairs exceed 60% of revenue",IF(G166&gt;=15,"Age 15+ → replace",IF(OR(G166&gt;=11,L166&gt;0.4),"Watch costs; plan replacement","Healthy — continue operating"))))</f>
        <v>Healthy — continue operating</v>
      </c>
      <c r="P166" s="188" t="str">
        <f aca="false">'Engineering Assumptions'!H25</f>
        <v>SANY STG170 / CAT 140 new ~Rs. 45–65M</v>
      </c>
    </row>
    <row r="167" customFormat="false" ht="15" hidden="false" customHeight="true" outlineLevel="0" collapsed="false">
      <c r="A167" s="9" t="n">
        <v>155</v>
      </c>
      <c r="B167" s="184" t="s">
        <v>107</v>
      </c>
      <c r="C167" s="184" t="s">
        <v>2346</v>
      </c>
      <c r="D167" s="184" t="s">
        <v>610</v>
      </c>
      <c r="E167" s="184" t="s">
        <v>612</v>
      </c>
      <c r="F167" s="45" t="s">
        <v>297</v>
      </c>
      <c r="G167" s="9" t="n">
        <v>5</v>
      </c>
      <c r="H167" s="185" t="n">
        <f aca="false">'Engineering Assumptions'!$F$25*0.5*1</f>
        <v>27.5</v>
      </c>
      <c r="I167" s="185" t="n">
        <f aca="false">'Engineering Assumptions'!$F$25*1</f>
        <v>55</v>
      </c>
      <c r="J167" s="12" t="n">
        <f aca="false">'Fleet Pricing'!L167</f>
        <v>984500</v>
      </c>
      <c r="K167" s="12" t="n">
        <f aca="false">'Maintenance &amp; Repair'!J167+'Maintenance &amp; Repair'!K167</f>
        <v>72000</v>
      </c>
      <c r="L167" s="186" t="n">
        <f aca="false">IFERROR(K167/J167,0)</f>
        <v>0.0731335703402743</v>
      </c>
      <c r="M167" s="9" t="n">
        <f aca="false">MAX(0,'Engineering Assumptions'!$G$25-G167)</f>
        <v>13</v>
      </c>
      <c r="N167" s="187" t="str">
        <f aca="false">IF(G167&gt;=20,"REPLACE",IF(L167&gt;0.6,"REPLACE",IF(G167&gt;=15,"REPLACE",IF(OR(G167&gt;=11,L167&gt;0.4),"MONITOR","KEEP"))))</f>
        <v>KEEP</v>
      </c>
      <c r="O167" s="188" t="str">
        <f aca="false">IF(G167&gt;=20,"End of life (age &gt; 20)",IF(L167&gt;0.6,"Repairs exceed 60% of revenue",IF(G167&gt;=15,"Age 15+ → replace",IF(OR(G167&gt;=11,L167&gt;0.4),"Watch costs; plan replacement","Healthy — continue operating"))))</f>
        <v>Healthy — continue operating</v>
      </c>
      <c r="P167" s="188" t="str">
        <f aca="false">'Engineering Assumptions'!H25</f>
        <v>SANY STG170 / CAT 140 new ~Rs. 45–65M</v>
      </c>
    </row>
    <row r="168" customFormat="false" ht="15" hidden="false" customHeight="true" outlineLevel="0" collapsed="false">
      <c r="A168" s="9" t="n">
        <v>156</v>
      </c>
      <c r="B168" s="184" t="s">
        <v>107</v>
      </c>
      <c r="C168" s="184" t="s">
        <v>2345</v>
      </c>
      <c r="D168" s="184" t="s">
        <v>615</v>
      </c>
      <c r="E168" s="184" t="s">
        <v>616</v>
      </c>
      <c r="F168" s="45" t="s">
        <v>306</v>
      </c>
      <c r="G168" s="9" t="n">
        <v>6</v>
      </c>
      <c r="H168" s="185" t="n">
        <f aca="false">'Engineering Assumptions'!$F$25*0.35*1</f>
        <v>19.25</v>
      </c>
      <c r="I168" s="185" t="n">
        <f aca="false">'Engineering Assumptions'!$F$25*1</f>
        <v>55</v>
      </c>
      <c r="J168" s="12" t="n">
        <f aca="false">'Fleet Pricing'!L168</f>
        <v>984500</v>
      </c>
      <c r="K168" s="12" t="n">
        <f aca="false">'Maintenance &amp; Repair'!J168+'Maintenance &amp; Repair'!K168</f>
        <v>117000</v>
      </c>
      <c r="L168" s="186" t="n">
        <f aca="false">IFERROR(K168/J168,0)</f>
        <v>0.118842051802946</v>
      </c>
      <c r="M168" s="9" t="n">
        <f aca="false">MAX(0,'Engineering Assumptions'!$G$25-G168)</f>
        <v>12</v>
      </c>
      <c r="N168" s="187" t="str">
        <f aca="false">IF(G168&gt;=20,"REPLACE",IF(L168&gt;0.6,"REPLACE",IF(G168&gt;=15,"REPLACE",IF(OR(G168&gt;=11,L168&gt;0.4),"MONITOR","KEEP"))))</f>
        <v>KEEP</v>
      </c>
      <c r="O168" s="188" t="str">
        <f aca="false">IF(G168&gt;=20,"End of life (age &gt; 20)",IF(L168&gt;0.6,"Repairs exceed 60% of revenue",IF(G168&gt;=15,"Age 15+ → replace",IF(OR(G168&gt;=11,L168&gt;0.4),"Watch costs; plan replacement","Healthy — continue operating"))))</f>
        <v>Healthy — continue operating</v>
      </c>
      <c r="P168" s="188" t="str">
        <f aca="false">'Engineering Assumptions'!H25</f>
        <v>SANY STG170 / CAT 140 new ~Rs. 45–65M</v>
      </c>
    </row>
    <row r="169" customFormat="false" ht="15" hidden="false" customHeight="true" outlineLevel="0" collapsed="false">
      <c r="A169" s="9" t="n">
        <v>157</v>
      </c>
      <c r="B169" s="184" t="s">
        <v>107</v>
      </c>
      <c r="C169" s="184" t="s">
        <v>2345</v>
      </c>
      <c r="D169" s="184" t="s">
        <v>613</v>
      </c>
      <c r="E169" s="184" t="s">
        <v>614</v>
      </c>
      <c r="F169" s="45" t="s">
        <v>306</v>
      </c>
      <c r="G169" s="9" t="n">
        <v>6</v>
      </c>
      <c r="H169" s="185" t="n">
        <f aca="false">'Engineering Assumptions'!$F$25*0.35*1</f>
        <v>19.25</v>
      </c>
      <c r="I169" s="185" t="n">
        <f aca="false">'Engineering Assumptions'!$F$25*1</f>
        <v>55</v>
      </c>
      <c r="J169" s="12" t="n">
        <f aca="false">'Fleet Pricing'!L169</f>
        <v>984500</v>
      </c>
      <c r="K169" s="12" t="n">
        <f aca="false">'Maintenance &amp; Repair'!J169+'Maintenance &amp; Repair'!K169</f>
        <v>117000</v>
      </c>
      <c r="L169" s="186" t="n">
        <f aca="false">IFERROR(K169/J169,0)</f>
        <v>0.118842051802946</v>
      </c>
      <c r="M169" s="9" t="n">
        <f aca="false">MAX(0,'Engineering Assumptions'!$G$25-G169)</f>
        <v>12</v>
      </c>
      <c r="N169" s="187" t="str">
        <f aca="false">IF(G169&gt;=20,"REPLACE",IF(L169&gt;0.6,"REPLACE",IF(G169&gt;=15,"REPLACE",IF(OR(G169&gt;=11,L169&gt;0.4),"MONITOR","KEEP"))))</f>
        <v>KEEP</v>
      </c>
      <c r="O169" s="188" t="str">
        <f aca="false">IF(G169&gt;=20,"End of life (age &gt; 20)",IF(L169&gt;0.6,"Repairs exceed 60% of revenue",IF(G169&gt;=15,"Age 15+ → replace",IF(OR(G169&gt;=11,L169&gt;0.4),"Watch costs; plan replacement","Healthy — continue operating"))))</f>
        <v>Healthy — continue operating</v>
      </c>
      <c r="P169" s="188" t="str">
        <f aca="false">'Engineering Assumptions'!H25</f>
        <v>SANY STG170 / CAT 140 new ~Rs. 45–65M</v>
      </c>
    </row>
    <row r="170" customFormat="false" ht="15" hidden="false" customHeight="true" outlineLevel="0" collapsed="false">
      <c r="A170" s="9" t="n">
        <v>158</v>
      </c>
      <c r="B170" s="184" t="s">
        <v>107</v>
      </c>
      <c r="C170" s="184" t="s">
        <v>2345</v>
      </c>
      <c r="D170" s="184" t="s">
        <v>617</v>
      </c>
      <c r="E170" s="184" t="s">
        <v>618</v>
      </c>
      <c r="F170" s="45" t="s">
        <v>306</v>
      </c>
      <c r="G170" s="9" t="n">
        <v>6</v>
      </c>
      <c r="H170" s="185" t="n">
        <f aca="false">'Engineering Assumptions'!$F$25*0.35*1</f>
        <v>19.25</v>
      </c>
      <c r="I170" s="185" t="n">
        <f aca="false">'Engineering Assumptions'!$F$25*1</f>
        <v>55</v>
      </c>
      <c r="J170" s="12" t="n">
        <f aca="false">'Fleet Pricing'!L170</f>
        <v>984500</v>
      </c>
      <c r="K170" s="12" t="n">
        <f aca="false">'Maintenance &amp; Repair'!J170+'Maintenance &amp; Repair'!K170</f>
        <v>117000</v>
      </c>
      <c r="L170" s="186" t="n">
        <f aca="false">IFERROR(K170/J170,0)</f>
        <v>0.118842051802946</v>
      </c>
      <c r="M170" s="9" t="n">
        <f aca="false">MAX(0,'Engineering Assumptions'!$G$25-G170)</f>
        <v>12</v>
      </c>
      <c r="N170" s="187" t="str">
        <f aca="false">IF(G170&gt;=20,"REPLACE",IF(L170&gt;0.6,"REPLACE",IF(G170&gt;=15,"REPLACE",IF(OR(G170&gt;=11,L170&gt;0.4),"MONITOR","KEEP"))))</f>
        <v>KEEP</v>
      </c>
      <c r="O170" s="188" t="str">
        <f aca="false">IF(G170&gt;=20,"End of life (age &gt; 20)",IF(L170&gt;0.6,"Repairs exceed 60% of revenue",IF(G170&gt;=15,"Age 15+ → replace",IF(OR(G170&gt;=11,L170&gt;0.4),"Watch costs; plan replacement","Healthy — continue operating"))))</f>
        <v>Healthy — continue operating</v>
      </c>
      <c r="P170" s="188" t="str">
        <f aca="false">'Engineering Assumptions'!H25</f>
        <v>SANY STG170 / CAT 140 new ~Rs. 45–65M</v>
      </c>
    </row>
    <row r="171" customFormat="false" ht="15" hidden="false" customHeight="true" outlineLevel="0" collapsed="false">
      <c r="A171" s="9" t="n">
        <v>159</v>
      </c>
      <c r="B171" s="184" t="s">
        <v>107</v>
      </c>
      <c r="C171" s="184" t="s">
        <v>2347</v>
      </c>
      <c r="D171" s="184" t="s">
        <v>619</v>
      </c>
      <c r="E171" s="184"/>
      <c r="F171" s="45" t="s">
        <v>374</v>
      </c>
      <c r="G171" s="9" t="n">
        <v>12</v>
      </c>
      <c r="H171" s="185" t="n">
        <f aca="false">'Engineering Assumptions'!$F$25*0.22*1</f>
        <v>12.1</v>
      </c>
      <c r="I171" s="185" t="n">
        <f aca="false">'Engineering Assumptions'!$F$25*1</f>
        <v>55</v>
      </c>
      <c r="J171" s="12" t="n">
        <f aca="false">'Fleet Pricing'!L171</f>
        <v>807000</v>
      </c>
      <c r="K171" s="12" t="n">
        <f aca="false">'Maintenance &amp; Repair'!J171+'Maintenance &amp; Repair'!K171</f>
        <v>175320</v>
      </c>
      <c r="L171" s="186" t="n">
        <f aca="false">IFERROR(K171/J171,0)</f>
        <v>0.21724907063197</v>
      </c>
      <c r="M171" s="9" t="n">
        <f aca="false">MAX(0,'Engineering Assumptions'!$G$25-G171)</f>
        <v>6</v>
      </c>
      <c r="N171" s="187" t="str">
        <f aca="false">IF(G171&gt;=20,"REPLACE",IF(L171&gt;0.6,"REPLACE",IF(G171&gt;=15,"REPLACE",IF(OR(G171&gt;=11,L171&gt;0.4),"MONITOR","KEEP"))))</f>
        <v>MONITOR</v>
      </c>
      <c r="O171" s="188" t="str">
        <f aca="false">IF(G171&gt;=20,"End of life (age &gt; 20)",IF(L171&gt;0.6,"Repairs exceed 60% of revenue",IF(G171&gt;=15,"Age 15+ → replace",IF(OR(G171&gt;=11,L171&gt;0.4),"Watch costs; plan replacement","Healthy — continue operating"))))</f>
        <v>Watch costs; plan replacement</v>
      </c>
      <c r="P171" s="188" t="str">
        <f aca="false">'Engineering Assumptions'!H25</f>
        <v>SANY STG170 / CAT 140 new ~Rs. 45–65M</v>
      </c>
    </row>
    <row r="172" customFormat="false" ht="15" hidden="false" customHeight="true" outlineLevel="0" collapsed="false">
      <c r="A172" s="9" t="n">
        <v>160</v>
      </c>
      <c r="B172" s="184" t="s">
        <v>107</v>
      </c>
      <c r="C172" s="184" t="s">
        <v>2348</v>
      </c>
      <c r="D172" s="184" t="s">
        <v>621</v>
      </c>
      <c r="E172" s="184"/>
      <c r="F172" s="45" t="s">
        <v>623</v>
      </c>
      <c r="G172" s="9" t="n">
        <v>18</v>
      </c>
      <c r="H172" s="185" t="n">
        <f aca="false">'Engineering Assumptions'!$F$25*0.12*1</f>
        <v>6.6</v>
      </c>
      <c r="I172" s="185" t="n">
        <f aca="false">'Engineering Assumptions'!$F$25*1</f>
        <v>55</v>
      </c>
      <c r="J172" s="12" t="n">
        <f aca="false">'Fleet Pricing'!L172</f>
        <v>709000</v>
      </c>
      <c r="K172" s="12" t="n">
        <f aca="false">'Maintenance &amp; Repair'!J172+'Maintenance &amp; Repair'!K172</f>
        <v>249480</v>
      </c>
      <c r="L172" s="186" t="n">
        <f aca="false">IFERROR(K172/J172,0)</f>
        <v>0.351875881523272</v>
      </c>
      <c r="M172" s="9" t="n">
        <f aca="false">MAX(0,'Engineering Assumptions'!$G$25-G172)</f>
        <v>0</v>
      </c>
      <c r="N172" s="187" t="str">
        <f aca="false">IF(G172&gt;=20,"REPLACE",IF(L172&gt;0.6,"REPLACE",IF(G172&gt;=15,"REPLACE",IF(OR(G172&gt;=11,L172&gt;0.4),"MONITOR","KEEP"))))</f>
        <v>REPLACE</v>
      </c>
      <c r="O172" s="188" t="str">
        <f aca="false">IF(G172&gt;=20,"End of life (age &gt; 20)",IF(L172&gt;0.6,"Repairs exceed 60% of revenue",IF(G172&gt;=15,"Age 15+ → replace",IF(OR(G172&gt;=11,L172&gt;0.4),"Watch costs; plan replacement","Healthy — continue operating"))))</f>
        <v>Age 15+ → replace</v>
      </c>
      <c r="P172" s="188" t="str">
        <f aca="false">'Engineering Assumptions'!H25</f>
        <v>SANY STG170 / CAT 140 new ~Rs. 45–65M</v>
      </c>
    </row>
    <row r="173" customFormat="false" ht="15" hidden="false" customHeight="true" outlineLevel="0" collapsed="false">
      <c r="A173" s="9" t="n">
        <v>161</v>
      </c>
      <c r="B173" s="184" t="s">
        <v>107</v>
      </c>
      <c r="C173" s="184" t="s">
        <v>2313</v>
      </c>
      <c r="D173" s="184" t="s">
        <v>625</v>
      </c>
      <c r="E173" s="184"/>
      <c r="F173" s="45" t="s">
        <v>472</v>
      </c>
      <c r="G173" s="9" t="n">
        <v>30</v>
      </c>
      <c r="H173" s="185" t="n">
        <f aca="false">'Engineering Assumptions'!$F$25*0.03*1</f>
        <v>1.65</v>
      </c>
      <c r="I173" s="185" t="n">
        <f aca="false">'Engineering Assumptions'!$F$25*1</f>
        <v>55</v>
      </c>
      <c r="J173" s="12" t="n">
        <f aca="false">'Fleet Pricing'!L173</f>
        <v>571000</v>
      </c>
      <c r="K173" s="12" t="n">
        <f aca="false">'Maintenance &amp; Repair'!J173+'Maintenance &amp; Repair'!K173</f>
        <v>336960</v>
      </c>
      <c r="L173" s="186" t="n">
        <f aca="false">IFERROR(K173/J173,0)</f>
        <v>0.590122591943958</v>
      </c>
      <c r="M173" s="9" t="n">
        <f aca="false">MAX(0,'Engineering Assumptions'!$G$25-G173)</f>
        <v>0</v>
      </c>
      <c r="N173" s="187" t="str">
        <f aca="false">IF(G173&gt;=20,"REPLACE",IF(L173&gt;0.6,"REPLACE",IF(G173&gt;=15,"REPLACE",IF(OR(G173&gt;=11,L173&gt;0.4),"MONITOR","KEEP"))))</f>
        <v>REPLACE</v>
      </c>
      <c r="O173" s="188" t="str">
        <f aca="false">IF(G173&gt;=20,"End of life (age &gt; 20)",IF(L173&gt;0.6,"Repairs exceed 60% of revenue",IF(G173&gt;=15,"Age 15+ → replace",IF(OR(G173&gt;=11,L173&gt;0.4),"Watch costs; plan replacement","Healthy — continue operating"))))</f>
        <v>End of life (age &gt; 20)</v>
      </c>
      <c r="P173" s="188" t="str">
        <f aca="false">'Engineering Assumptions'!H25</f>
        <v>SANY STG170 / CAT 140 new ~Rs. 45–65M</v>
      </c>
    </row>
    <row r="174" customFormat="false" ht="15" hidden="false" customHeight="true" outlineLevel="0" collapsed="false">
      <c r="A174" s="9" t="n">
        <v>162</v>
      </c>
      <c r="B174" s="184" t="s">
        <v>107</v>
      </c>
      <c r="C174" s="184" t="s">
        <v>2313</v>
      </c>
      <c r="D174" s="184" t="s">
        <v>629</v>
      </c>
      <c r="E174" s="184"/>
      <c r="F174" s="45" t="s">
        <v>472</v>
      </c>
      <c r="G174" s="9" t="n">
        <v>30</v>
      </c>
      <c r="H174" s="185" t="n">
        <f aca="false">'Engineering Assumptions'!$F$25*0.03*1</f>
        <v>1.65</v>
      </c>
      <c r="I174" s="185" t="n">
        <f aca="false">'Engineering Assumptions'!$F$25*1</f>
        <v>55</v>
      </c>
      <c r="J174" s="12" t="n">
        <f aca="false">'Fleet Pricing'!L174</f>
        <v>571000</v>
      </c>
      <c r="K174" s="12" t="n">
        <f aca="false">'Maintenance &amp; Repair'!J174+'Maintenance &amp; Repair'!K174</f>
        <v>336960</v>
      </c>
      <c r="L174" s="186" t="n">
        <f aca="false">IFERROR(K174/J174,0)</f>
        <v>0.590122591943958</v>
      </c>
      <c r="M174" s="9" t="n">
        <f aca="false">MAX(0,'Engineering Assumptions'!$G$25-G174)</f>
        <v>0</v>
      </c>
      <c r="N174" s="187" t="str">
        <f aca="false">IF(G174&gt;=20,"REPLACE",IF(L174&gt;0.6,"REPLACE",IF(G174&gt;=15,"REPLACE",IF(OR(G174&gt;=11,L174&gt;0.4),"MONITOR","KEEP"))))</f>
        <v>REPLACE</v>
      </c>
      <c r="O174" s="188" t="str">
        <f aca="false">IF(G174&gt;=20,"End of life (age &gt; 20)",IF(L174&gt;0.6,"Repairs exceed 60% of revenue",IF(G174&gt;=15,"Age 15+ → replace",IF(OR(G174&gt;=11,L174&gt;0.4),"Watch costs; plan replacement","Healthy — continue operating"))))</f>
        <v>End of life (age &gt; 20)</v>
      </c>
      <c r="P174" s="188" t="str">
        <f aca="false">'Engineering Assumptions'!H25</f>
        <v>SANY STG170 / CAT 140 new ~Rs. 45–65M</v>
      </c>
    </row>
    <row r="175" customFormat="false" ht="15" hidden="false" customHeight="true" outlineLevel="0" collapsed="false">
      <c r="A175" s="9" t="n">
        <v>163</v>
      </c>
      <c r="B175" s="184" t="s">
        <v>107</v>
      </c>
      <c r="C175" s="184" t="s">
        <v>2349</v>
      </c>
      <c r="D175" s="184" t="s">
        <v>627</v>
      </c>
      <c r="E175" s="184"/>
      <c r="F175" s="45" t="s">
        <v>472</v>
      </c>
      <c r="G175" s="9" t="n">
        <v>30</v>
      </c>
      <c r="H175" s="185" t="n">
        <f aca="false">'Engineering Assumptions'!$F$25*0.03*1</f>
        <v>1.65</v>
      </c>
      <c r="I175" s="185" t="n">
        <f aca="false">'Engineering Assumptions'!$F$25*1</f>
        <v>55</v>
      </c>
      <c r="J175" s="12" t="n">
        <f aca="false">'Fleet Pricing'!L175</f>
        <v>571000</v>
      </c>
      <c r="K175" s="12" t="n">
        <f aca="false">'Maintenance &amp; Repair'!J175+'Maintenance &amp; Repair'!K175</f>
        <v>336960</v>
      </c>
      <c r="L175" s="186" t="n">
        <f aca="false">IFERROR(K175/J175,0)</f>
        <v>0.590122591943958</v>
      </c>
      <c r="M175" s="9" t="n">
        <f aca="false">MAX(0,'Engineering Assumptions'!$G$25-G175)</f>
        <v>0</v>
      </c>
      <c r="N175" s="187" t="str">
        <f aca="false">IF(G175&gt;=20,"REPLACE",IF(L175&gt;0.6,"REPLACE",IF(G175&gt;=15,"REPLACE",IF(OR(G175&gt;=11,L175&gt;0.4),"MONITOR","KEEP"))))</f>
        <v>REPLACE</v>
      </c>
      <c r="O175" s="188" t="str">
        <f aca="false">IF(G175&gt;=20,"End of life (age &gt; 20)",IF(L175&gt;0.6,"Repairs exceed 60% of revenue",IF(G175&gt;=15,"Age 15+ → replace",IF(OR(G175&gt;=11,L175&gt;0.4),"Watch costs; plan replacement","Healthy — continue operating"))))</f>
        <v>End of life (age &gt; 20)</v>
      </c>
      <c r="P175" s="188" t="str">
        <f aca="false">'Engineering Assumptions'!H25</f>
        <v>SANY STG170 / CAT 140 new ~Rs. 45–65M</v>
      </c>
    </row>
    <row r="176" customFormat="false" ht="15" hidden="false" customHeight="true" outlineLevel="0" collapsed="false">
      <c r="A176" s="9" t="n">
        <v>164</v>
      </c>
      <c r="B176" s="184" t="s">
        <v>107</v>
      </c>
      <c r="C176" s="184" t="s">
        <v>2331</v>
      </c>
      <c r="D176" s="184" t="s">
        <v>624</v>
      </c>
      <c r="E176" s="184"/>
      <c r="F176" s="45" t="s">
        <v>472</v>
      </c>
      <c r="G176" s="9" t="n">
        <v>30</v>
      </c>
      <c r="H176" s="185" t="n">
        <f aca="false">'Engineering Assumptions'!$F$25*0.03*1</f>
        <v>1.65</v>
      </c>
      <c r="I176" s="185" t="n">
        <f aca="false">'Engineering Assumptions'!$F$25*1</f>
        <v>55</v>
      </c>
      <c r="J176" s="12" t="n">
        <f aca="false">'Fleet Pricing'!L176</f>
        <v>571000</v>
      </c>
      <c r="K176" s="12" t="n">
        <f aca="false">'Maintenance &amp; Repair'!J176+'Maintenance &amp; Repair'!K176</f>
        <v>336960</v>
      </c>
      <c r="L176" s="186" t="n">
        <f aca="false">IFERROR(K176/J176,0)</f>
        <v>0.590122591943958</v>
      </c>
      <c r="M176" s="9" t="n">
        <f aca="false">MAX(0,'Engineering Assumptions'!$G$25-G176)</f>
        <v>0</v>
      </c>
      <c r="N176" s="187" t="str">
        <f aca="false">IF(G176&gt;=20,"REPLACE",IF(L176&gt;0.6,"REPLACE",IF(G176&gt;=15,"REPLACE",IF(OR(G176&gt;=11,L176&gt;0.4),"MONITOR","KEEP"))))</f>
        <v>REPLACE</v>
      </c>
      <c r="O176" s="188" t="str">
        <f aca="false">IF(G176&gt;=20,"End of life (age &gt; 20)",IF(L176&gt;0.6,"Repairs exceed 60% of revenue",IF(G176&gt;=15,"Age 15+ → replace",IF(OR(G176&gt;=11,L176&gt;0.4),"Watch costs; plan replacement","Healthy — continue operating"))))</f>
        <v>End of life (age &gt; 20)</v>
      </c>
      <c r="P176" s="188" t="str">
        <f aca="false">'Engineering Assumptions'!H25</f>
        <v>SANY STG170 / CAT 140 new ~Rs. 45–65M</v>
      </c>
    </row>
    <row r="177" customFormat="false" ht="15" hidden="false" customHeight="true" outlineLevel="0" collapsed="false">
      <c r="A177" s="9" t="n">
        <v>165</v>
      </c>
      <c r="B177" s="184" t="s">
        <v>107</v>
      </c>
      <c r="C177" s="184" t="s">
        <v>2350</v>
      </c>
      <c r="D177" s="184" t="s">
        <v>630</v>
      </c>
      <c r="E177" s="184"/>
      <c r="F177" s="45" t="s">
        <v>472</v>
      </c>
      <c r="G177" s="9" t="n">
        <v>30</v>
      </c>
      <c r="H177" s="185" t="n">
        <f aca="false">'Engineering Assumptions'!$F$25*0.03*1</f>
        <v>1.65</v>
      </c>
      <c r="I177" s="185" t="n">
        <f aca="false">'Engineering Assumptions'!$F$25*1</f>
        <v>55</v>
      </c>
      <c r="J177" s="12" t="n">
        <f aca="false">'Fleet Pricing'!L177</f>
        <v>571000</v>
      </c>
      <c r="K177" s="12" t="n">
        <f aca="false">'Maintenance &amp; Repair'!J177+'Maintenance &amp; Repair'!K177</f>
        <v>336960</v>
      </c>
      <c r="L177" s="186" t="n">
        <f aca="false">IFERROR(K177/J177,0)</f>
        <v>0.590122591943958</v>
      </c>
      <c r="M177" s="9" t="n">
        <f aca="false">MAX(0,'Engineering Assumptions'!$G$25-G177)</f>
        <v>0</v>
      </c>
      <c r="N177" s="187" t="str">
        <f aca="false">IF(G177&gt;=20,"REPLACE",IF(L177&gt;0.6,"REPLACE",IF(G177&gt;=15,"REPLACE",IF(OR(G177&gt;=11,L177&gt;0.4),"MONITOR","KEEP"))))</f>
        <v>REPLACE</v>
      </c>
      <c r="O177" s="188" t="str">
        <f aca="false">IF(G177&gt;=20,"End of life (age &gt; 20)",IF(L177&gt;0.6,"Repairs exceed 60% of revenue",IF(G177&gt;=15,"Age 15+ → replace",IF(OR(G177&gt;=11,L177&gt;0.4),"Watch costs; plan replacement","Healthy — continue operating"))))</f>
        <v>End of life (age &gt; 20)</v>
      </c>
      <c r="P177" s="188" t="str">
        <f aca="false">'Engineering Assumptions'!H25</f>
        <v>SANY STG170 / CAT 140 new ~Rs. 45–65M</v>
      </c>
    </row>
    <row r="178" customFormat="false" ht="15" hidden="false" customHeight="true" outlineLevel="0" collapsed="false">
      <c r="A178" s="9" t="n">
        <v>166</v>
      </c>
      <c r="B178" s="184" t="s">
        <v>107</v>
      </c>
      <c r="C178" s="184" t="s">
        <v>2331</v>
      </c>
      <c r="D178" s="184" t="s">
        <v>632</v>
      </c>
      <c r="E178" s="184" t="s">
        <v>633</v>
      </c>
      <c r="F178" s="45" t="s">
        <v>472</v>
      </c>
      <c r="G178" s="9" t="n">
        <v>30</v>
      </c>
      <c r="H178" s="185" t="n">
        <f aca="false">'Engineering Assumptions'!$F$25*0.03*1</f>
        <v>1.65</v>
      </c>
      <c r="I178" s="185" t="n">
        <f aca="false">'Engineering Assumptions'!$F$25*1</f>
        <v>55</v>
      </c>
      <c r="J178" s="12" t="n">
        <f aca="false">'Fleet Pricing'!L178</f>
        <v>571000</v>
      </c>
      <c r="K178" s="12" t="n">
        <f aca="false">'Maintenance &amp; Repair'!J178+'Maintenance &amp; Repair'!K178</f>
        <v>336960</v>
      </c>
      <c r="L178" s="186" t="n">
        <f aca="false">IFERROR(K178/J178,0)</f>
        <v>0.590122591943958</v>
      </c>
      <c r="M178" s="9" t="n">
        <f aca="false">MAX(0,'Engineering Assumptions'!$G$25-G178)</f>
        <v>0</v>
      </c>
      <c r="N178" s="187" t="str">
        <f aca="false">IF(G178&gt;=20,"REPLACE",IF(L178&gt;0.6,"REPLACE",IF(G178&gt;=15,"REPLACE",IF(OR(G178&gt;=11,L178&gt;0.4),"MONITOR","KEEP"))))</f>
        <v>REPLACE</v>
      </c>
      <c r="O178" s="188" t="str">
        <f aca="false">IF(G178&gt;=20,"End of life (age &gt; 20)",IF(L178&gt;0.6,"Repairs exceed 60% of revenue",IF(G178&gt;=15,"Age 15+ → replace",IF(OR(G178&gt;=11,L178&gt;0.4),"Watch costs; plan replacement","Healthy — continue operating"))))</f>
        <v>End of life (age &gt; 20)</v>
      </c>
      <c r="P178" s="188" t="str">
        <f aca="false">'Engineering Assumptions'!H25</f>
        <v>SANY STG170 / CAT 140 new ~Rs. 45–65M</v>
      </c>
    </row>
    <row r="179" customFormat="false" ht="15" hidden="false" customHeight="true" outlineLevel="0" collapsed="false">
      <c r="A179" s="9" t="n">
        <v>167</v>
      </c>
      <c r="B179" s="184" t="s">
        <v>107</v>
      </c>
      <c r="C179" s="184" t="s">
        <v>2351</v>
      </c>
      <c r="D179" s="184" t="s">
        <v>635</v>
      </c>
      <c r="E179" s="184"/>
      <c r="F179" s="45" t="s">
        <v>472</v>
      </c>
      <c r="G179" s="9" t="n">
        <v>30</v>
      </c>
      <c r="H179" s="185" t="n">
        <f aca="false">'Engineering Assumptions'!$F$25*0.03*1</f>
        <v>1.65</v>
      </c>
      <c r="I179" s="185" t="n">
        <f aca="false">'Engineering Assumptions'!$F$25*1</f>
        <v>55</v>
      </c>
      <c r="J179" s="12" t="n">
        <f aca="false">'Fleet Pricing'!L179</f>
        <v>571000</v>
      </c>
      <c r="K179" s="12" t="n">
        <f aca="false">'Maintenance &amp; Repair'!J179+'Maintenance &amp; Repair'!K179</f>
        <v>336960</v>
      </c>
      <c r="L179" s="186" t="n">
        <f aca="false">IFERROR(K179/J179,0)</f>
        <v>0.590122591943958</v>
      </c>
      <c r="M179" s="9" t="n">
        <f aca="false">MAX(0,'Engineering Assumptions'!$G$25-G179)</f>
        <v>0</v>
      </c>
      <c r="N179" s="187" t="str">
        <f aca="false">IF(G179&gt;=20,"REPLACE",IF(L179&gt;0.6,"REPLACE",IF(G179&gt;=15,"REPLACE",IF(OR(G179&gt;=11,L179&gt;0.4),"MONITOR","KEEP"))))</f>
        <v>REPLACE</v>
      </c>
      <c r="O179" s="188" t="str">
        <f aca="false">IF(G179&gt;=20,"End of life (age &gt; 20)",IF(L179&gt;0.6,"Repairs exceed 60% of revenue",IF(G179&gt;=15,"Age 15+ → replace",IF(OR(G179&gt;=11,L179&gt;0.4),"Watch costs; plan replacement","Healthy — continue operating"))))</f>
        <v>End of life (age &gt; 20)</v>
      </c>
      <c r="P179" s="188" t="str">
        <f aca="false">'Engineering Assumptions'!H25</f>
        <v>SANY STG170 / CAT 140 new ~Rs. 45–65M</v>
      </c>
    </row>
    <row r="180" customFormat="false" ht="15" hidden="false" customHeight="true" outlineLevel="0" collapsed="false">
      <c r="A180" s="9" t="n">
        <v>168</v>
      </c>
      <c r="B180" s="184" t="s">
        <v>107</v>
      </c>
      <c r="C180" s="184" t="s">
        <v>2352</v>
      </c>
      <c r="D180" s="184" t="s">
        <v>637</v>
      </c>
      <c r="E180" s="184"/>
      <c r="F180" s="45" t="s">
        <v>472</v>
      </c>
      <c r="G180" s="9" t="n">
        <v>30</v>
      </c>
      <c r="H180" s="185" t="n">
        <f aca="false">'Engineering Assumptions'!$F$25*0.03*1</f>
        <v>1.65</v>
      </c>
      <c r="I180" s="185" t="n">
        <f aca="false">'Engineering Assumptions'!$F$25*1</f>
        <v>55</v>
      </c>
      <c r="J180" s="12" t="n">
        <f aca="false">'Fleet Pricing'!L180</f>
        <v>571000</v>
      </c>
      <c r="K180" s="12" t="n">
        <f aca="false">'Maintenance &amp; Repair'!J180+'Maintenance &amp; Repair'!K180</f>
        <v>336960</v>
      </c>
      <c r="L180" s="186" t="n">
        <f aca="false">IFERROR(K180/J180,0)</f>
        <v>0.590122591943958</v>
      </c>
      <c r="M180" s="9" t="n">
        <f aca="false">MAX(0,'Engineering Assumptions'!$G$25-G180)</f>
        <v>0</v>
      </c>
      <c r="N180" s="187" t="str">
        <f aca="false">IF(G180&gt;=20,"REPLACE",IF(L180&gt;0.6,"REPLACE",IF(G180&gt;=15,"REPLACE",IF(OR(G180&gt;=11,L180&gt;0.4),"MONITOR","KEEP"))))</f>
        <v>REPLACE</v>
      </c>
      <c r="O180" s="188" t="str">
        <f aca="false">IF(G180&gt;=20,"End of life (age &gt; 20)",IF(L180&gt;0.6,"Repairs exceed 60% of revenue",IF(G180&gt;=15,"Age 15+ → replace",IF(OR(G180&gt;=11,L180&gt;0.4),"Watch costs; plan replacement","Healthy — continue operating"))))</f>
        <v>End of life (age &gt; 20)</v>
      </c>
      <c r="P180" s="188" t="str">
        <f aca="false">'Engineering Assumptions'!H25</f>
        <v>SANY STG170 / CAT 140 new ~Rs. 45–65M</v>
      </c>
    </row>
    <row r="181" customFormat="false" ht="15" hidden="false" customHeight="true" outlineLevel="0" collapsed="false">
      <c r="A181" s="9" t="n">
        <v>169</v>
      </c>
      <c r="B181" s="184" t="s">
        <v>107</v>
      </c>
      <c r="C181" s="184" t="s">
        <v>2353</v>
      </c>
      <c r="D181" s="184" t="s">
        <v>639</v>
      </c>
      <c r="E181" s="184"/>
      <c r="F181" s="45" t="s">
        <v>472</v>
      </c>
      <c r="G181" s="9" t="n">
        <v>30</v>
      </c>
      <c r="H181" s="185" t="n">
        <f aca="false">'Engineering Assumptions'!$F$25*0.03*1</f>
        <v>1.65</v>
      </c>
      <c r="I181" s="185" t="n">
        <f aca="false">'Engineering Assumptions'!$F$25*1</f>
        <v>55</v>
      </c>
      <c r="J181" s="12" t="n">
        <f aca="false">'Fleet Pricing'!L181</f>
        <v>571000</v>
      </c>
      <c r="K181" s="12" t="n">
        <f aca="false">'Maintenance &amp; Repair'!J181+'Maintenance &amp; Repair'!K181</f>
        <v>336960</v>
      </c>
      <c r="L181" s="186" t="n">
        <f aca="false">IFERROR(K181/J181,0)</f>
        <v>0.590122591943958</v>
      </c>
      <c r="M181" s="9" t="n">
        <f aca="false">MAX(0,'Engineering Assumptions'!$G$25-G181)</f>
        <v>0</v>
      </c>
      <c r="N181" s="187" t="str">
        <f aca="false">IF(G181&gt;=20,"REPLACE",IF(L181&gt;0.6,"REPLACE",IF(G181&gt;=15,"REPLACE",IF(OR(G181&gt;=11,L181&gt;0.4),"MONITOR","KEEP"))))</f>
        <v>REPLACE</v>
      </c>
      <c r="O181" s="188" t="str">
        <f aca="false">IF(G181&gt;=20,"End of life (age &gt; 20)",IF(L181&gt;0.6,"Repairs exceed 60% of revenue",IF(G181&gt;=15,"Age 15+ → replace",IF(OR(G181&gt;=11,L181&gt;0.4),"Watch costs; plan replacement","Healthy — continue operating"))))</f>
        <v>End of life (age &gt; 20)</v>
      </c>
      <c r="P181" s="188" t="str">
        <f aca="false">'Engineering Assumptions'!H25</f>
        <v>SANY STG170 / CAT 140 new ~Rs. 45–65M</v>
      </c>
    </row>
    <row r="182" customFormat="false" ht="15" hidden="false" customHeight="true" outlineLevel="0" collapsed="false">
      <c r="A182" s="42" t="s">
        <v>641</v>
      </c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</row>
    <row r="183" customFormat="false" ht="15" hidden="false" customHeight="true" outlineLevel="0" collapsed="false">
      <c r="A183" s="9" t="n">
        <v>170</v>
      </c>
      <c r="B183" s="184" t="s">
        <v>109</v>
      </c>
      <c r="C183" s="184" t="s">
        <v>2354</v>
      </c>
      <c r="D183" s="184" t="s">
        <v>642</v>
      </c>
      <c r="E183" s="184"/>
      <c r="F183" s="45" t="s">
        <v>297</v>
      </c>
      <c r="G183" s="9" t="n">
        <v>5</v>
      </c>
      <c r="H183" s="185" t="n">
        <f aca="false">'Engineering Assumptions'!$F$26*0.5*1</f>
        <v>5.5</v>
      </c>
      <c r="I183" s="185" t="n">
        <f aca="false">'Engineering Assumptions'!$F$26*1</f>
        <v>11</v>
      </c>
      <c r="J183" s="12" t="n">
        <f aca="false">'Fleet Pricing'!L183</f>
        <v>275500</v>
      </c>
      <c r="K183" s="12" t="n">
        <f aca="false">'Maintenance &amp; Repair'!J183+'Maintenance &amp; Repair'!K183</f>
        <v>26400</v>
      </c>
      <c r="L183" s="186" t="n">
        <f aca="false">IFERROR(K183/J183,0)</f>
        <v>0.0958257713248639</v>
      </c>
      <c r="M183" s="9" t="n">
        <f aca="false">MAX(0,'Engineering Assumptions'!$G$26-G183)</f>
        <v>5</v>
      </c>
      <c r="N183" s="187" t="str">
        <f aca="false">IF(G183&gt;=20,"REPLACE",IF(L183&gt;0.6,"REPLACE",IF(G183&gt;=15,"REPLACE",IF(OR(G183&gt;=11,L183&gt;0.4),"MONITOR","KEEP"))))</f>
        <v>KEEP</v>
      </c>
      <c r="O183" s="188" t="str">
        <f aca="false">IF(G183&gt;=20,"End of life (age &gt; 20)",IF(L183&gt;0.6,"Repairs exceed 60% of revenue",IF(G183&gt;=15,"Age 15+ → replace",IF(OR(G183&gt;=11,L183&gt;0.4),"Watch costs; plan replacement","Healthy — continue operating"))))</f>
        <v>Healthy — continue operating</v>
      </c>
      <c r="P183" s="188" t="str">
        <f aca="false">'Engineering Assumptions'!H26</f>
        <v>BOBCAT S450/S770 new ~Rs. 9–13M</v>
      </c>
    </row>
    <row r="184" customFormat="false" ht="15" hidden="false" customHeight="true" outlineLevel="0" collapsed="false">
      <c r="A184" s="9" t="n">
        <v>171</v>
      </c>
      <c r="B184" s="184" t="s">
        <v>109</v>
      </c>
      <c r="C184" s="184" t="s">
        <v>2354</v>
      </c>
      <c r="D184" s="184" t="s">
        <v>664</v>
      </c>
      <c r="E184" s="184"/>
      <c r="F184" s="45" t="s">
        <v>297</v>
      </c>
      <c r="G184" s="9" t="n">
        <v>5</v>
      </c>
      <c r="H184" s="185" t="n">
        <f aca="false">'Engineering Assumptions'!$F$26*0.5*1</f>
        <v>5.5</v>
      </c>
      <c r="I184" s="185" t="n">
        <f aca="false">'Engineering Assumptions'!$F$26*1</f>
        <v>11</v>
      </c>
      <c r="J184" s="12" t="n">
        <f aca="false">'Fleet Pricing'!L184</f>
        <v>275500</v>
      </c>
      <c r="K184" s="12" t="n">
        <f aca="false">'Maintenance &amp; Repair'!J184+'Maintenance &amp; Repair'!K184</f>
        <v>26400</v>
      </c>
      <c r="L184" s="186" t="n">
        <f aca="false">IFERROR(K184/J184,0)</f>
        <v>0.0958257713248639</v>
      </c>
      <c r="M184" s="9" t="n">
        <f aca="false">MAX(0,'Engineering Assumptions'!$G$26-G184)</f>
        <v>5</v>
      </c>
      <c r="N184" s="187" t="str">
        <f aca="false">IF(G184&gt;=20,"REPLACE",IF(L184&gt;0.6,"REPLACE",IF(G184&gt;=15,"REPLACE",IF(OR(G184&gt;=11,L184&gt;0.4),"MONITOR","KEEP"))))</f>
        <v>KEEP</v>
      </c>
      <c r="O184" s="188" t="str">
        <f aca="false">IF(G184&gt;=20,"End of life (age &gt; 20)",IF(L184&gt;0.6,"Repairs exceed 60% of revenue",IF(G184&gt;=15,"Age 15+ → replace",IF(OR(G184&gt;=11,L184&gt;0.4),"Watch costs; plan replacement","Healthy — continue operating"))))</f>
        <v>Healthy — continue operating</v>
      </c>
      <c r="P184" s="188" t="str">
        <f aca="false">'Engineering Assumptions'!H26</f>
        <v>BOBCAT S450/S770 new ~Rs. 9–13M</v>
      </c>
    </row>
    <row r="185" customFormat="false" ht="15" hidden="false" customHeight="true" outlineLevel="0" collapsed="false">
      <c r="A185" s="9" t="n">
        <v>172</v>
      </c>
      <c r="B185" s="184" t="s">
        <v>109</v>
      </c>
      <c r="C185" s="184" t="s">
        <v>2354</v>
      </c>
      <c r="D185" s="184" t="s">
        <v>665</v>
      </c>
      <c r="E185" s="184"/>
      <c r="F185" s="45" t="s">
        <v>297</v>
      </c>
      <c r="G185" s="9" t="n">
        <v>5</v>
      </c>
      <c r="H185" s="185" t="n">
        <f aca="false">'Engineering Assumptions'!$F$26*0.5*1</f>
        <v>5.5</v>
      </c>
      <c r="I185" s="185" t="n">
        <f aca="false">'Engineering Assumptions'!$F$26*1</f>
        <v>11</v>
      </c>
      <c r="J185" s="12" t="n">
        <f aca="false">'Fleet Pricing'!L185</f>
        <v>275500</v>
      </c>
      <c r="K185" s="12" t="n">
        <f aca="false">'Maintenance &amp; Repair'!J185+'Maintenance &amp; Repair'!K185</f>
        <v>26400</v>
      </c>
      <c r="L185" s="186" t="n">
        <f aca="false">IFERROR(K185/J185,0)</f>
        <v>0.0958257713248639</v>
      </c>
      <c r="M185" s="9" t="n">
        <f aca="false">MAX(0,'Engineering Assumptions'!$G$26-G185)</f>
        <v>5</v>
      </c>
      <c r="N185" s="187" t="str">
        <f aca="false">IF(G185&gt;=20,"REPLACE",IF(L185&gt;0.6,"REPLACE",IF(G185&gt;=15,"REPLACE",IF(OR(G185&gt;=11,L185&gt;0.4),"MONITOR","KEEP"))))</f>
        <v>KEEP</v>
      </c>
      <c r="O185" s="188" t="str">
        <f aca="false">IF(G185&gt;=20,"End of life (age &gt; 20)",IF(L185&gt;0.6,"Repairs exceed 60% of revenue",IF(G185&gt;=15,"Age 15+ → replace",IF(OR(G185&gt;=11,L185&gt;0.4),"Watch costs; plan replacement","Healthy — continue operating"))))</f>
        <v>Healthy — continue operating</v>
      </c>
      <c r="P185" s="188" t="str">
        <f aca="false">'Engineering Assumptions'!H26</f>
        <v>BOBCAT S450/S770 new ~Rs. 9–13M</v>
      </c>
    </row>
    <row r="186" customFormat="false" ht="15" hidden="false" customHeight="true" outlineLevel="0" collapsed="false">
      <c r="A186" s="9" t="n">
        <v>173</v>
      </c>
      <c r="B186" s="184" t="s">
        <v>109</v>
      </c>
      <c r="C186" s="184" t="s">
        <v>2355</v>
      </c>
      <c r="D186" s="184" t="s">
        <v>647</v>
      </c>
      <c r="E186" s="184"/>
      <c r="F186" s="45" t="s">
        <v>297</v>
      </c>
      <c r="G186" s="9" t="n">
        <v>5</v>
      </c>
      <c r="H186" s="185" t="n">
        <f aca="false">'Engineering Assumptions'!$F$26*0.5*1</f>
        <v>5.5</v>
      </c>
      <c r="I186" s="185" t="n">
        <f aca="false">'Engineering Assumptions'!$F$26*1</f>
        <v>11</v>
      </c>
      <c r="J186" s="12" t="n">
        <f aca="false">'Fleet Pricing'!L186</f>
        <v>275500</v>
      </c>
      <c r="K186" s="12" t="n">
        <f aca="false">'Maintenance &amp; Repair'!J186+'Maintenance &amp; Repair'!K186</f>
        <v>26400</v>
      </c>
      <c r="L186" s="186" t="n">
        <f aca="false">IFERROR(K186/J186,0)</f>
        <v>0.0958257713248639</v>
      </c>
      <c r="M186" s="9" t="n">
        <f aca="false">MAX(0,'Engineering Assumptions'!$G$26-G186)</f>
        <v>5</v>
      </c>
      <c r="N186" s="187" t="str">
        <f aca="false">IF(G186&gt;=20,"REPLACE",IF(L186&gt;0.6,"REPLACE",IF(G186&gt;=15,"REPLACE",IF(OR(G186&gt;=11,L186&gt;0.4),"MONITOR","KEEP"))))</f>
        <v>KEEP</v>
      </c>
      <c r="O186" s="188" t="str">
        <f aca="false">IF(G186&gt;=20,"End of life (age &gt; 20)",IF(L186&gt;0.6,"Repairs exceed 60% of revenue",IF(G186&gt;=15,"Age 15+ → replace",IF(OR(G186&gt;=11,L186&gt;0.4),"Watch costs; plan replacement","Healthy — continue operating"))))</f>
        <v>Healthy — continue operating</v>
      </c>
      <c r="P186" s="188" t="str">
        <f aca="false">'Engineering Assumptions'!H26</f>
        <v>BOBCAT S450/S770 new ~Rs. 9–13M</v>
      </c>
    </row>
    <row r="187" customFormat="false" ht="15" hidden="false" customHeight="true" outlineLevel="0" collapsed="false">
      <c r="A187" s="9" t="n">
        <v>174</v>
      </c>
      <c r="B187" s="184" t="s">
        <v>109</v>
      </c>
      <c r="C187" s="184" t="s">
        <v>2355</v>
      </c>
      <c r="D187" s="184" t="s">
        <v>671</v>
      </c>
      <c r="E187" s="184"/>
      <c r="F187" s="45" t="s">
        <v>297</v>
      </c>
      <c r="G187" s="9" t="n">
        <v>5</v>
      </c>
      <c r="H187" s="185" t="n">
        <f aca="false">'Engineering Assumptions'!$F$26*0.5*1</f>
        <v>5.5</v>
      </c>
      <c r="I187" s="185" t="n">
        <f aca="false">'Engineering Assumptions'!$F$26*1</f>
        <v>11</v>
      </c>
      <c r="J187" s="12" t="n">
        <f aca="false">'Fleet Pricing'!L187</f>
        <v>275500</v>
      </c>
      <c r="K187" s="12" t="n">
        <f aca="false">'Maintenance &amp; Repair'!J187+'Maintenance &amp; Repair'!K187</f>
        <v>26400</v>
      </c>
      <c r="L187" s="186" t="n">
        <f aca="false">IFERROR(K187/J187,0)</f>
        <v>0.0958257713248639</v>
      </c>
      <c r="M187" s="9" t="n">
        <f aca="false">MAX(0,'Engineering Assumptions'!$G$26-G187)</f>
        <v>5</v>
      </c>
      <c r="N187" s="187" t="str">
        <f aca="false">IF(G187&gt;=20,"REPLACE",IF(L187&gt;0.6,"REPLACE",IF(G187&gt;=15,"REPLACE",IF(OR(G187&gt;=11,L187&gt;0.4),"MONITOR","KEEP"))))</f>
        <v>KEEP</v>
      </c>
      <c r="O187" s="188" t="str">
        <f aca="false">IF(G187&gt;=20,"End of life (age &gt; 20)",IF(L187&gt;0.6,"Repairs exceed 60% of revenue",IF(G187&gt;=15,"Age 15+ → replace",IF(OR(G187&gt;=11,L187&gt;0.4),"Watch costs; plan replacement","Healthy — continue operating"))))</f>
        <v>Healthy — continue operating</v>
      </c>
      <c r="P187" s="188" t="str">
        <f aca="false">'Engineering Assumptions'!H26</f>
        <v>BOBCAT S450/S770 new ~Rs. 9–13M</v>
      </c>
    </row>
    <row r="188" customFormat="false" ht="15" hidden="false" customHeight="true" outlineLevel="0" collapsed="false">
      <c r="A188" s="9" t="n">
        <v>175</v>
      </c>
      <c r="B188" s="184" t="s">
        <v>109</v>
      </c>
      <c r="C188" s="184" t="s">
        <v>2354</v>
      </c>
      <c r="D188" s="184" t="s">
        <v>650</v>
      </c>
      <c r="E188" s="184"/>
      <c r="F188" s="45" t="s">
        <v>306</v>
      </c>
      <c r="G188" s="9" t="n">
        <v>6</v>
      </c>
      <c r="H188" s="185" t="n">
        <f aca="false">'Engineering Assumptions'!$F$26*0.35*1</f>
        <v>3.85</v>
      </c>
      <c r="I188" s="185" t="n">
        <f aca="false">'Engineering Assumptions'!$F$26*1</f>
        <v>11</v>
      </c>
      <c r="J188" s="12" t="n">
        <f aca="false">'Fleet Pricing'!L188</f>
        <v>275500</v>
      </c>
      <c r="K188" s="12" t="n">
        <f aca="false">'Maintenance &amp; Repair'!J188+'Maintenance &amp; Repair'!K188</f>
        <v>42000</v>
      </c>
      <c r="L188" s="186" t="n">
        <f aca="false">IFERROR(K188/J188,0)</f>
        <v>0.152450090744102</v>
      </c>
      <c r="M188" s="9" t="n">
        <f aca="false">MAX(0,'Engineering Assumptions'!$G$26-G188)</f>
        <v>4</v>
      </c>
      <c r="N188" s="187" t="str">
        <f aca="false">IF(G188&gt;=20,"REPLACE",IF(L188&gt;0.6,"REPLACE",IF(G188&gt;=15,"REPLACE",IF(OR(G188&gt;=11,L188&gt;0.4),"MONITOR","KEEP"))))</f>
        <v>KEEP</v>
      </c>
      <c r="O188" s="188" t="str">
        <f aca="false">IF(G188&gt;=20,"End of life (age &gt; 20)",IF(L188&gt;0.6,"Repairs exceed 60% of revenue",IF(G188&gt;=15,"Age 15+ → replace",IF(OR(G188&gt;=11,L188&gt;0.4),"Watch costs; plan replacement","Healthy — continue operating"))))</f>
        <v>Healthy — continue operating</v>
      </c>
      <c r="P188" s="188" t="str">
        <f aca="false">'Engineering Assumptions'!H26</f>
        <v>BOBCAT S450/S770 new ~Rs. 9–13M</v>
      </c>
    </row>
    <row r="189" customFormat="false" ht="15" hidden="false" customHeight="true" outlineLevel="0" collapsed="false">
      <c r="A189" s="9" t="n">
        <v>176</v>
      </c>
      <c r="B189" s="184" t="s">
        <v>109</v>
      </c>
      <c r="C189" s="184" t="s">
        <v>2356</v>
      </c>
      <c r="D189" s="184" t="s">
        <v>654</v>
      </c>
      <c r="E189" s="184"/>
      <c r="F189" s="45" t="s">
        <v>397</v>
      </c>
      <c r="G189" s="9" t="n">
        <v>9</v>
      </c>
      <c r="H189" s="185" t="n">
        <f aca="false">'Engineering Assumptions'!$F$26*0.22*1</f>
        <v>2.42</v>
      </c>
      <c r="I189" s="185" t="n">
        <f aca="false">'Engineering Assumptions'!$F$26*1</f>
        <v>11</v>
      </c>
      <c r="J189" s="12" t="n">
        <f aca="false">'Fleet Pricing'!L189</f>
        <v>253000</v>
      </c>
      <c r="K189" s="12" t="n">
        <f aca="false">'Maintenance &amp; Repair'!J189+'Maintenance &amp; Repair'!K189</f>
        <v>42000</v>
      </c>
      <c r="L189" s="186" t="n">
        <f aca="false">IFERROR(K189/J189,0)</f>
        <v>0.16600790513834</v>
      </c>
      <c r="M189" s="9" t="n">
        <f aca="false">MAX(0,'Engineering Assumptions'!$G$26-G189)</f>
        <v>1</v>
      </c>
      <c r="N189" s="187" t="str">
        <f aca="false">IF(G189&gt;=20,"REPLACE",IF(L189&gt;0.6,"REPLACE",IF(G189&gt;=15,"REPLACE",IF(OR(G189&gt;=11,L189&gt;0.4),"MONITOR","KEEP"))))</f>
        <v>KEEP</v>
      </c>
      <c r="O189" s="188" t="str">
        <f aca="false">IF(G189&gt;=20,"End of life (age &gt; 20)",IF(L189&gt;0.6,"Repairs exceed 60% of revenue",IF(G189&gt;=15,"Age 15+ → replace",IF(OR(G189&gt;=11,L189&gt;0.4),"Watch costs; plan replacement","Healthy — continue operating"))))</f>
        <v>Healthy — continue operating</v>
      </c>
      <c r="P189" s="188" t="str">
        <f aca="false">'Engineering Assumptions'!H26</f>
        <v>BOBCAT S450/S770 new ~Rs. 9–13M</v>
      </c>
    </row>
    <row r="190" customFormat="false" ht="15" hidden="false" customHeight="true" outlineLevel="0" collapsed="false">
      <c r="A190" s="9" t="n">
        <v>177</v>
      </c>
      <c r="B190" s="184" t="s">
        <v>109</v>
      </c>
      <c r="C190" s="184" t="s">
        <v>2356</v>
      </c>
      <c r="D190" s="184" t="s">
        <v>659</v>
      </c>
      <c r="E190" s="184"/>
      <c r="F190" s="45" t="s">
        <v>397</v>
      </c>
      <c r="G190" s="9" t="n">
        <v>9</v>
      </c>
      <c r="H190" s="185" t="n">
        <f aca="false">'Engineering Assumptions'!$F$26*0.22*1</f>
        <v>2.42</v>
      </c>
      <c r="I190" s="185" t="n">
        <f aca="false">'Engineering Assumptions'!$F$26*1</f>
        <v>11</v>
      </c>
      <c r="J190" s="12" t="n">
        <f aca="false">'Fleet Pricing'!L190</f>
        <v>253000</v>
      </c>
      <c r="K190" s="12" t="n">
        <f aca="false">'Maintenance &amp; Repair'!J190+'Maintenance &amp; Repair'!K190</f>
        <v>42000</v>
      </c>
      <c r="L190" s="186" t="n">
        <f aca="false">IFERROR(K190/J190,0)</f>
        <v>0.16600790513834</v>
      </c>
      <c r="M190" s="9" t="n">
        <f aca="false">MAX(0,'Engineering Assumptions'!$G$26-G190)</f>
        <v>1</v>
      </c>
      <c r="N190" s="187" t="str">
        <f aca="false">IF(G190&gt;=20,"REPLACE",IF(L190&gt;0.6,"REPLACE",IF(G190&gt;=15,"REPLACE",IF(OR(G190&gt;=11,L190&gt;0.4),"MONITOR","KEEP"))))</f>
        <v>KEEP</v>
      </c>
      <c r="O190" s="188" t="str">
        <f aca="false">IF(G190&gt;=20,"End of life (age &gt; 20)",IF(L190&gt;0.6,"Repairs exceed 60% of revenue",IF(G190&gt;=15,"Age 15+ → replace",IF(OR(G190&gt;=11,L190&gt;0.4),"Watch costs; plan replacement","Healthy — continue operating"))))</f>
        <v>Healthy — continue operating</v>
      </c>
      <c r="P190" s="188" t="str">
        <f aca="false">'Engineering Assumptions'!H26</f>
        <v>BOBCAT S450/S770 new ~Rs. 9–13M</v>
      </c>
    </row>
    <row r="191" customFormat="false" ht="15" hidden="false" customHeight="true" outlineLevel="0" collapsed="false">
      <c r="A191" s="9" t="n">
        <v>178</v>
      </c>
      <c r="B191" s="184" t="s">
        <v>109</v>
      </c>
      <c r="C191" s="184" t="s">
        <v>2356</v>
      </c>
      <c r="D191" s="184" t="s">
        <v>668</v>
      </c>
      <c r="E191" s="184"/>
      <c r="F191" s="45" t="s">
        <v>397</v>
      </c>
      <c r="G191" s="9" t="n">
        <v>9</v>
      </c>
      <c r="H191" s="185" t="n">
        <f aca="false">'Engineering Assumptions'!$F$26*0.22*1</f>
        <v>2.42</v>
      </c>
      <c r="I191" s="185" t="n">
        <f aca="false">'Engineering Assumptions'!$F$26*1</f>
        <v>11</v>
      </c>
      <c r="J191" s="12" t="n">
        <f aca="false">'Fleet Pricing'!L191</f>
        <v>253000</v>
      </c>
      <c r="K191" s="12" t="n">
        <f aca="false">'Maintenance &amp; Repair'!J191+'Maintenance &amp; Repair'!K191</f>
        <v>42000</v>
      </c>
      <c r="L191" s="186" t="n">
        <f aca="false">IFERROR(K191/J191,0)</f>
        <v>0.16600790513834</v>
      </c>
      <c r="M191" s="9" t="n">
        <f aca="false">MAX(0,'Engineering Assumptions'!$G$26-G191)</f>
        <v>1</v>
      </c>
      <c r="N191" s="187" t="str">
        <f aca="false">IF(G191&gt;=20,"REPLACE",IF(L191&gt;0.6,"REPLACE",IF(G191&gt;=15,"REPLACE",IF(OR(G191&gt;=11,L191&gt;0.4),"MONITOR","KEEP"))))</f>
        <v>KEEP</v>
      </c>
      <c r="O191" s="188" t="str">
        <f aca="false">IF(G191&gt;=20,"End of life (age &gt; 20)",IF(L191&gt;0.6,"Repairs exceed 60% of revenue",IF(G191&gt;=15,"Age 15+ → replace",IF(OR(G191&gt;=11,L191&gt;0.4),"Watch costs; plan replacement","Healthy — continue operating"))))</f>
        <v>Healthy — continue operating</v>
      </c>
      <c r="P191" s="188" t="str">
        <f aca="false">'Engineering Assumptions'!H26</f>
        <v>BOBCAT S450/S770 new ~Rs. 9–13M</v>
      </c>
    </row>
    <row r="192" customFormat="false" ht="15" hidden="false" customHeight="true" outlineLevel="0" collapsed="false">
      <c r="A192" s="9" t="n">
        <v>179</v>
      </c>
      <c r="B192" s="184" t="s">
        <v>109</v>
      </c>
      <c r="C192" s="184" t="s">
        <v>2356</v>
      </c>
      <c r="D192" s="184" t="s">
        <v>672</v>
      </c>
      <c r="E192" s="184"/>
      <c r="F192" s="45" t="s">
        <v>397</v>
      </c>
      <c r="G192" s="9" t="n">
        <v>9</v>
      </c>
      <c r="H192" s="185" t="n">
        <f aca="false">'Engineering Assumptions'!$F$26*0.22*1</f>
        <v>2.42</v>
      </c>
      <c r="I192" s="185" t="n">
        <f aca="false">'Engineering Assumptions'!$F$26*1</f>
        <v>11</v>
      </c>
      <c r="J192" s="12" t="n">
        <f aca="false">'Fleet Pricing'!L192</f>
        <v>253000</v>
      </c>
      <c r="K192" s="12" t="n">
        <f aca="false">'Maintenance &amp; Repair'!J192+'Maintenance &amp; Repair'!K192</f>
        <v>42000</v>
      </c>
      <c r="L192" s="186" t="n">
        <f aca="false">IFERROR(K192/J192,0)</f>
        <v>0.16600790513834</v>
      </c>
      <c r="M192" s="9" t="n">
        <f aca="false">MAX(0,'Engineering Assumptions'!$G$26-G192)</f>
        <v>1</v>
      </c>
      <c r="N192" s="187" t="str">
        <f aca="false">IF(G192&gt;=20,"REPLACE",IF(L192&gt;0.6,"REPLACE",IF(G192&gt;=15,"REPLACE",IF(OR(G192&gt;=11,L192&gt;0.4),"MONITOR","KEEP"))))</f>
        <v>KEEP</v>
      </c>
      <c r="O192" s="188" t="str">
        <f aca="false">IF(G192&gt;=20,"End of life (age &gt; 20)",IF(L192&gt;0.6,"Repairs exceed 60% of revenue",IF(G192&gt;=15,"Age 15+ → replace",IF(OR(G192&gt;=11,L192&gt;0.4),"Watch costs; plan replacement","Healthy — continue operating"))))</f>
        <v>Healthy — continue operating</v>
      </c>
      <c r="P192" s="188" t="str">
        <f aca="false">'Engineering Assumptions'!H26</f>
        <v>BOBCAT S450/S770 new ~Rs. 9–13M</v>
      </c>
    </row>
    <row r="193" customFormat="false" ht="15" hidden="false" customHeight="true" outlineLevel="0" collapsed="false">
      <c r="A193" s="9" t="n">
        <v>180</v>
      </c>
      <c r="B193" s="184" t="s">
        <v>109</v>
      </c>
      <c r="C193" s="184" t="s">
        <v>2354</v>
      </c>
      <c r="D193" s="184" t="s">
        <v>655</v>
      </c>
      <c r="E193" s="184"/>
      <c r="F193" s="45" t="s">
        <v>397</v>
      </c>
      <c r="G193" s="9" t="n">
        <v>9</v>
      </c>
      <c r="H193" s="185" t="n">
        <f aca="false">'Engineering Assumptions'!$F$26*0.22*1</f>
        <v>2.42</v>
      </c>
      <c r="I193" s="185" t="n">
        <f aca="false">'Engineering Assumptions'!$F$26*1</f>
        <v>11</v>
      </c>
      <c r="J193" s="12" t="n">
        <f aca="false">'Fleet Pricing'!L193</f>
        <v>253000</v>
      </c>
      <c r="K193" s="12" t="n">
        <f aca="false">'Maintenance &amp; Repair'!J193+'Maintenance &amp; Repair'!K193</f>
        <v>42000</v>
      </c>
      <c r="L193" s="186" t="n">
        <f aca="false">IFERROR(K193/J193,0)</f>
        <v>0.16600790513834</v>
      </c>
      <c r="M193" s="9" t="n">
        <f aca="false">MAX(0,'Engineering Assumptions'!$G$26-G193)</f>
        <v>1</v>
      </c>
      <c r="N193" s="187" t="str">
        <f aca="false">IF(G193&gt;=20,"REPLACE",IF(L193&gt;0.6,"REPLACE",IF(G193&gt;=15,"REPLACE",IF(OR(G193&gt;=11,L193&gt;0.4),"MONITOR","KEEP"))))</f>
        <v>KEEP</v>
      </c>
      <c r="O193" s="188" t="str">
        <f aca="false">IF(G193&gt;=20,"End of life (age &gt; 20)",IF(L193&gt;0.6,"Repairs exceed 60% of revenue",IF(G193&gt;=15,"Age 15+ → replace",IF(OR(G193&gt;=11,L193&gt;0.4),"Watch costs; plan replacement","Healthy — continue operating"))))</f>
        <v>Healthy — continue operating</v>
      </c>
      <c r="P193" s="188" t="str">
        <f aca="false">'Engineering Assumptions'!H26</f>
        <v>BOBCAT S450/S770 new ~Rs. 9–13M</v>
      </c>
    </row>
    <row r="194" customFormat="false" ht="15" hidden="false" customHeight="true" outlineLevel="0" collapsed="false">
      <c r="A194" s="9" t="n">
        <v>181</v>
      </c>
      <c r="B194" s="184" t="s">
        <v>109</v>
      </c>
      <c r="C194" s="184" t="s">
        <v>2354</v>
      </c>
      <c r="D194" s="184" t="s">
        <v>657</v>
      </c>
      <c r="E194" s="184"/>
      <c r="F194" s="45" t="s">
        <v>397</v>
      </c>
      <c r="G194" s="9" t="n">
        <v>9</v>
      </c>
      <c r="H194" s="185" t="n">
        <f aca="false">'Engineering Assumptions'!$F$26*0.22*1</f>
        <v>2.42</v>
      </c>
      <c r="I194" s="185" t="n">
        <f aca="false">'Engineering Assumptions'!$F$26*1</f>
        <v>11</v>
      </c>
      <c r="J194" s="12" t="n">
        <f aca="false">'Fleet Pricing'!L194</f>
        <v>253000</v>
      </c>
      <c r="K194" s="12" t="n">
        <f aca="false">'Maintenance &amp; Repair'!J194+'Maintenance &amp; Repair'!K194</f>
        <v>42000</v>
      </c>
      <c r="L194" s="186" t="n">
        <f aca="false">IFERROR(K194/J194,0)</f>
        <v>0.16600790513834</v>
      </c>
      <c r="M194" s="9" t="n">
        <f aca="false">MAX(0,'Engineering Assumptions'!$G$26-G194)</f>
        <v>1</v>
      </c>
      <c r="N194" s="187" t="str">
        <f aca="false">IF(G194&gt;=20,"REPLACE",IF(L194&gt;0.6,"REPLACE",IF(G194&gt;=15,"REPLACE",IF(OR(G194&gt;=11,L194&gt;0.4),"MONITOR","KEEP"))))</f>
        <v>KEEP</v>
      </c>
      <c r="O194" s="188" t="str">
        <f aca="false">IF(G194&gt;=20,"End of life (age &gt; 20)",IF(L194&gt;0.6,"Repairs exceed 60% of revenue",IF(G194&gt;=15,"Age 15+ → replace",IF(OR(G194&gt;=11,L194&gt;0.4),"Watch costs; plan replacement","Healthy — continue operating"))))</f>
        <v>Healthy — continue operating</v>
      </c>
      <c r="P194" s="188" t="str">
        <f aca="false">'Engineering Assumptions'!H26</f>
        <v>BOBCAT S450/S770 new ~Rs. 9–13M</v>
      </c>
    </row>
    <row r="195" customFormat="false" ht="15" hidden="false" customHeight="true" outlineLevel="0" collapsed="false">
      <c r="A195" s="9" t="n">
        <v>182</v>
      </c>
      <c r="B195" s="184" t="s">
        <v>109</v>
      </c>
      <c r="C195" s="184" t="s">
        <v>2354</v>
      </c>
      <c r="D195" s="184" t="s">
        <v>658</v>
      </c>
      <c r="E195" s="184"/>
      <c r="F195" s="45" t="s">
        <v>397</v>
      </c>
      <c r="G195" s="9" t="n">
        <v>9</v>
      </c>
      <c r="H195" s="185" t="n">
        <f aca="false">'Engineering Assumptions'!$F$26*0.22*1</f>
        <v>2.42</v>
      </c>
      <c r="I195" s="185" t="n">
        <f aca="false">'Engineering Assumptions'!$F$26*1</f>
        <v>11</v>
      </c>
      <c r="J195" s="12" t="n">
        <f aca="false">'Fleet Pricing'!L195</f>
        <v>253000</v>
      </c>
      <c r="K195" s="12" t="n">
        <f aca="false">'Maintenance &amp; Repair'!J195+'Maintenance &amp; Repair'!K195</f>
        <v>42000</v>
      </c>
      <c r="L195" s="186" t="n">
        <f aca="false">IFERROR(K195/J195,0)</f>
        <v>0.16600790513834</v>
      </c>
      <c r="M195" s="9" t="n">
        <f aca="false">MAX(0,'Engineering Assumptions'!$G$26-G195)</f>
        <v>1</v>
      </c>
      <c r="N195" s="187" t="str">
        <f aca="false">IF(G195&gt;=20,"REPLACE",IF(L195&gt;0.6,"REPLACE",IF(G195&gt;=15,"REPLACE",IF(OR(G195&gt;=11,L195&gt;0.4),"MONITOR","KEEP"))))</f>
        <v>KEEP</v>
      </c>
      <c r="O195" s="188" t="str">
        <f aca="false">IF(G195&gt;=20,"End of life (age &gt; 20)",IF(L195&gt;0.6,"Repairs exceed 60% of revenue",IF(G195&gt;=15,"Age 15+ → replace",IF(OR(G195&gt;=11,L195&gt;0.4),"Watch costs; plan replacement","Healthy — continue operating"))))</f>
        <v>Healthy — continue operating</v>
      </c>
      <c r="P195" s="188" t="str">
        <f aca="false">'Engineering Assumptions'!H26</f>
        <v>BOBCAT S450/S770 new ~Rs. 9–13M</v>
      </c>
    </row>
    <row r="196" customFormat="false" ht="15" hidden="false" customHeight="true" outlineLevel="0" collapsed="false">
      <c r="A196" s="9" t="n">
        <v>183</v>
      </c>
      <c r="B196" s="184" t="s">
        <v>109</v>
      </c>
      <c r="C196" s="184" t="s">
        <v>2354</v>
      </c>
      <c r="D196" s="184" t="s">
        <v>663</v>
      </c>
      <c r="E196" s="184"/>
      <c r="F196" s="45" t="s">
        <v>397</v>
      </c>
      <c r="G196" s="9" t="n">
        <v>9</v>
      </c>
      <c r="H196" s="185" t="n">
        <f aca="false">'Engineering Assumptions'!$F$26*0.22*1</f>
        <v>2.42</v>
      </c>
      <c r="I196" s="185" t="n">
        <f aca="false">'Engineering Assumptions'!$F$26*1</f>
        <v>11</v>
      </c>
      <c r="J196" s="12" t="n">
        <f aca="false">'Fleet Pricing'!L196</f>
        <v>253000</v>
      </c>
      <c r="K196" s="12" t="n">
        <f aca="false">'Maintenance &amp; Repair'!J196+'Maintenance &amp; Repair'!K196</f>
        <v>42000</v>
      </c>
      <c r="L196" s="186" t="n">
        <f aca="false">IFERROR(K196/J196,0)</f>
        <v>0.16600790513834</v>
      </c>
      <c r="M196" s="9" t="n">
        <f aca="false">MAX(0,'Engineering Assumptions'!$G$26-G196)</f>
        <v>1</v>
      </c>
      <c r="N196" s="187" t="str">
        <f aca="false">IF(G196&gt;=20,"REPLACE",IF(L196&gt;0.6,"REPLACE",IF(G196&gt;=15,"REPLACE",IF(OR(G196&gt;=11,L196&gt;0.4),"MONITOR","KEEP"))))</f>
        <v>KEEP</v>
      </c>
      <c r="O196" s="188" t="str">
        <f aca="false">IF(G196&gt;=20,"End of life (age &gt; 20)",IF(L196&gt;0.6,"Repairs exceed 60% of revenue",IF(G196&gt;=15,"Age 15+ → replace",IF(OR(G196&gt;=11,L196&gt;0.4),"Watch costs; plan replacement","Healthy — continue operating"))))</f>
        <v>Healthy — continue operating</v>
      </c>
      <c r="P196" s="188" t="str">
        <f aca="false">'Engineering Assumptions'!H26</f>
        <v>BOBCAT S450/S770 new ~Rs. 9–13M</v>
      </c>
    </row>
    <row r="197" customFormat="false" ht="15" hidden="false" customHeight="true" outlineLevel="0" collapsed="false">
      <c r="A197" s="9" t="n">
        <v>184</v>
      </c>
      <c r="B197" s="184" t="s">
        <v>109</v>
      </c>
      <c r="C197" s="184" t="s">
        <v>2357</v>
      </c>
      <c r="D197" s="184" t="s">
        <v>645</v>
      </c>
      <c r="E197" s="184"/>
      <c r="F197" s="45" t="s">
        <v>397</v>
      </c>
      <c r="G197" s="9" t="n">
        <v>9</v>
      </c>
      <c r="H197" s="185" t="n">
        <f aca="false">'Engineering Assumptions'!$F$26*0.22*1</f>
        <v>2.42</v>
      </c>
      <c r="I197" s="185" t="n">
        <f aca="false">'Engineering Assumptions'!$F$26*1</f>
        <v>11</v>
      </c>
      <c r="J197" s="12" t="n">
        <f aca="false">'Fleet Pricing'!L197</f>
        <v>253000</v>
      </c>
      <c r="K197" s="12" t="n">
        <f aca="false">'Maintenance &amp; Repair'!J197+'Maintenance &amp; Repair'!K197</f>
        <v>42000</v>
      </c>
      <c r="L197" s="186" t="n">
        <f aca="false">IFERROR(K197/J197,0)</f>
        <v>0.16600790513834</v>
      </c>
      <c r="M197" s="9" t="n">
        <f aca="false">MAX(0,'Engineering Assumptions'!$G$26-G197)</f>
        <v>1</v>
      </c>
      <c r="N197" s="187" t="str">
        <f aca="false">IF(G197&gt;=20,"REPLACE",IF(L197&gt;0.6,"REPLACE",IF(G197&gt;=15,"REPLACE",IF(OR(G197&gt;=11,L197&gt;0.4),"MONITOR","KEEP"))))</f>
        <v>KEEP</v>
      </c>
      <c r="O197" s="188" t="str">
        <f aca="false">IF(G197&gt;=20,"End of life (age &gt; 20)",IF(L197&gt;0.6,"Repairs exceed 60% of revenue",IF(G197&gt;=15,"Age 15+ → replace",IF(OR(G197&gt;=11,L197&gt;0.4),"Watch costs; plan replacement","Healthy — continue operating"))))</f>
        <v>Healthy — continue operating</v>
      </c>
      <c r="P197" s="188" t="str">
        <f aca="false">'Engineering Assumptions'!H26</f>
        <v>BOBCAT S450/S770 new ~Rs. 9–13M</v>
      </c>
    </row>
    <row r="198" customFormat="false" ht="15" hidden="false" customHeight="true" outlineLevel="0" collapsed="false">
      <c r="A198" s="9" t="n">
        <v>185</v>
      </c>
      <c r="B198" s="184" t="s">
        <v>109</v>
      </c>
      <c r="C198" s="184" t="s">
        <v>2358</v>
      </c>
      <c r="D198" s="184" t="s">
        <v>660</v>
      </c>
      <c r="E198" s="184"/>
      <c r="F198" s="45" t="s">
        <v>397</v>
      </c>
      <c r="G198" s="9" t="n">
        <v>9</v>
      </c>
      <c r="H198" s="185" t="n">
        <f aca="false">'Engineering Assumptions'!$F$26*0.22*1</f>
        <v>2.42</v>
      </c>
      <c r="I198" s="185" t="n">
        <f aca="false">'Engineering Assumptions'!$F$26*1</f>
        <v>11</v>
      </c>
      <c r="J198" s="12" t="n">
        <f aca="false">'Fleet Pricing'!L198</f>
        <v>253000</v>
      </c>
      <c r="K198" s="12" t="n">
        <f aca="false">'Maintenance &amp; Repair'!J198+'Maintenance &amp; Repair'!K198</f>
        <v>42000</v>
      </c>
      <c r="L198" s="186" t="n">
        <f aca="false">IFERROR(K198/J198,0)</f>
        <v>0.16600790513834</v>
      </c>
      <c r="M198" s="9" t="n">
        <f aca="false">MAX(0,'Engineering Assumptions'!$G$26-G198)</f>
        <v>1</v>
      </c>
      <c r="N198" s="187" t="str">
        <f aca="false">IF(G198&gt;=20,"REPLACE",IF(L198&gt;0.6,"REPLACE",IF(G198&gt;=15,"REPLACE",IF(OR(G198&gt;=11,L198&gt;0.4),"MONITOR","KEEP"))))</f>
        <v>KEEP</v>
      </c>
      <c r="O198" s="188" t="str">
        <f aca="false">IF(G198&gt;=20,"End of life (age &gt; 20)",IF(L198&gt;0.6,"Repairs exceed 60% of revenue",IF(G198&gt;=15,"Age 15+ → replace",IF(OR(G198&gt;=11,L198&gt;0.4),"Watch costs; plan replacement","Healthy — continue operating"))))</f>
        <v>Healthy — continue operating</v>
      </c>
      <c r="P198" s="188" t="str">
        <f aca="false">'Engineering Assumptions'!H26</f>
        <v>BOBCAT S450/S770 new ~Rs. 9–13M</v>
      </c>
    </row>
    <row r="199" customFormat="false" ht="15" hidden="false" customHeight="true" outlineLevel="0" collapsed="false">
      <c r="A199" s="9" t="n">
        <v>186</v>
      </c>
      <c r="B199" s="184" t="s">
        <v>109</v>
      </c>
      <c r="C199" s="184" t="s">
        <v>2354</v>
      </c>
      <c r="D199" s="184" t="s">
        <v>662</v>
      </c>
      <c r="E199" s="184"/>
      <c r="F199" s="45" t="s">
        <v>318</v>
      </c>
      <c r="G199" s="9" t="n">
        <v>10</v>
      </c>
      <c r="H199" s="185" t="n">
        <f aca="false">'Engineering Assumptions'!$F$26*0.22*1</f>
        <v>2.42</v>
      </c>
      <c r="I199" s="185" t="n">
        <f aca="false">'Engineering Assumptions'!$F$26*1</f>
        <v>11</v>
      </c>
      <c r="J199" s="12" t="n">
        <f aca="false">'Fleet Pricing'!L199</f>
        <v>253000</v>
      </c>
      <c r="K199" s="12" t="n">
        <f aca="false">'Maintenance &amp; Repair'!J199+'Maintenance &amp; Repair'!K199</f>
        <v>42000</v>
      </c>
      <c r="L199" s="186" t="n">
        <f aca="false">IFERROR(K199/J199,0)</f>
        <v>0.16600790513834</v>
      </c>
      <c r="M199" s="9" t="n">
        <f aca="false">MAX(0,'Engineering Assumptions'!$G$26-G199)</f>
        <v>0</v>
      </c>
      <c r="N199" s="187" t="str">
        <f aca="false">IF(G199&gt;=20,"REPLACE",IF(L199&gt;0.6,"REPLACE",IF(G199&gt;=15,"REPLACE",IF(OR(G199&gt;=11,L199&gt;0.4),"MONITOR","KEEP"))))</f>
        <v>KEEP</v>
      </c>
      <c r="O199" s="188" t="str">
        <f aca="false">IF(G199&gt;=20,"End of life (age &gt; 20)",IF(L199&gt;0.6,"Repairs exceed 60% of revenue",IF(G199&gt;=15,"Age 15+ → replace",IF(OR(G199&gt;=11,L199&gt;0.4),"Watch costs; plan replacement","Healthy — continue operating"))))</f>
        <v>Healthy — continue operating</v>
      </c>
      <c r="P199" s="188" t="str">
        <f aca="false">'Engineering Assumptions'!H26</f>
        <v>BOBCAT S450/S770 new ~Rs. 9–13M</v>
      </c>
    </row>
    <row r="200" customFormat="false" ht="15" hidden="false" customHeight="true" outlineLevel="0" collapsed="false">
      <c r="A200" s="9" t="n">
        <v>187</v>
      </c>
      <c r="B200" s="184" t="s">
        <v>109</v>
      </c>
      <c r="C200" s="184" t="s">
        <v>2354</v>
      </c>
      <c r="D200" s="184" t="s">
        <v>646</v>
      </c>
      <c r="E200" s="184"/>
      <c r="F200" s="45" t="s">
        <v>318</v>
      </c>
      <c r="G200" s="9" t="n">
        <v>10</v>
      </c>
      <c r="H200" s="185" t="n">
        <f aca="false">'Engineering Assumptions'!$F$26*0.22*1</f>
        <v>2.42</v>
      </c>
      <c r="I200" s="185" t="n">
        <f aca="false">'Engineering Assumptions'!$F$26*1</f>
        <v>11</v>
      </c>
      <c r="J200" s="12" t="n">
        <f aca="false">'Fleet Pricing'!L200</f>
        <v>253000</v>
      </c>
      <c r="K200" s="12" t="n">
        <f aca="false">'Maintenance &amp; Repair'!J200+'Maintenance &amp; Repair'!K200</f>
        <v>42000</v>
      </c>
      <c r="L200" s="186" t="n">
        <f aca="false">IFERROR(K200/J200,0)</f>
        <v>0.16600790513834</v>
      </c>
      <c r="M200" s="9" t="n">
        <f aca="false">MAX(0,'Engineering Assumptions'!$G$26-G200)</f>
        <v>0</v>
      </c>
      <c r="N200" s="187" t="str">
        <f aca="false">IF(G200&gt;=20,"REPLACE",IF(L200&gt;0.6,"REPLACE",IF(G200&gt;=15,"REPLACE",IF(OR(G200&gt;=11,L200&gt;0.4),"MONITOR","KEEP"))))</f>
        <v>KEEP</v>
      </c>
      <c r="O200" s="188" t="str">
        <f aca="false">IF(G200&gt;=20,"End of life (age &gt; 20)",IF(L200&gt;0.6,"Repairs exceed 60% of revenue",IF(G200&gt;=15,"Age 15+ → replace",IF(OR(G200&gt;=11,L200&gt;0.4),"Watch costs; plan replacement","Healthy — continue operating"))))</f>
        <v>Healthy — continue operating</v>
      </c>
      <c r="P200" s="188" t="str">
        <f aca="false">'Engineering Assumptions'!H26</f>
        <v>BOBCAT S450/S770 new ~Rs. 9–13M</v>
      </c>
    </row>
    <row r="201" customFormat="false" ht="15" hidden="false" customHeight="true" outlineLevel="0" collapsed="false">
      <c r="A201" s="9" t="n">
        <v>188</v>
      </c>
      <c r="B201" s="184" t="s">
        <v>109</v>
      </c>
      <c r="C201" s="184" t="s">
        <v>2354</v>
      </c>
      <c r="D201" s="184" t="s">
        <v>649</v>
      </c>
      <c r="E201" s="184"/>
      <c r="F201" s="45" t="s">
        <v>318</v>
      </c>
      <c r="G201" s="9" t="n">
        <v>10</v>
      </c>
      <c r="H201" s="185" t="n">
        <f aca="false">'Engineering Assumptions'!$F$26*0.22*1</f>
        <v>2.42</v>
      </c>
      <c r="I201" s="185" t="n">
        <f aca="false">'Engineering Assumptions'!$F$26*1</f>
        <v>11</v>
      </c>
      <c r="J201" s="12" t="n">
        <f aca="false">'Fleet Pricing'!L201</f>
        <v>253000</v>
      </c>
      <c r="K201" s="12" t="n">
        <f aca="false">'Maintenance &amp; Repair'!J201+'Maintenance &amp; Repair'!K201</f>
        <v>42000</v>
      </c>
      <c r="L201" s="186" t="n">
        <f aca="false">IFERROR(K201/J201,0)</f>
        <v>0.16600790513834</v>
      </c>
      <c r="M201" s="9" t="n">
        <f aca="false">MAX(0,'Engineering Assumptions'!$G$26-G201)</f>
        <v>0</v>
      </c>
      <c r="N201" s="187" t="str">
        <f aca="false">IF(G201&gt;=20,"REPLACE",IF(L201&gt;0.6,"REPLACE",IF(G201&gt;=15,"REPLACE",IF(OR(G201&gt;=11,L201&gt;0.4),"MONITOR","KEEP"))))</f>
        <v>KEEP</v>
      </c>
      <c r="O201" s="188" t="str">
        <f aca="false">IF(G201&gt;=20,"End of life (age &gt; 20)",IF(L201&gt;0.6,"Repairs exceed 60% of revenue",IF(G201&gt;=15,"Age 15+ → replace",IF(OR(G201&gt;=11,L201&gt;0.4),"Watch costs; plan replacement","Healthy — continue operating"))))</f>
        <v>Healthy — continue operating</v>
      </c>
      <c r="P201" s="188" t="str">
        <f aca="false">'Engineering Assumptions'!H26</f>
        <v>BOBCAT S450/S770 new ~Rs. 9–13M</v>
      </c>
    </row>
    <row r="202" customFormat="false" ht="15" hidden="false" customHeight="true" outlineLevel="0" collapsed="false">
      <c r="A202" s="9" t="n">
        <v>189</v>
      </c>
      <c r="B202" s="184" t="s">
        <v>109</v>
      </c>
      <c r="C202" s="184" t="s">
        <v>2354</v>
      </c>
      <c r="D202" s="184" t="s">
        <v>656</v>
      </c>
      <c r="E202" s="184"/>
      <c r="F202" s="45" t="s">
        <v>318</v>
      </c>
      <c r="G202" s="9" t="n">
        <v>10</v>
      </c>
      <c r="H202" s="185" t="n">
        <f aca="false">'Engineering Assumptions'!$F$26*0.22*1</f>
        <v>2.42</v>
      </c>
      <c r="I202" s="185" t="n">
        <f aca="false">'Engineering Assumptions'!$F$26*1</f>
        <v>11</v>
      </c>
      <c r="J202" s="12" t="n">
        <f aca="false">'Fleet Pricing'!L202</f>
        <v>253000</v>
      </c>
      <c r="K202" s="12" t="n">
        <f aca="false">'Maintenance &amp; Repair'!J202+'Maintenance &amp; Repair'!K202</f>
        <v>42000</v>
      </c>
      <c r="L202" s="186" t="n">
        <f aca="false">IFERROR(K202/J202,0)</f>
        <v>0.16600790513834</v>
      </c>
      <c r="M202" s="9" t="n">
        <f aca="false">MAX(0,'Engineering Assumptions'!$G$26-G202)</f>
        <v>0</v>
      </c>
      <c r="N202" s="187" t="str">
        <f aca="false">IF(G202&gt;=20,"REPLACE",IF(L202&gt;0.6,"REPLACE",IF(G202&gt;=15,"REPLACE",IF(OR(G202&gt;=11,L202&gt;0.4),"MONITOR","KEEP"))))</f>
        <v>KEEP</v>
      </c>
      <c r="O202" s="188" t="str">
        <f aca="false">IF(G202&gt;=20,"End of life (age &gt; 20)",IF(L202&gt;0.6,"Repairs exceed 60% of revenue",IF(G202&gt;=15,"Age 15+ → replace",IF(OR(G202&gt;=11,L202&gt;0.4),"Watch costs; plan replacement","Healthy — continue operating"))))</f>
        <v>Healthy — continue operating</v>
      </c>
      <c r="P202" s="188" t="str">
        <f aca="false">'Engineering Assumptions'!H26</f>
        <v>BOBCAT S450/S770 new ~Rs. 9–13M</v>
      </c>
    </row>
    <row r="203" customFormat="false" ht="15" hidden="false" customHeight="true" outlineLevel="0" collapsed="false">
      <c r="A203" s="9" t="n">
        <v>190</v>
      </c>
      <c r="B203" s="184" t="s">
        <v>109</v>
      </c>
      <c r="C203" s="184" t="s">
        <v>2359</v>
      </c>
      <c r="D203" s="184" t="s">
        <v>666</v>
      </c>
      <c r="E203" s="184"/>
      <c r="F203" s="45" t="s">
        <v>318</v>
      </c>
      <c r="G203" s="9" t="n">
        <v>10</v>
      </c>
      <c r="H203" s="185" t="n">
        <f aca="false">'Engineering Assumptions'!$F$26*0.22*1</f>
        <v>2.42</v>
      </c>
      <c r="I203" s="185" t="n">
        <f aca="false">'Engineering Assumptions'!$F$26*1</f>
        <v>11</v>
      </c>
      <c r="J203" s="12" t="n">
        <f aca="false">'Fleet Pricing'!L203</f>
        <v>253000</v>
      </c>
      <c r="K203" s="12" t="n">
        <f aca="false">'Maintenance &amp; Repair'!J203+'Maintenance &amp; Repair'!K203</f>
        <v>42000</v>
      </c>
      <c r="L203" s="186" t="n">
        <f aca="false">IFERROR(K203/J203,0)</f>
        <v>0.16600790513834</v>
      </c>
      <c r="M203" s="9" t="n">
        <f aca="false">MAX(0,'Engineering Assumptions'!$G$26-G203)</f>
        <v>0</v>
      </c>
      <c r="N203" s="187" t="str">
        <f aca="false">IF(G203&gt;=20,"REPLACE",IF(L203&gt;0.6,"REPLACE",IF(G203&gt;=15,"REPLACE",IF(OR(G203&gt;=11,L203&gt;0.4),"MONITOR","KEEP"))))</f>
        <v>KEEP</v>
      </c>
      <c r="O203" s="188" t="str">
        <f aca="false">IF(G203&gt;=20,"End of life (age &gt; 20)",IF(L203&gt;0.6,"Repairs exceed 60% of revenue",IF(G203&gt;=15,"Age 15+ → replace",IF(OR(G203&gt;=11,L203&gt;0.4),"Watch costs; plan replacement","Healthy — continue operating"))))</f>
        <v>Healthy — continue operating</v>
      </c>
      <c r="P203" s="188" t="str">
        <f aca="false">'Engineering Assumptions'!H26</f>
        <v>BOBCAT S450/S770 new ~Rs. 9–13M</v>
      </c>
    </row>
    <row r="204" customFormat="false" ht="15" hidden="false" customHeight="true" outlineLevel="0" collapsed="false">
      <c r="A204" s="9" t="n">
        <v>191</v>
      </c>
      <c r="B204" s="184" t="s">
        <v>109</v>
      </c>
      <c r="C204" s="184" t="s">
        <v>2356</v>
      </c>
      <c r="D204" s="184" t="s">
        <v>651</v>
      </c>
      <c r="E204" s="184"/>
      <c r="F204" s="45" t="s">
        <v>374</v>
      </c>
      <c r="G204" s="9" t="n">
        <v>12</v>
      </c>
      <c r="H204" s="185" t="n">
        <f aca="false">'Engineering Assumptions'!$F$26*0.22*1</f>
        <v>2.42</v>
      </c>
      <c r="I204" s="185" t="n">
        <f aca="false">'Engineering Assumptions'!$F$26*1</f>
        <v>11</v>
      </c>
      <c r="J204" s="12" t="n">
        <f aca="false">'Fleet Pricing'!L204</f>
        <v>225500</v>
      </c>
      <c r="K204" s="12" t="n">
        <f aca="false">'Maintenance &amp; Repair'!J204+'Maintenance &amp; Repair'!K204</f>
        <v>62160</v>
      </c>
      <c r="L204" s="186" t="n">
        <f aca="false">IFERROR(K204/J204,0)</f>
        <v>0.275654101995565</v>
      </c>
      <c r="M204" s="9" t="n">
        <f aca="false">MAX(0,'Engineering Assumptions'!$G$26-G204)</f>
        <v>0</v>
      </c>
      <c r="N204" s="187" t="str">
        <f aca="false">IF(G204&gt;=20,"REPLACE",IF(L204&gt;0.6,"REPLACE",IF(G204&gt;=15,"REPLACE",IF(OR(G204&gt;=11,L204&gt;0.4),"MONITOR","KEEP"))))</f>
        <v>MONITOR</v>
      </c>
      <c r="O204" s="188" t="str">
        <f aca="false">IF(G204&gt;=20,"End of life (age &gt; 20)",IF(L204&gt;0.6,"Repairs exceed 60% of revenue",IF(G204&gt;=15,"Age 15+ → replace",IF(OR(G204&gt;=11,L204&gt;0.4),"Watch costs; plan replacement","Healthy — continue operating"))))</f>
        <v>Watch costs; plan replacement</v>
      </c>
      <c r="P204" s="188" t="str">
        <f aca="false">'Engineering Assumptions'!H26</f>
        <v>BOBCAT S450/S770 new ~Rs. 9–13M</v>
      </c>
    </row>
    <row r="205" customFormat="false" ht="15" hidden="false" customHeight="true" outlineLevel="0" collapsed="false">
      <c r="A205" s="9" t="n">
        <v>192</v>
      </c>
      <c r="B205" s="184" t="s">
        <v>109</v>
      </c>
      <c r="C205" s="184" t="s">
        <v>2360</v>
      </c>
      <c r="D205" s="184" t="s">
        <v>669</v>
      </c>
      <c r="E205" s="184"/>
      <c r="F205" s="45" t="s">
        <v>374</v>
      </c>
      <c r="G205" s="9" t="n">
        <v>12</v>
      </c>
      <c r="H205" s="185" t="n">
        <f aca="false">'Engineering Assumptions'!$F$26*0.22*1</f>
        <v>2.42</v>
      </c>
      <c r="I205" s="185" t="n">
        <f aca="false">'Engineering Assumptions'!$F$26*1</f>
        <v>11</v>
      </c>
      <c r="J205" s="12" t="n">
        <f aca="false">'Fleet Pricing'!L205</f>
        <v>225500</v>
      </c>
      <c r="K205" s="12" t="n">
        <f aca="false">'Maintenance &amp; Repair'!J205+'Maintenance &amp; Repair'!K205</f>
        <v>62160</v>
      </c>
      <c r="L205" s="186" t="n">
        <f aca="false">IFERROR(K205/J205,0)</f>
        <v>0.275654101995565</v>
      </c>
      <c r="M205" s="9" t="n">
        <f aca="false">MAX(0,'Engineering Assumptions'!$G$26-G205)</f>
        <v>0</v>
      </c>
      <c r="N205" s="187" t="str">
        <f aca="false">IF(G205&gt;=20,"REPLACE",IF(L205&gt;0.6,"REPLACE",IF(G205&gt;=15,"REPLACE",IF(OR(G205&gt;=11,L205&gt;0.4),"MONITOR","KEEP"))))</f>
        <v>MONITOR</v>
      </c>
      <c r="O205" s="188" t="str">
        <f aca="false">IF(G205&gt;=20,"End of life (age &gt; 20)",IF(L205&gt;0.6,"Repairs exceed 60% of revenue",IF(G205&gt;=15,"Age 15+ → replace",IF(OR(G205&gt;=11,L205&gt;0.4),"Watch costs; plan replacement","Healthy — continue operating"))))</f>
        <v>Watch costs; plan replacement</v>
      </c>
      <c r="P205" s="188" t="str">
        <f aca="false">'Engineering Assumptions'!H26</f>
        <v>BOBCAT S450/S770 new ~Rs. 9–13M</v>
      </c>
    </row>
    <row r="206" customFormat="false" ht="15" hidden="false" customHeight="true" outlineLevel="0" collapsed="false">
      <c r="A206" s="9" t="n">
        <v>193</v>
      </c>
      <c r="B206" s="184" t="s">
        <v>109</v>
      </c>
      <c r="C206" s="184" t="s">
        <v>2360</v>
      </c>
      <c r="D206" s="184" t="s">
        <v>652</v>
      </c>
      <c r="E206" s="184"/>
      <c r="F206" s="45" t="s">
        <v>374</v>
      </c>
      <c r="G206" s="9" t="n">
        <v>12</v>
      </c>
      <c r="H206" s="185" t="n">
        <f aca="false">'Engineering Assumptions'!$F$26*0.22*1</f>
        <v>2.42</v>
      </c>
      <c r="I206" s="185" t="n">
        <f aca="false">'Engineering Assumptions'!$F$26*1</f>
        <v>11</v>
      </c>
      <c r="J206" s="12" t="n">
        <f aca="false">'Fleet Pricing'!L206</f>
        <v>225500</v>
      </c>
      <c r="K206" s="12" t="n">
        <f aca="false">'Maintenance &amp; Repair'!J206+'Maintenance &amp; Repair'!K206</f>
        <v>62160</v>
      </c>
      <c r="L206" s="186" t="n">
        <f aca="false">IFERROR(K206/J206,0)</f>
        <v>0.275654101995565</v>
      </c>
      <c r="M206" s="9" t="n">
        <f aca="false">MAX(0,'Engineering Assumptions'!$G$26-G206)</f>
        <v>0</v>
      </c>
      <c r="N206" s="187" t="str">
        <f aca="false">IF(G206&gt;=20,"REPLACE",IF(L206&gt;0.6,"REPLACE",IF(G206&gt;=15,"REPLACE",IF(OR(G206&gt;=11,L206&gt;0.4),"MONITOR","KEEP"))))</f>
        <v>MONITOR</v>
      </c>
      <c r="O206" s="188" t="str">
        <f aca="false">IF(G206&gt;=20,"End of life (age &gt; 20)",IF(L206&gt;0.6,"Repairs exceed 60% of revenue",IF(G206&gt;=15,"Age 15+ → replace",IF(OR(G206&gt;=11,L206&gt;0.4),"Watch costs; plan replacement","Healthy — continue operating"))))</f>
        <v>Watch costs; plan replacement</v>
      </c>
      <c r="P206" s="188" t="str">
        <f aca="false">'Engineering Assumptions'!H26</f>
        <v>BOBCAT S450/S770 new ~Rs. 9–13M</v>
      </c>
    </row>
    <row r="207" customFormat="false" ht="15" hidden="false" customHeight="true" outlineLevel="0" collapsed="false">
      <c r="A207" s="9" t="n">
        <v>194</v>
      </c>
      <c r="B207" s="184" t="s">
        <v>109</v>
      </c>
      <c r="C207" s="184" t="s">
        <v>2356</v>
      </c>
      <c r="D207" s="184" t="s">
        <v>653</v>
      </c>
      <c r="E207" s="184"/>
      <c r="F207" s="45" t="s">
        <v>374</v>
      </c>
      <c r="G207" s="9" t="n">
        <v>12</v>
      </c>
      <c r="H207" s="185" t="n">
        <f aca="false">'Engineering Assumptions'!$F$26*0.22*1</f>
        <v>2.42</v>
      </c>
      <c r="I207" s="185" t="n">
        <f aca="false">'Engineering Assumptions'!$F$26*1</f>
        <v>11</v>
      </c>
      <c r="J207" s="12" t="n">
        <f aca="false">'Fleet Pricing'!L207</f>
        <v>225500</v>
      </c>
      <c r="K207" s="12" t="n">
        <f aca="false">'Maintenance &amp; Repair'!J207+'Maintenance &amp; Repair'!K207</f>
        <v>62160</v>
      </c>
      <c r="L207" s="186" t="n">
        <f aca="false">IFERROR(K207/J207,0)</f>
        <v>0.275654101995565</v>
      </c>
      <c r="M207" s="9" t="n">
        <f aca="false">MAX(0,'Engineering Assumptions'!$G$26-G207)</f>
        <v>0</v>
      </c>
      <c r="N207" s="187" t="str">
        <f aca="false">IF(G207&gt;=20,"REPLACE",IF(L207&gt;0.6,"REPLACE",IF(G207&gt;=15,"REPLACE",IF(OR(G207&gt;=11,L207&gt;0.4),"MONITOR","KEEP"))))</f>
        <v>MONITOR</v>
      </c>
      <c r="O207" s="188" t="str">
        <f aca="false">IF(G207&gt;=20,"End of life (age &gt; 20)",IF(L207&gt;0.6,"Repairs exceed 60% of revenue",IF(G207&gt;=15,"Age 15+ → replace",IF(OR(G207&gt;=11,L207&gt;0.4),"Watch costs; plan replacement","Healthy — continue operating"))))</f>
        <v>Watch costs; plan replacement</v>
      </c>
      <c r="P207" s="188" t="str">
        <f aca="false">'Engineering Assumptions'!H26</f>
        <v>BOBCAT S450/S770 new ~Rs. 9–13M</v>
      </c>
    </row>
    <row r="208" customFormat="false" ht="15" hidden="false" customHeight="true" outlineLevel="0" collapsed="false">
      <c r="A208" s="42" t="s">
        <v>673</v>
      </c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</row>
    <row r="209" customFormat="false" ht="15" hidden="false" customHeight="true" outlineLevel="0" collapsed="false">
      <c r="A209" s="9" t="n">
        <v>195</v>
      </c>
      <c r="B209" s="184" t="s">
        <v>111</v>
      </c>
      <c r="C209" s="184" t="s">
        <v>2361</v>
      </c>
      <c r="D209" s="184" t="s">
        <v>674</v>
      </c>
      <c r="E209" s="184"/>
      <c r="F209" s="45" t="s">
        <v>306</v>
      </c>
      <c r="G209" s="9" t="n">
        <v>6</v>
      </c>
      <c r="H209" s="185" t="n">
        <f aca="false">'Engineering Assumptions'!$F$27*0.35*1</f>
        <v>16.8</v>
      </c>
      <c r="I209" s="185" t="n">
        <f aca="false">'Engineering Assumptions'!$F$27*1</f>
        <v>48</v>
      </c>
      <c r="J209" s="12" t="n">
        <f aca="false">'Fleet Pricing'!L209</f>
        <v>821000</v>
      </c>
      <c r="K209" s="12" t="n">
        <f aca="false">'Maintenance &amp; Repair'!J209+'Maintenance &amp; Repair'!K209</f>
        <v>113400</v>
      </c>
      <c r="L209" s="186" t="n">
        <f aca="false">IFERROR(K209/J209,0)</f>
        <v>0.138124238733252</v>
      </c>
      <c r="M209" s="9" t="n">
        <f aca="false">MAX(0,'Engineering Assumptions'!$G$27-G209)</f>
        <v>6</v>
      </c>
      <c r="N209" s="187" t="str">
        <f aca="false">IF(G209&gt;=20,"REPLACE",IF(L209&gt;0.6,"REPLACE",IF(G209&gt;=15,"REPLACE",IF(OR(G209&gt;=11,L209&gt;0.4),"MONITOR","KEEP"))))</f>
        <v>KEEP</v>
      </c>
      <c r="O209" s="188" t="str">
        <f aca="false">IF(G209&gt;=20,"End of life (age &gt; 20)",IF(L209&gt;0.6,"Repairs exceed 60% of revenue",IF(G209&gt;=15,"Age 15+ → replace",IF(OR(G209&gt;=11,L209&gt;0.4),"Watch costs; plan replacement","Healthy — continue operating"))))</f>
        <v>Healthy — continue operating</v>
      </c>
      <c r="P209" s="188" t="str">
        <f aca="false">'Engineering Assumptions'!H27</f>
        <v>VOLVO P6820 / SUMITOMO HA60 ~Rs. 40–55M</v>
      </c>
    </row>
    <row r="210" customFormat="false" ht="15" hidden="false" customHeight="true" outlineLevel="0" collapsed="false">
      <c r="A210" s="9" t="n">
        <v>196</v>
      </c>
      <c r="B210" s="184" t="s">
        <v>111</v>
      </c>
      <c r="C210" s="184" t="s">
        <v>2362</v>
      </c>
      <c r="D210" s="184" t="s">
        <v>677</v>
      </c>
      <c r="E210" s="184"/>
      <c r="F210" s="45" t="s">
        <v>324</v>
      </c>
      <c r="G210" s="9" t="n">
        <v>7</v>
      </c>
      <c r="H210" s="185" t="n">
        <f aca="false">'Engineering Assumptions'!$F$27*0.35*1</f>
        <v>16.8</v>
      </c>
      <c r="I210" s="185" t="n">
        <f aca="false">'Engineering Assumptions'!$F$27*1</f>
        <v>48</v>
      </c>
      <c r="J210" s="12" t="n">
        <f aca="false">'Fleet Pricing'!L210</f>
        <v>756000</v>
      </c>
      <c r="K210" s="12" t="n">
        <f aca="false">'Maintenance &amp; Repair'!J210+'Maintenance &amp; Repair'!K210</f>
        <v>113400</v>
      </c>
      <c r="L210" s="186" t="n">
        <f aca="false">IFERROR(K210/J210,0)</f>
        <v>0.15</v>
      </c>
      <c r="M210" s="9" t="n">
        <f aca="false">MAX(0,'Engineering Assumptions'!$G$27-G210)</f>
        <v>5</v>
      </c>
      <c r="N210" s="187" t="str">
        <f aca="false">IF(G210&gt;=20,"REPLACE",IF(L210&gt;0.6,"REPLACE",IF(G210&gt;=15,"REPLACE",IF(OR(G210&gt;=11,L210&gt;0.4),"MONITOR","KEEP"))))</f>
        <v>KEEP</v>
      </c>
      <c r="O210" s="188" t="str">
        <f aca="false">IF(G210&gt;=20,"End of life (age &gt; 20)",IF(L210&gt;0.6,"Repairs exceed 60% of revenue",IF(G210&gt;=15,"Age 15+ → replace",IF(OR(G210&gt;=11,L210&gt;0.4),"Watch costs; plan replacement","Healthy — continue operating"))))</f>
        <v>Healthy — continue operating</v>
      </c>
      <c r="P210" s="188" t="str">
        <f aca="false">'Engineering Assumptions'!H27</f>
        <v>VOLVO P6820 / SUMITOMO HA60 ~Rs. 40–55M</v>
      </c>
    </row>
    <row r="211" customFormat="false" ht="15" hidden="false" customHeight="true" outlineLevel="0" collapsed="false">
      <c r="A211" s="9" t="n">
        <v>197</v>
      </c>
      <c r="B211" s="184" t="s">
        <v>111</v>
      </c>
      <c r="C211" s="184" t="s">
        <v>2363</v>
      </c>
      <c r="D211" s="184" t="s">
        <v>679</v>
      </c>
      <c r="E211" s="184"/>
      <c r="F211" s="45" t="s">
        <v>374</v>
      </c>
      <c r="G211" s="9" t="n">
        <v>12</v>
      </c>
      <c r="H211" s="185" t="n">
        <f aca="false">'Engineering Assumptions'!$F$27*0.22*1</f>
        <v>10.56</v>
      </c>
      <c r="I211" s="185" t="n">
        <f aca="false">'Engineering Assumptions'!$F$27*1</f>
        <v>48</v>
      </c>
      <c r="J211" s="12" t="n">
        <f aca="false">'Fleet Pricing'!L211</f>
        <v>673000</v>
      </c>
      <c r="K211" s="12" t="n">
        <f aca="false">'Maintenance &amp; Repair'!J211+'Maintenance &amp; Repair'!K211</f>
        <v>168840</v>
      </c>
      <c r="L211" s="186" t="n">
        <f aca="false">IFERROR(K211/J211,0)</f>
        <v>0.250876671619614</v>
      </c>
      <c r="M211" s="9" t="n">
        <f aca="false">MAX(0,'Engineering Assumptions'!$G$27-G211)</f>
        <v>0</v>
      </c>
      <c r="N211" s="187" t="str">
        <f aca="false">IF(G211&gt;=20,"REPLACE",IF(L211&gt;0.6,"REPLACE",IF(G211&gt;=15,"REPLACE",IF(OR(G211&gt;=11,L211&gt;0.4),"MONITOR","KEEP"))))</f>
        <v>MONITOR</v>
      </c>
      <c r="O211" s="188" t="str">
        <f aca="false">IF(G211&gt;=20,"End of life (age &gt; 20)",IF(L211&gt;0.6,"Repairs exceed 60% of revenue",IF(G211&gt;=15,"Age 15+ → replace",IF(OR(G211&gt;=11,L211&gt;0.4),"Watch costs; plan replacement","Healthy — continue operating"))))</f>
        <v>Watch costs; plan replacement</v>
      </c>
      <c r="P211" s="188" t="str">
        <f aca="false">'Engineering Assumptions'!H27</f>
        <v>VOLVO P6820 / SUMITOMO HA60 ~Rs. 40–55M</v>
      </c>
    </row>
    <row r="212" customFormat="false" ht="15" hidden="false" customHeight="true" outlineLevel="0" collapsed="false">
      <c r="A212" s="9" t="n">
        <v>198</v>
      </c>
      <c r="B212" s="184" t="s">
        <v>111</v>
      </c>
      <c r="C212" s="184" t="s">
        <v>2364</v>
      </c>
      <c r="D212" s="184" t="s">
        <v>681</v>
      </c>
      <c r="E212" s="184"/>
      <c r="F212" s="45" t="s">
        <v>374</v>
      </c>
      <c r="G212" s="9" t="n">
        <v>12</v>
      </c>
      <c r="H212" s="185" t="n">
        <f aca="false">'Engineering Assumptions'!$F$27*0.22*1</f>
        <v>10.56</v>
      </c>
      <c r="I212" s="185" t="n">
        <f aca="false">'Engineering Assumptions'!$F$27*1</f>
        <v>48</v>
      </c>
      <c r="J212" s="12" t="n">
        <f aca="false">'Fleet Pricing'!L212</f>
        <v>673000</v>
      </c>
      <c r="K212" s="12" t="n">
        <f aca="false">'Maintenance &amp; Repair'!J212+'Maintenance &amp; Repair'!K212</f>
        <v>168840</v>
      </c>
      <c r="L212" s="186" t="n">
        <f aca="false">IFERROR(K212/J212,0)</f>
        <v>0.250876671619614</v>
      </c>
      <c r="M212" s="9" t="n">
        <f aca="false">MAX(0,'Engineering Assumptions'!$G$27-G212)</f>
        <v>0</v>
      </c>
      <c r="N212" s="187" t="str">
        <f aca="false">IF(G212&gt;=20,"REPLACE",IF(L212&gt;0.6,"REPLACE",IF(G212&gt;=15,"REPLACE",IF(OR(G212&gt;=11,L212&gt;0.4),"MONITOR","KEEP"))))</f>
        <v>MONITOR</v>
      </c>
      <c r="O212" s="188" t="str">
        <f aca="false">IF(G212&gt;=20,"End of life (age &gt; 20)",IF(L212&gt;0.6,"Repairs exceed 60% of revenue",IF(G212&gt;=15,"Age 15+ → replace",IF(OR(G212&gt;=11,L212&gt;0.4),"Watch costs; plan replacement","Healthy — continue operating"))))</f>
        <v>Watch costs; plan replacement</v>
      </c>
      <c r="P212" s="188" t="str">
        <f aca="false">'Engineering Assumptions'!H27</f>
        <v>VOLVO P6820 / SUMITOMO HA60 ~Rs. 40–55M</v>
      </c>
    </row>
    <row r="213" customFormat="false" ht="15" hidden="false" customHeight="true" outlineLevel="0" collapsed="false">
      <c r="A213" s="9" t="n">
        <v>199</v>
      </c>
      <c r="B213" s="184" t="s">
        <v>111</v>
      </c>
      <c r="C213" s="184" t="s">
        <v>2365</v>
      </c>
      <c r="D213" s="184" t="s">
        <v>683</v>
      </c>
      <c r="E213" s="184"/>
      <c r="F213" s="45" t="s">
        <v>380</v>
      </c>
      <c r="G213" s="9" t="n">
        <v>13</v>
      </c>
      <c r="H213" s="185" t="n">
        <f aca="false">'Engineering Assumptions'!$F$27*0.12*1</f>
        <v>5.76</v>
      </c>
      <c r="I213" s="185" t="n">
        <f aca="false">'Engineering Assumptions'!$F$27*1</f>
        <v>48</v>
      </c>
      <c r="J213" s="12" t="n">
        <f aca="false">'Fleet Pricing'!L213</f>
        <v>673000</v>
      </c>
      <c r="K213" s="12" t="n">
        <f aca="false">'Maintenance &amp; Repair'!J213+'Maintenance &amp; Repair'!K213</f>
        <v>168840</v>
      </c>
      <c r="L213" s="186" t="n">
        <f aca="false">IFERROR(K213/J213,0)</f>
        <v>0.250876671619614</v>
      </c>
      <c r="M213" s="9" t="n">
        <f aca="false">MAX(0,'Engineering Assumptions'!$G$27-G213)</f>
        <v>0</v>
      </c>
      <c r="N213" s="187" t="str">
        <f aca="false">IF(G213&gt;=20,"REPLACE",IF(L213&gt;0.6,"REPLACE",IF(G213&gt;=15,"REPLACE",IF(OR(G213&gt;=11,L213&gt;0.4),"MONITOR","KEEP"))))</f>
        <v>MONITOR</v>
      </c>
      <c r="O213" s="188" t="str">
        <f aca="false">IF(G213&gt;=20,"End of life (age &gt; 20)",IF(L213&gt;0.6,"Repairs exceed 60% of revenue",IF(G213&gt;=15,"Age 15+ → replace",IF(OR(G213&gt;=11,L213&gt;0.4),"Watch costs; plan replacement","Healthy — continue operating"))))</f>
        <v>Watch costs; plan replacement</v>
      </c>
      <c r="P213" s="188" t="str">
        <f aca="false">'Engineering Assumptions'!H27</f>
        <v>VOLVO P6820 / SUMITOMO HA60 ~Rs. 40–55M</v>
      </c>
    </row>
    <row r="214" customFormat="false" ht="15" hidden="false" customHeight="true" outlineLevel="0" collapsed="false">
      <c r="A214" s="9" t="n">
        <v>200</v>
      </c>
      <c r="B214" s="184" t="s">
        <v>111</v>
      </c>
      <c r="C214" s="184" t="s">
        <v>2366</v>
      </c>
      <c r="D214" s="184" t="s">
        <v>686</v>
      </c>
      <c r="E214" s="184"/>
      <c r="F214" s="45" t="s">
        <v>310</v>
      </c>
      <c r="G214" s="9" t="n">
        <v>14</v>
      </c>
      <c r="H214" s="185" t="n">
        <f aca="false">'Engineering Assumptions'!$F$27*0.12*1</f>
        <v>5.76</v>
      </c>
      <c r="I214" s="185" t="n">
        <f aca="false">'Engineering Assumptions'!$F$27*1</f>
        <v>48</v>
      </c>
      <c r="J214" s="12" t="n">
        <f aca="false">'Fleet Pricing'!L214</f>
        <v>673000</v>
      </c>
      <c r="K214" s="12" t="n">
        <f aca="false">'Maintenance &amp; Repair'!J214+'Maintenance &amp; Repair'!K214</f>
        <v>168840</v>
      </c>
      <c r="L214" s="186" t="n">
        <f aca="false">IFERROR(K214/J214,0)</f>
        <v>0.250876671619614</v>
      </c>
      <c r="M214" s="9" t="n">
        <f aca="false">MAX(0,'Engineering Assumptions'!$G$27-G214)</f>
        <v>0</v>
      </c>
      <c r="N214" s="187" t="str">
        <f aca="false">IF(G214&gt;=20,"REPLACE",IF(L214&gt;0.6,"REPLACE",IF(G214&gt;=15,"REPLACE",IF(OR(G214&gt;=11,L214&gt;0.4),"MONITOR","KEEP"))))</f>
        <v>MONITOR</v>
      </c>
      <c r="O214" s="188" t="str">
        <f aca="false">IF(G214&gt;=20,"End of life (age &gt; 20)",IF(L214&gt;0.6,"Repairs exceed 60% of revenue",IF(G214&gt;=15,"Age 15+ → replace",IF(OR(G214&gt;=11,L214&gt;0.4),"Watch costs; plan replacement","Healthy — continue operating"))))</f>
        <v>Watch costs; plan replacement</v>
      </c>
      <c r="P214" s="188" t="str">
        <f aca="false">'Engineering Assumptions'!H27</f>
        <v>VOLVO P6820 / SUMITOMO HA60 ~Rs. 40–55M</v>
      </c>
    </row>
    <row r="215" customFormat="false" ht="15" hidden="false" customHeight="true" outlineLevel="0" collapsed="false">
      <c r="A215" s="9" t="n">
        <v>201</v>
      </c>
      <c r="B215" s="184" t="s">
        <v>111</v>
      </c>
      <c r="C215" s="184" t="s">
        <v>2367</v>
      </c>
      <c r="D215" s="184" t="s">
        <v>688</v>
      </c>
      <c r="E215" s="184"/>
      <c r="F215" s="45" t="s">
        <v>310</v>
      </c>
      <c r="G215" s="9" t="n">
        <v>14</v>
      </c>
      <c r="H215" s="185" t="n">
        <f aca="false">'Engineering Assumptions'!$F$27*0.12*1</f>
        <v>5.76</v>
      </c>
      <c r="I215" s="185" t="n">
        <f aca="false">'Engineering Assumptions'!$F$27*1</f>
        <v>48</v>
      </c>
      <c r="J215" s="12" t="n">
        <f aca="false">'Fleet Pricing'!L215</f>
        <v>673000</v>
      </c>
      <c r="K215" s="12" t="n">
        <f aca="false">'Maintenance &amp; Repair'!J215+'Maintenance &amp; Repair'!K215</f>
        <v>168840</v>
      </c>
      <c r="L215" s="186" t="n">
        <f aca="false">IFERROR(K215/J215,0)</f>
        <v>0.250876671619614</v>
      </c>
      <c r="M215" s="9" t="n">
        <f aca="false">MAX(0,'Engineering Assumptions'!$G$27-G215)</f>
        <v>0</v>
      </c>
      <c r="N215" s="187" t="str">
        <f aca="false">IF(G215&gt;=20,"REPLACE",IF(L215&gt;0.6,"REPLACE",IF(G215&gt;=15,"REPLACE",IF(OR(G215&gt;=11,L215&gt;0.4),"MONITOR","KEEP"))))</f>
        <v>MONITOR</v>
      </c>
      <c r="O215" s="188" t="str">
        <f aca="false">IF(G215&gt;=20,"End of life (age &gt; 20)",IF(L215&gt;0.6,"Repairs exceed 60% of revenue",IF(G215&gt;=15,"Age 15+ → replace",IF(OR(G215&gt;=11,L215&gt;0.4),"Watch costs; plan replacement","Healthy — continue operating"))))</f>
        <v>Watch costs; plan replacement</v>
      </c>
      <c r="P215" s="188" t="str">
        <f aca="false">'Engineering Assumptions'!H27</f>
        <v>VOLVO P6820 / SUMITOMO HA60 ~Rs. 40–55M</v>
      </c>
    </row>
    <row r="216" customFormat="false" ht="15" hidden="false" customHeight="true" outlineLevel="0" collapsed="false">
      <c r="A216" s="9" t="n">
        <v>202</v>
      </c>
      <c r="B216" s="184" t="s">
        <v>111</v>
      </c>
      <c r="C216" s="184" t="s">
        <v>2368</v>
      </c>
      <c r="D216" s="184" t="s">
        <v>690</v>
      </c>
      <c r="E216" s="184"/>
      <c r="F216" s="45" t="s">
        <v>310</v>
      </c>
      <c r="G216" s="9" t="n">
        <v>14</v>
      </c>
      <c r="H216" s="185" t="n">
        <f aca="false">'Engineering Assumptions'!$F$27*0.12*1</f>
        <v>5.76</v>
      </c>
      <c r="I216" s="185" t="n">
        <f aca="false">'Engineering Assumptions'!$F$27*1</f>
        <v>48</v>
      </c>
      <c r="J216" s="12" t="n">
        <f aca="false">'Fleet Pricing'!L216</f>
        <v>673000</v>
      </c>
      <c r="K216" s="12" t="n">
        <f aca="false">'Maintenance &amp; Repair'!J216+'Maintenance &amp; Repair'!K216</f>
        <v>168840</v>
      </c>
      <c r="L216" s="186" t="n">
        <f aca="false">IFERROR(K216/J216,0)</f>
        <v>0.250876671619614</v>
      </c>
      <c r="M216" s="9" t="n">
        <f aca="false">MAX(0,'Engineering Assumptions'!$G$27-G216)</f>
        <v>0</v>
      </c>
      <c r="N216" s="187" t="str">
        <f aca="false">IF(G216&gt;=20,"REPLACE",IF(L216&gt;0.6,"REPLACE",IF(G216&gt;=15,"REPLACE",IF(OR(G216&gt;=11,L216&gt;0.4),"MONITOR","KEEP"))))</f>
        <v>MONITOR</v>
      </c>
      <c r="O216" s="188" t="str">
        <f aca="false">IF(G216&gt;=20,"End of life (age &gt; 20)",IF(L216&gt;0.6,"Repairs exceed 60% of revenue",IF(G216&gt;=15,"Age 15+ → replace",IF(OR(G216&gt;=11,L216&gt;0.4),"Watch costs; plan replacement","Healthy — continue operating"))))</f>
        <v>Watch costs; plan replacement</v>
      </c>
      <c r="P216" s="188" t="str">
        <f aca="false">'Engineering Assumptions'!H27</f>
        <v>VOLVO P6820 / SUMITOMO HA60 ~Rs. 40–55M</v>
      </c>
    </row>
    <row r="217" customFormat="false" ht="15" hidden="false" customHeight="true" outlineLevel="0" collapsed="false">
      <c r="A217" s="9" t="n">
        <v>203</v>
      </c>
      <c r="B217" s="184" t="s">
        <v>111</v>
      </c>
      <c r="C217" s="184" t="s">
        <v>2369</v>
      </c>
      <c r="D217" s="184" t="s">
        <v>692</v>
      </c>
      <c r="E217" s="184"/>
      <c r="F217" s="45" t="s">
        <v>348</v>
      </c>
      <c r="G217" s="9" t="n">
        <v>20</v>
      </c>
      <c r="H217" s="185" t="n">
        <f aca="false">'Engineering Assumptions'!$F$27*0.06*1</f>
        <v>2.88</v>
      </c>
      <c r="I217" s="185" t="n">
        <f aca="false">'Engineering Assumptions'!$F$27*1</f>
        <v>48</v>
      </c>
      <c r="J217" s="12" t="n">
        <f aca="false">'Fleet Pricing'!L217</f>
        <v>591500</v>
      </c>
      <c r="K217" s="12" t="n">
        <f aca="false">'Maintenance &amp; Repair'!J217+'Maintenance &amp; Repair'!K217</f>
        <v>239400</v>
      </c>
      <c r="L217" s="186" t="n">
        <f aca="false">IFERROR(K217/J217,0)</f>
        <v>0.404733727810651</v>
      </c>
      <c r="M217" s="9" t="n">
        <f aca="false">MAX(0,'Engineering Assumptions'!$G$27-G217)</f>
        <v>0</v>
      </c>
      <c r="N217" s="187" t="str">
        <f aca="false">IF(G217&gt;=20,"REPLACE",IF(L217&gt;0.6,"REPLACE",IF(G217&gt;=15,"REPLACE",IF(OR(G217&gt;=11,L217&gt;0.4),"MONITOR","KEEP"))))</f>
        <v>REPLACE</v>
      </c>
      <c r="O217" s="188" t="str">
        <f aca="false">IF(G217&gt;=20,"End of life (age &gt; 20)",IF(L217&gt;0.6,"Repairs exceed 60% of revenue",IF(G217&gt;=15,"Age 15+ → replace",IF(OR(G217&gt;=11,L217&gt;0.4),"Watch costs; plan replacement","Healthy — continue operating"))))</f>
        <v>End of life (age &gt; 20)</v>
      </c>
      <c r="P217" s="188" t="str">
        <f aca="false">'Engineering Assumptions'!H27</f>
        <v>VOLVO P6820 / SUMITOMO HA60 ~Rs. 40–55M</v>
      </c>
    </row>
    <row r="218" customFormat="false" ht="15" hidden="false" customHeight="true" outlineLevel="0" collapsed="false">
      <c r="A218" s="9" t="n">
        <v>204</v>
      </c>
      <c r="B218" s="184" t="s">
        <v>111</v>
      </c>
      <c r="C218" s="184" t="s">
        <v>2313</v>
      </c>
      <c r="D218" s="184" t="s">
        <v>694</v>
      </c>
      <c r="E218" s="184"/>
      <c r="F218" s="45" t="s">
        <v>472</v>
      </c>
      <c r="G218" s="9" t="n">
        <v>30</v>
      </c>
      <c r="H218" s="185" t="n">
        <f aca="false">'Engineering Assumptions'!$F$27*0.03*1</f>
        <v>1.44</v>
      </c>
      <c r="I218" s="185" t="n">
        <f aca="false">'Engineering Assumptions'!$F$27*1</f>
        <v>48</v>
      </c>
      <c r="J218" s="12" t="n">
        <f aca="false">'Fleet Pricing'!L218</f>
        <v>476500</v>
      </c>
      <c r="K218" s="12" t="n">
        <f aca="false">'Maintenance &amp; Repair'!J218+'Maintenance &amp; Repair'!K218</f>
        <v>322560</v>
      </c>
      <c r="L218" s="186" t="n">
        <f aca="false">IFERROR(K218/J218,0)</f>
        <v>0.676935991605457</v>
      </c>
      <c r="M218" s="9" t="n">
        <f aca="false">MAX(0,'Engineering Assumptions'!$G$27-G218)</f>
        <v>0</v>
      </c>
      <c r="N218" s="187" t="str">
        <f aca="false">IF(G218&gt;=20,"REPLACE",IF(L218&gt;0.6,"REPLACE",IF(G218&gt;=15,"REPLACE",IF(OR(G218&gt;=11,L218&gt;0.4),"MONITOR","KEEP"))))</f>
        <v>REPLACE</v>
      </c>
      <c r="O218" s="188" t="str">
        <f aca="false">IF(G218&gt;=20,"End of life (age &gt; 20)",IF(L218&gt;0.6,"Repairs exceed 60% of revenue",IF(G218&gt;=15,"Age 15+ → replace",IF(OR(G218&gt;=11,L218&gt;0.4),"Watch costs; plan replacement","Healthy — continue operating"))))</f>
        <v>End of life (age &gt; 20)</v>
      </c>
      <c r="P218" s="188" t="str">
        <f aca="false">'Engineering Assumptions'!H27</f>
        <v>VOLVO P6820 / SUMITOMO HA60 ~Rs. 40–55M</v>
      </c>
    </row>
    <row r="219" customFormat="false" ht="15" hidden="false" customHeight="true" outlineLevel="0" collapsed="false">
      <c r="A219" s="9" t="n">
        <v>205</v>
      </c>
      <c r="B219" s="184" t="s">
        <v>111</v>
      </c>
      <c r="C219" s="184" t="s">
        <v>2313</v>
      </c>
      <c r="D219" s="184" t="s">
        <v>695</v>
      </c>
      <c r="E219" s="184"/>
      <c r="F219" s="45" t="s">
        <v>472</v>
      </c>
      <c r="G219" s="9" t="n">
        <v>30</v>
      </c>
      <c r="H219" s="185" t="n">
        <f aca="false">'Engineering Assumptions'!$F$27*0.03*1</f>
        <v>1.44</v>
      </c>
      <c r="I219" s="185" t="n">
        <f aca="false">'Engineering Assumptions'!$F$27*1</f>
        <v>48</v>
      </c>
      <c r="J219" s="12" t="n">
        <f aca="false">'Fleet Pricing'!L219</f>
        <v>476500</v>
      </c>
      <c r="K219" s="12" t="n">
        <f aca="false">'Maintenance &amp; Repair'!J219+'Maintenance &amp; Repair'!K219</f>
        <v>322560</v>
      </c>
      <c r="L219" s="186" t="n">
        <f aca="false">IFERROR(K219/J219,0)</f>
        <v>0.676935991605457</v>
      </c>
      <c r="M219" s="9" t="n">
        <f aca="false">MAX(0,'Engineering Assumptions'!$G$27-G219)</f>
        <v>0</v>
      </c>
      <c r="N219" s="187" t="str">
        <f aca="false">IF(G219&gt;=20,"REPLACE",IF(L219&gt;0.6,"REPLACE",IF(G219&gt;=15,"REPLACE",IF(OR(G219&gt;=11,L219&gt;0.4),"MONITOR","KEEP"))))</f>
        <v>REPLACE</v>
      </c>
      <c r="O219" s="188" t="str">
        <f aca="false">IF(G219&gt;=20,"End of life (age &gt; 20)",IF(L219&gt;0.6,"Repairs exceed 60% of revenue",IF(G219&gt;=15,"Age 15+ → replace",IF(OR(G219&gt;=11,L219&gt;0.4),"Watch costs; plan replacement","Healthy — continue operating"))))</f>
        <v>End of life (age &gt; 20)</v>
      </c>
      <c r="P219" s="188" t="str">
        <f aca="false">'Engineering Assumptions'!H27</f>
        <v>VOLVO P6820 / SUMITOMO HA60 ~Rs. 40–55M</v>
      </c>
    </row>
    <row r="220" customFormat="false" ht="15" hidden="false" customHeight="true" outlineLevel="0" collapsed="false">
      <c r="A220" s="42" t="s">
        <v>696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</row>
    <row r="221" customFormat="false" ht="15" hidden="false" customHeight="true" outlineLevel="0" collapsed="false">
      <c r="A221" s="9" t="n">
        <v>206</v>
      </c>
      <c r="B221" s="184" t="s">
        <v>113</v>
      </c>
      <c r="C221" s="184" t="s">
        <v>2370</v>
      </c>
      <c r="D221" s="184" t="s">
        <v>698</v>
      </c>
      <c r="E221" s="184" t="s">
        <v>700</v>
      </c>
      <c r="F221" s="45" t="s">
        <v>324</v>
      </c>
      <c r="G221" s="9" t="n">
        <v>7</v>
      </c>
      <c r="H221" s="185" t="n">
        <f aca="false">'Engineering Assumptions'!$F$28*0.35*1</f>
        <v>4.9</v>
      </c>
      <c r="I221" s="185" t="n">
        <f aca="false">'Engineering Assumptions'!$F$28*1</f>
        <v>14</v>
      </c>
      <c r="J221" s="12" t="n">
        <f aca="false">'Fleet Pricing'!L221</f>
        <v>328500</v>
      </c>
      <c r="K221" s="12" t="n">
        <f aca="false">'Maintenance &amp; Repair'!J221+'Maintenance &amp; Repair'!K221</f>
        <v>44400</v>
      </c>
      <c r="L221" s="186" t="n">
        <f aca="false">IFERROR(K221/J221,0)</f>
        <v>0.135159817351598</v>
      </c>
      <c r="M221" s="9" t="n">
        <f aca="false">MAX(0,'Engineering Assumptions'!$G$28-G221)</f>
        <v>8</v>
      </c>
      <c r="N221" s="187" t="str">
        <f aca="false">IF(G221&gt;=20,"REPLACE",IF(L221&gt;0.6,"REPLACE",IF(G221&gt;=15,"REPLACE",IF(OR(G221&gt;=11,L221&gt;0.4),"MONITOR","KEEP"))))</f>
        <v>KEEP</v>
      </c>
      <c r="O221" s="188" t="str">
        <f aca="false">IF(G221&gt;=20,"End of life (age &gt; 20)",IF(L221&gt;0.6,"Repairs exceed 60% of revenue",IF(G221&gt;=15,"Age 15+ → replace",IF(OR(G221&gt;=11,L221&gt;0.4),"Watch costs; plan replacement","Healthy — continue operating"))))</f>
        <v>Healthy — continue operating</v>
      </c>
      <c r="P221" s="188" t="str">
        <f aca="false">'Engineering Assumptions'!H28</f>
        <v>DFAC/Foton chassis + insulated tank ~Rs. 12–16M</v>
      </c>
    </row>
    <row r="222" customFormat="false" ht="15" hidden="false" customHeight="true" outlineLevel="0" collapsed="false">
      <c r="A222" s="9" t="n">
        <v>207</v>
      </c>
      <c r="B222" s="184" t="s">
        <v>113</v>
      </c>
      <c r="C222" s="184" t="s">
        <v>2371</v>
      </c>
      <c r="D222" s="184" t="s">
        <v>701</v>
      </c>
      <c r="E222" s="184" t="s">
        <v>703</v>
      </c>
      <c r="F222" s="45" t="s">
        <v>380</v>
      </c>
      <c r="G222" s="9" t="n">
        <v>13</v>
      </c>
      <c r="H222" s="185" t="n">
        <f aca="false">'Engineering Assumptions'!$F$28*0.12*1</f>
        <v>1.68</v>
      </c>
      <c r="I222" s="185" t="n">
        <f aca="false">'Engineering Assumptions'!$F$28*1</f>
        <v>14</v>
      </c>
      <c r="J222" s="12" t="n">
        <f aca="false">'Fleet Pricing'!L222</f>
        <v>292500</v>
      </c>
      <c r="K222" s="12" t="n">
        <f aca="false">'Maintenance &amp; Repair'!J222+'Maintenance &amp; Repair'!K222</f>
        <v>65640</v>
      </c>
      <c r="L222" s="186" t="n">
        <f aca="false">IFERROR(K222/J222,0)</f>
        <v>0.224410256410256</v>
      </c>
      <c r="M222" s="9" t="n">
        <f aca="false">MAX(0,'Engineering Assumptions'!$G$28-G222)</f>
        <v>2</v>
      </c>
      <c r="N222" s="187" t="str">
        <f aca="false">IF(G222&gt;=20,"REPLACE",IF(L222&gt;0.6,"REPLACE",IF(G222&gt;=15,"REPLACE",IF(OR(G222&gt;=11,L222&gt;0.4),"MONITOR","KEEP"))))</f>
        <v>MONITOR</v>
      </c>
      <c r="O222" s="188" t="str">
        <f aca="false">IF(G222&gt;=20,"End of life (age &gt; 20)",IF(L222&gt;0.6,"Repairs exceed 60% of revenue",IF(G222&gt;=15,"Age 15+ → replace",IF(OR(G222&gt;=11,L222&gt;0.4),"Watch costs; plan replacement","Healthy — continue operating"))))</f>
        <v>Watch costs; plan replacement</v>
      </c>
      <c r="P222" s="188" t="str">
        <f aca="false">'Engineering Assumptions'!H28</f>
        <v>DFAC/Foton chassis + insulated tank ~Rs. 12–16M</v>
      </c>
    </row>
    <row r="223" customFormat="false" ht="15" hidden="false" customHeight="true" outlineLevel="0" collapsed="false">
      <c r="A223" s="9" t="n">
        <v>208</v>
      </c>
      <c r="B223" s="184" t="s">
        <v>113</v>
      </c>
      <c r="C223" s="184" t="s">
        <v>2372</v>
      </c>
      <c r="D223" s="184" t="s">
        <v>705</v>
      </c>
      <c r="E223" s="184" t="s">
        <v>707</v>
      </c>
      <c r="F223" s="45" t="s">
        <v>310</v>
      </c>
      <c r="G223" s="9" t="n">
        <v>14</v>
      </c>
      <c r="H223" s="185" t="n">
        <f aca="false">'Engineering Assumptions'!$F$28*0.12*1</f>
        <v>1.68</v>
      </c>
      <c r="I223" s="185" t="n">
        <f aca="false">'Engineering Assumptions'!$F$28*1</f>
        <v>14</v>
      </c>
      <c r="J223" s="12" t="n">
        <f aca="false">'Fleet Pricing'!L223</f>
        <v>292500</v>
      </c>
      <c r="K223" s="12" t="n">
        <f aca="false">'Maintenance &amp; Repair'!J223+'Maintenance &amp; Repair'!K223</f>
        <v>65640</v>
      </c>
      <c r="L223" s="186" t="n">
        <f aca="false">IFERROR(K223/J223,0)</f>
        <v>0.224410256410256</v>
      </c>
      <c r="M223" s="9" t="n">
        <f aca="false">MAX(0,'Engineering Assumptions'!$G$28-G223)</f>
        <v>1</v>
      </c>
      <c r="N223" s="187" t="str">
        <f aca="false">IF(G223&gt;=20,"REPLACE",IF(L223&gt;0.6,"REPLACE",IF(G223&gt;=15,"REPLACE",IF(OR(G223&gt;=11,L223&gt;0.4),"MONITOR","KEEP"))))</f>
        <v>MONITOR</v>
      </c>
      <c r="O223" s="188" t="str">
        <f aca="false">IF(G223&gt;=20,"End of life (age &gt; 20)",IF(L223&gt;0.6,"Repairs exceed 60% of revenue",IF(G223&gt;=15,"Age 15+ → replace",IF(OR(G223&gt;=11,L223&gt;0.4),"Watch costs; plan replacement","Healthy — continue operating"))))</f>
        <v>Watch costs; plan replacement</v>
      </c>
      <c r="P223" s="188" t="str">
        <f aca="false">'Engineering Assumptions'!H28</f>
        <v>DFAC/Foton chassis + insulated tank ~Rs. 12–16M</v>
      </c>
    </row>
    <row r="224" customFormat="false" ht="15" hidden="false" customHeight="true" outlineLevel="0" collapsed="false">
      <c r="A224" s="9" t="n">
        <v>209</v>
      </c>
      <c r="B224" s="184" t="s">
        <v>113</v>
      </c>
      <c r="C224" s="184" t="s">
        <v>2373</v>
      </c>
      <c r="D224" s="184" t="s">
        <v>708</v>
      </c>
      <c r="E224" s="184" t="s">
        <v>711</v>
      </c>
      <c r="F224" s="45" t="s">
        <v>710</v>
      </c>
      <c r="G224" s="9" t="n">
        <v>34</v>
      </c>
      <c r="H224" s="185" t="n">
        <f aca="false">'Engineering Assumptions'!$F$28*0.03*1</f>
        <v>0.42</v>
      </c>
      <c r="I224" s="185" t="n">
        <f aca="false">'Engineering Assumptions'!$F$28*1</f>
        <v>14</v>
      </c>
      <c r="J224" s="12" t="n">
        <f aca="false">'Fleet Pricing'!L224</f>
        <v>207000</v>
      </c>
      <c r="K224" s="12" t="n">
        <f aca="false">'Maintenance &amp; Repair'!J224+'Maintenance &amp; Repair'!K224</f>
        <v>124560</v>
      </c>
      <c r="L224" s="186" t="n">
        <f aca="false">IFERROR(K224/J224,0)</f>
        <v>0.601739130434783</v>
      </c>
      <c r="M224" s="9" t="n">
        <f aca="false">MAX(0,'Engineering Assumptions'!$G$28-G224)</f>
        <v>0</v>
      </c>
      <c r="N224" s="187" t="str">
        <f aca="false">IF(G224&gt;=20,"REPLACE",IF(L224&gt;0.6,"REPLACE",IF(G224&gt;=15,"REPLACE",IF(OR(G224&gt;=11,L224&gt;0.4),"MONITOR","KEEP"))))</f>
        <v>REPLACE</v>
      </c>
      <c r="O224" s="188" t="str">
        <f aca="false">IF(G224&gt;=20,"End of life (age &gt; 20)",IF(L224&gt;0.6,"Repairs exceed 60% of revenue",IF(G224&gt;=15,"Age 15+ → replace",IF(OR(G224&gt;=11,L224&gt;0.4),"Watch costs; plan replacement","Healthy — continue operating"))))</f>
        <v>End of life (age &gt; 20)</v>
      </c>
      <c r="P224" s="188" t="str">
        <f aca="false">'Engineering Assumptions'!H28</f>
        <v>DFAC/Foton chassis + insulated tank ~Rs. 12–16M</v>
      </c>
    </row>
    <row r="225" customFormat="false" ht="15" hidden="false" customHeight="true" outlineLevel="0" collapsed="false">
      <c r="A225" s="42" t="s">
        <v>712</v>
      </c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</row>
    <row r="226" customFormat="false" ht="15" hidden="false" customHeight="true" outlineLevel="0" collapsed="false">
      <c r="A226" s="9" t="n">
        <v>210</v>
      </c>
      <c r="B226" s="184" t="s">
        <v>115</v>
      </c>
      <c r="C226" s="184" t="s">
        <v>2374</v>
      </c>
      <c r="D226" s="184" t="s">
        <v>714</v>
      </c>
      <c r="E226" s="184" t="s">
        <v>717</v>
      </c>
      <c r="F226" s="45" t="s">
        <v>716</v>
      </c>
      <c r="G226" s="9" t="n">
        <v>28</v>
      </c>
      <c r="H226" s="185" t="n">
        <f aca="false">'Engineering Assumptions'!$F$29*0.03*1</f>
        <v>1.44</v>
      </c>
      <c r="I226" s="185" t="n">
        <f aca="false">'Engineering Assumptions'!$F$29*1</f>
        <v>48</v>
      </c>
      <c r="J226" s="12" t="n">
        <f aca="false">'Fleet Pricing'!L226</f>
        <v>520000</v>
      </c>
      <c r="K226" s="12" t="n">
        <f aca="false">'Maintenance &amp; Repair'!J226+'Maintenance &amp; Repair'!K226</f>
        <v>270720</v>
      </c>
      <c r="L226" s="186" t="n">
        <f aca="false">IFERROR(K226/J226,0)</f>
        <v>0.520615384615385</v>
      </c>
      <c r="M226" s="9" t="n">
        <f aca="false">MAX(0,'Engineering Assumptions'!$G$29-G226)</f>
        <v>0</v>
      </c>
      <c r="N226" s="187" t="str">
        <f aca="false">IF(G226&gt;=20,"REPLACE",IF(L226&gt;0.6,"REPLACE",IF(G226&gt;=15,"REPLACE",IF(OR(G226&gt;=11,L226&gt;0.4),"MONITOR","KEEP"))))</f>
        <v>REPLACE</v>
      </c>
      <c r="O226" s="188" t="str">
        <f aca="false">IF(G226&gt;=20,"End of life (age &gt; 20)",IF(L226&gt;0.6,"Repairs exceed 60% of revenue",IF(G226&gt;=15,"Age 15+ → replace",IF(OR(G226&gt;=11,L226&gt;0.4),"Watch costs; plan replacement","Healthy — continue operating"))))</f>
        <v>End of life (age &gt; 20)</v>
      </c>
      <c r="P226" s="188" t="str">
        <f aca="false">'Engineering Assumptions'!H29</f>
        <v>KOBELCO RK250 25T new ~Rs. 45–55M</v>
      </c>
    </row>
    <row r="227" customFormat="false" ht="15" hidden="false" customHeight="true" outlineLevel="0" collapsed="false">
      <c r="A227" s="9" t="n">
        <v>211</v>
      </c>
      <c r="B227" s="184" t="s">
        <v>115</v>
      </c>
      <c r="C227" s="184" t="s">
        <v>2375</v>
      </c>
      <c r="D227" s="184" t="s">
        <v>719</v>
      </c>
      <c r="E227" s="184" t="s">
        <v>722</v>
      </c>
      <c r="F227" s="45" t="s">
        <v>721</v>
      </c>
      <c r="G227" s="9" t="n">
        <v>31</v>
      </c>
      <c r="H227" s="185" t="n">
        <f aca="false">'Engineering Assumptions'!$F$29*0.03*1</f>
        <v>1.44</v>
      </c>
      <c r="I227" s="185" t="n">
        <f aca="false">'Engineering Assumptions'!$F$29*1</f>
        <v>48</v>
      </c>
      <c r="J227" s="12" t="n">
        <f aca="false">'Fleet Pricing'!L227</f>
        <v>520000</v>
      </c>
      <c r="K227" s="12" t="n">
        <f aca="false">'Maintenance &amp; Repair'!J227+'Maintenance &amp; Repair'!K227</f>
        <v>270720</v>
      </c>
      <c r="L227" s="186" t="n">
        <f aca="false">IFERROR(K227/J227,0)</f>
        <v>0.520615384615385</v>
      </c>
      <c r="M227" s="9" t="n">
        <f aca="false">MAX(0,'Engineering Assumptions'!$G$29-G227)</f>
        <v>0</v>
      </c>
      <c r="N227" s="187" t="str">
        <f aca="false">IF(G227&gt;=20,"REPLACE",IF(L227&gt;0.6,"REPLACE",IF(G227&gt;=15,"REPLACE",IF(OR(G227&gt;=11,L227&gt;0.4),"MONITOR","KEEP"))))</f>
        <v>REPLACE</v>
      </c>
      <c r="O227" s="188" t="str">
        <f aca="false">IF(G227&gt;=20,"End of life (age &gt; 20)",IF(L227&gt;0.6,"Repairs exceed 60% of revenue",IF(G227&gt;=15,"Age 15+ → replace",IF(OR(G227&gt;=11,L227&gt;0.4),"Watch costs; plan replacement","Healthy — continue operating"))))</f>
        <v>End of life (age &gt; 20)</v>
      </c>
      <c r="P227" s="188" t="str">
        <f aca="false">'Engineering Assumptions'!H29</f>
        <v>KOBELCO RK250 25T new ~Rs. 45–55M</v>
      </c>
    </row>
    <row r="228" customFormat="false" ht="15" hidden="false" customHeight="true" outlineLevel="0" collapsed="false">
      <c r="A228" s="42" t="s">
        <v>723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</row>
    <row r="229" customFormat="false" ht="15" hidden="false" customHeight="true" outlineLevel="0" collapsed="false">
      <c r="A229" s="9" t="n">
        <v>212</v>
      </c>
      <c r="B229" s="184" t="s">
        <v>117</v>
      </c>
      <c r="C229" s="184" t="s">
        <v>2376</v>
      </c>
      <c r="D229" s="184" t="s">
        <v>724</v>
      </c>
      <c r="E229" s="184" t="s">
        <v>726</v>
      </c>
      <c r="F229" s="45" t="s">
        <v>348</v>
      </c>
      <c r="G229" s="9" t="n">
        <v>20</v>
      </c>
      <c r="H229" s="185" t="n">
        <f aca="false">'Engineering Assumptions'!$F$30*0.06*1</f>
        <v>0.96</v>
      </c>
      <c r="I229" s="185" t="n">
        <f aca="false">'Engineering Assumptions'!$F$30*1</f>
        <v>16</v>
      </c>
      <c r="J229" s="12" t="n">
        <f aca="false">'Fleet Pricing'!L229</f>
        <v>367000</v>
      </c>
      <c r="K229" s="12" t="n">
        <f aca="false">'Maintenance &amp; Repair'!J229+'Maintenance &amp; Repair'!K229</f>
        <v>122040</v>
      </c>
      <c r="L229" s="186" t="n">
        <f aca="false">IFERROR(K229/J229,0)</f>
        <v>0.332534059945504</v>
      </c>
      <c r="M229" s="9" t="n">
        <f aca="false">MAX(0,'Engineering Assumptions'!$G$30-G229)</f>
        <v>0</v>
      </c>
      <c r="N229" s="187" t="str">
        <f aca="false">IF(G229&gt;=20,"REPLACE",IF(L229&gt;0.6,"REPLACE",IF(G229&gt;=15,"REPLACE",IF(OR(G229&gt;=11,L229&gt;0.4),"MONITOR","KEEP"))))</f>
        <v>REPLACE</v>
      </c>
      <c r="O229" s="188" t="str">
        <f aca="false">IF(G229&gt;=20,"End of life (age &gt; 20)",IF(L229&gt;0.6,"Repairs exceed 60% of revenue",IF(G229&gt;=15,"Age 15+ → replace",IF(OR(G229&gt;=11,L229&gt;0.4),"Watch costs; plan replacement","Healthy — continue operating"))))</f>
        <v>End of life (age &gt; 20)</v>
      </c>
      <c r="P229" s="188" t="str">
        <f aca="false">'Engineering Assumptions'!H30</f>
        <v>TATA/ISUZU + 3T crane ~Rs. 14–18M</v>
      </c>
    </row>
    <row r="230" customFormat="false" ht="15" hidden="false" customHeight="true" outlineLevel="0" collapsed="false">
      <c r="A230" s="9" t="n">
        <v>213</v>
      </c>
      <c r="B230" s="184" t="s">
        <v>117</v>
      </c>
      <c r="C230" s="184" t="s">
        <v>2377</v>
      </c>
      <c r="D230" s="184" t="s">
        <v>727</v>
      </c>
      <c r="E230" s="184" t="s">
        <v>730</v>
      </c>
      <c r="F230" s="45" t="s">
        <v>729</v>
      </c>
      <c r="G230" s="9" t="n">
        <v>21</v>
      </c>
      <c r="H230" s="185" t="n">
        <f aca="false">'Engineering Assumptions'!$F$30*0.06*1</f>
        <v>0.96</v>
      </c>
      <c r="I230" s="185" t="n">
        <f aca="false">'Engineering Assumptions'!$F$30*1</f>
        <v>16</v>
      </c>
      <c r="J230" s="12" t="n">
        <f aca="false">'Fleet Pricing'!L230</f>
        <v>367000</v>
      </c>
      <c r="K230" s="12" t="n">
        <f aca="false">'Maintenance &amp; Repair'!J230+'Maintenance &amp; Repair'!K230</f>
        <v>164160</v>
      </c>
      <c r="L230" s="186" t="n">
        <f aca="false">IFERROR(K230/J230,0)</f>
        <v>0.447302452316076</v>
      </c>
      <c r="M230" s="9" t="n">
        <f aca="false">MAX(0,'Engineering Assumptions'!$G$30-G230)</f>
        <v>0</v>
      </c>
      <c r="N230" s="187" t="str">
        <f aca="false">IF(G230&gt;=20,"REPLACE",IF(L230&gt;0.6,"REPLACE",IF(G230&gt;=15,"REPLACE",IF(OR(G230&gt;=11,L230&gt;0.4),"MONITOR","KEEP"))))</f>
        <v>REPLACE</v>
      </c>
      <c r="O230" s="188" t="str">
        <f aca="false">IF(G230&gt;=20,"End of life (age &gt; 20)",IF(L230&gt;0.6,"Repairs exceed 60% of revenue",IF(G230&gt;=15,"Age 15+ → replace",IF(OR(G230&gt;=11,L230&gt;0.4),"Watch costs; plan replacement","Healthy — continue operating"))))</f>
        <v>End of life (age &gt; 20)</v>
      </c>
      <c r="P230" s="188" t="str">
        <f aca="false">'Engineering Assumptions'!H30</f>
        <v>TATA/ISUZU + 3T crane ~Rs. 14–18M</v>
      </c>
    </row>
    <row r="231" customFormat="false" ht="15" hidden="false" customHeight="true" outlineLevel="0" collapsed="false">
      <c r="A231" s="9" t="n">
        <v>214</v>
      </c>
      <c r="B231" s="184" t="s">
        <v>117</v>
      </c>
      <c r="C231" s="184" t="s">
        <v>2378</v>
      </c>
      <c r="D231" s="184" t="s">
        <v>731</v>
      </c>
      <c r="E231" s="184" t="s">
        <v>733</v>
      </c>
      <c r="F231" s="45" t="s">
        <v>423</v>
      </c>
      <c r="G231" s="9" t="n">
        <v>23</v>
      </c>
      <c r="H231" s="185" t="n">
        <f aca="false">'Engineering Assumptions'!$F$30*0.06*1</f>
        <v>0.96</v>
      </c>
      <c r="I231" s="185" t="n">
        <f aca="false">'Engineering Assumptions'!$F$30*1</f>
        <v>16</v>
      </c>
      <c r="J231" s="12" t="n">
        <f aca="false">'Fleet Pricing'!L231</f>
        <v>331500</v>
      </c>
      <c r="K231" s="12" t="n">
        <f aca="false">'Maintenance &amp; Repair'!J231+'Maintenance &amp; Repair'!K231</f>
        <v>164160</v>
      </c>
      <c r="L231" s="186" t="n">
        <f aca="false">IFERROR(K231/J231,0)</f>
        <v>0.495203619909502</v>
      </c>
      <c r="M231" s="9" t="n">
        <f aca="false">MAX(0,'Engineering Assumptions'!$G$30-G231)</f>
        <v>0</v>
      </c>
      <c r="N231" s="187" t="str">
        <f aca="false">IF(G231&gt;=20,"REPLACE",IF(L231&gt;0.6,"REPLACE",IF(G231&gt;=15,"REPLACE",IF(OR(G231&gt;=11,L231&gt;0.4),"MONITOR","KEEP"))))</f>
        <v>REPLACE</v>
      </c>
      <c r="O231" s="188" t="str">
        <f aca="false">IF(G231&gt;=20,"End of life (age &gt; 20)",IF(L231&gt;0.6,"Repairs exceed 60% of revenue",IF(G231&gt;=15,"Age 15+ → replace",IF(OR(G231&gt;=11,L231&gt;0.4),"Watch costs; plan replacement","Healthy — continue operating"))))</f>
        <v>End of life (age &gt; 20)</v>
      </c>
      <c r="P231" s="188" t="str">
        <f aca="false">'Engineering Assumptions'!H30</f>
        <v>TATA/ISUZU + 3T crane ~Rs. 14–18M</v>
      </c>
    </row>
    <row r="232" customFormat="false" ht="15" hidden="false" customHeight="true" outlineLevel="0" collapsed="false">
      <c r="A232" s="9" t="n">
        <v>215</v>
      </c>
      <c r="B232" s="184" t="s">
        <v>117</v>
      </c>
      <c r="C232" s="184" t="s">
        <v>2379</v>
      </c>
      <c r="D232" s="184" t="s">
        <v>735</v>
      </c>
      <c r="E232" s="184" t="s">
        <v>736</v>
      </c>
      <c r="F232" s="45" t="s">
        <v>432</v>
      </c>
      <c r="G232" s="9" t="n">
        <v>30</v>
      </c>
      <c r="H232" s="185" t="n">
        <f aca="false">'Engineering Assumptions'!$F$30*0.03*1</f>
        <v>0.48</v>
      </c>
      <c r="I232" s="185" t="n">
        <f aca="false">'Engineering Assumptions'!$F$30*1</f>
        <v>16</v>
      </c>
      <c r="J232" s="12" t="n">
        <f aca="false">'Fleet Pricing'!L232</f>
        <v>296000</v>
      </c>
      <c r="K232" s="12" t="n">
        <f aca="false">'Maintenance &amp; Repair'!J232+'Maintenance &amp; Repair'!K232</f>
        <v>164160</v>
      </c>
      <c r="L232" s="186" t="n">
        <f aca="false">IFERROR(K232/J232,0)</f>
        <v>0.554594594594595</v>
      </c>
      <c r="M232" s="9" t="n">
        <f aca="false">MAX(0,'Engineering Assumptions'!$G$30-G232)</f>
        <v>0</v>
      </c>
      <c r="N232" s="187" t="str">
        <f aca="false">IF(G232&gt;=20,"REPLACE",IF(L232&gt;0.6,"REPLACE",IF(G232&gt;=15,"REPLACE",IF(OR(G232&gt;=11,L232&gt;0.4),"MONITOR","KEEP"))))</f>
        <v>REPLACE</v>
      </c>
      <c r="O232" s="188" t="str">
        <f aca="false">IF(G232&gt;=20,"End of life (age &gt; 20)",IF(L232&gt;0.6,"Repairs exceed 60% of revenue",IF(G232&gt;=15,"Age 15+ → replace",IF(OR(G232&gt;=11,L232&gt;0.4),"Watch costs; plan replacement","Healthy — continue operating"))))</f>
        <v>End of life (age &gt; 20)</v>
      </c>
      <c r="P232" s="188" t="str">
        <f aca="false">'Engineering Assumptions'!H30</f>
        <v>TATA/ISUZU + 3T crane ~Rs. 14–18M</v>
      </c>
    </row>
    <row r="233" customFormat="false" ht="15" hidden="false" customHeight="true" outlineLevel="0" collapsed="false">
      <c r="A233" s="42" t="s">
        <v>737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</row>
    <row r="234" customFormat="false" ht="15" hidden="false" customHeight="true" outlineLevel="0" collapsed="false">
      <c r="A234" s="9" t="n">
        <v>216</v>
      </c>
      <c r="B234" s="184" t="s">
        <v>119</v>
      </c>
      <c r="C234" s="184" t="s">
        <v>2380</v>
      </c>
      <c r="D234" s="184" t="s">
        <v>739</v>
      </c>
      <c r="E234" s="184" t="s">
        <v>741</v>
      </c>
      <c r="F234" s="45" t="s">
        <v>318</v>
      </c>
      <c r="G234" s="9" t="n">
        <v>10</v>
      </c>
      <c r="H234" s="185" t="n">
        <f aca="false">'Engineering Assumptions'!$F$31*0.22*1</f>
        <v>4.84</v>
      </c>
      <c r="I234" s="185" t="n">
        <f aca="false">'Engineering Assumptions'!$F$31*1</f>
        <v>22</v>
      </c>
      <c r="J234" s="12" t="n">
        <f aca="false">'Fleet Pricing'!L234</f>
        <v>455000</v>
      </c>
      <c r="K234" s="12" t="n">
        <f aca="false">'Maintenance &amp; Repair'!J234+'Maintenance &amp; Repair'!K234</f>
        <v>70500</v>
      </c>
      <c r="L234" s="186" t="n">
        <f aca="false">IFERROR(K234/J234,0)</f>
        <v>0.154945054945055</v>
      </c>
      <c r="M234" s="9" t="n">
        <f aca="false">MAX(0,'Engineering Assumptions'!$G$31-G234)</f>
        <v>5</v>
      </c>
      <c r="N234" s="187" t="str">
        <f aca="false">IF(G234&gt;=20,"REPLACE",IF(L234&gt;0.6,"REPLACE",IF(G234&gt;=15,"REPLACE",IF(OR(G234&gt;=11,L234&gt;0.4),"MONITOR","KEEP"))))</f>
        <v>KEEP</v>
      </c>
      <c r="O234" s="188" t="str">
        <f aca="false">IF(G234&gt;=20,"End of life (age &gt; 20)",IF(L234&gt;0.6,"Repairs exceed 60% of revenue",IF(G234&gt;=15,"Age 15+ → replace",IF(OR(G234&gt;=11,L234&gt;0.4),"Watch costs; plan replacement","Healthy — continue operating"))))</f>
        <v>Healthy — continue operating</v>
      </c>
      <c r="P234" s="188" t="str">
        <f aca="false">'Engineering Assumptions'!H31</f>
        <v>HINO/TATA LPS4018 + bed ~Rs. 20–25M</v>
      </c>
    </row>
    <row r="235" customFormat="false" ht="15" hidden="false" customHeight="true" outlineLevel="0" collapsed="false">
      <c r="A235" s="9" t="n">
        <v>217</v>
      </c>
      <c r="B235" s="184" t="s">
        <v>119</v>
      </c>
      <c r="C235" s="184" t="s">
        <v>2381</v>
      </c>
      <c r="D235" s="184" t="s">
        <v>743</v>
      </c>
      <c r="E235" s="184" t="s">
        <v>745</v>
      </c>
      <c r="F235" s="45" t="s">
        <v>310</v>
      </c>
      <c r="G235" s="9" t="n">
        <v>14</v>
      </c>
      <c r="H235" s="185" t="n">
        <f aca="false">'Engineering Assumptions'!$F$31*0.12*1</f>
        <v>2.64</v>
      </c>
      <c r="I235" s="185" t="n">
        <f aca="false">'Engineering Assumptions'!$F$31*1</f>
        <v>22</v>
      </c>
      <c r="J235" s="12" t="n">
        <f aca="false">'Fleet Pricing'!L235</f>
        <v>406000</v>
      </c>
      <c r="K235" s="12" t="n">
        <f aca="false">'Maintenance &amp; Repair'!J235+'Maintenance &amp; Repair'!K235</f>
        <v>105060</v>
      </c>
      <c r="L235" s="186" t="n">
        <f aca="false">IFERROR(K235/J235,0)</f>
        <v>0.258768472906404</v>
      </c>
      <c r="M235" s="9" t="n">
        <f aca="false">MAX(0,'Engineering Assumptions'!$G$31-G235)</f>
        <v>1</v>
      </c>
      <c r="N235" s="187" t="str">
        <f aca="false">IF(G235&gt;=20,"REPLACE",IF(L235&gt;0.6,"REPLACE",IF(G235&gt;=15,"REPLACE",IF(OR(G235&gt;=11,L235&gt;0.4),"MONITOR","KEEP"))))</f>
        <v>MONITOR</v>
      </c>
      <c r="O235" s="188" t="str">
        <f aca="false">IF(G235&gt;=20,"End of life (age &gt; 20)",IF(L235&gt;0.6,"Repairs exceed 60% of revenue",IF(G235&gt;=15,"Age 15+ → replace",IF(OR(G235&gt;=11,L235&gt;0.4),"Watch costs; plan replacement","Healthy — continue operating"))))</f>
        <v>Watch costs; plan replacement</v>
      </c>
      <c r="P235" s="188" t="str">
        <f aca="false">'Engineering Assumptions'!H31</f>
        <v>HINO/TATA LPS4018 + bed ~Rs. 20–25M</v>
      </c>
    </row>
    <row r="236" customFormat="false" ht="15" hidden="false" customHeight="true" outlineLevel="0" collapsed="false">
      <c r="A236" s="9" t="n">
        <v>218</v>
      </c>
      <c r="B236" s="184" t="s">
        <v>119</v>
      </c>
      <c r="C236" s="184" t="s">
        <v>2382</v>
      </c>
      <c r="D236" s="184" t="s">
        <v>746</v>
      </c>
      <c r="E236" s="184" t="s">
        <v>749</v>
      </c>
      <c r="F236" s="45" t="s">
        <v>748</v>
      </c>
      <c r="G236" s="9" t="n">
        <v>15</v>
      </c>
      <c r="H236" s="185" t="n">
        <f aca="false">'Engineering Assumptions'!$F$31*0.12*1</f>
        <v>2.64</v>
      </c>
      <c r="I236" s="185" t="n">
        <f aca="false">'Engineering Assumptions'!$F$31*1</f>
        <v>22</v>
      </c>
      <c r="J236" s="12" t="n">
        <f aca="false">'Fleet Pricing'!L236</f>
        <v>406000</v>
      </c>
      <c r="K236" s="12" t="n">
        <f aca="false">'Maintenance &amp; Repair'!J236+'Maintenance &amp; Repair'!K236</f>
        <v>105060</v>
      </c>
      <c r="L236" s="186" t="n">
        <f aca="false">IFERROR(K236/J236,0)</f>
        <v>0.258768472906404</v>
      </c>
      <c r="M236" s="9" t="n">
        <f aca="false">MAX(0,'Engineering Assumptions'!$G$31-G236)</f>
        <v>0</v>
      </c>
      <c r="N236" s="187" t="str">
        <f aca="false">IF(G236&gt;=20,"REPLACE",IF(L236&gt;0.6,"REPLACE",IF(G236&gt;=15,"REPLACE",IF(OR(G236&gt;=11,L236&gt;0.4),"MONITOR","KEEP"))))</f>
        <v>REPLACE</v>
      </c>
      <c r="O236" s="188" t="str">
        <f aca="false">IF(G236&gt;=20,"End of life (age &gt; 20)",IF(L236&gt;0.6,"Repairs exceed 60% of revenue",IF(G236&gt;=15,"Age 15+ → replace",IF(OR(G236&gt;=11,L236&gt;0.4),"Watch costs; plan replacement","Healthy — continue operating"))))</f>
        <v>Age 15+ → replace</v>
      </c>
      <c r="P236" s="188" t="str">
        <f aca="false">'Engineering Assumptions'!H31</f>
        <v>HINO/TATA LPS4018 + bed ~Rs. 20–25M</v>
      </c>
    </row>
    <row r="237" customFormat="false" ht="15" hidden="false" customHeight="true" outlineLevel="0" collapsed="false">
      <c r="A237" s="9" t="n">
        <v>219</v>
      </c>
      <c r="B237" s="184" t="s">
        <v>119</v>
      </c>
      <c r="C237" s="184" t="s">
        <v>2383</v>
      </c>
      <c r="D237" s="184"/>
      <c r="E237" s="184"/>
      <c r="F237" s="45" t="s">
        <v>389</v>
      </c>
      <c r="G237" s="9" t="n">
        <v>16</v>
      </c>
      <c r="H237" s="185" t="n">
        <f aca="false">'Engineering Assumptions'!$F$31*0.12*1</f>
        <v>2.64</v>
      </c>
      <c r="I237" s="185" t="n">
        <f aca="false">'Engineering Assumptions'!$F$31*1</f>
        <v>22</v>
      </c>
      <c r="J237" s="12" t="n">
        <f aca="false">'Fleet Pricing'!L237</f>
        <v>406000</v>
      </c>
      <c r="K237" s="12" t="n">
        <f aca="false">'Maintenance &amp; Repair'!J237+'Maintenance &amp; Repair'!K237</f>
        <v>149040</v>
      </c>
      <c r="L237" s="186" t="n">
        <f aca="false">IFERROR(K237/J237,0)</f>
        <v>0.367093596059113</v>
      </c>
      <c r="M237" s="9" t="n">
        <f aca="false">MAX(0,'Engineering Assumptions'!$G$31-G237)</f>
        <v>0</v>
      </c>
      <c r="N237" s="187" t="str">
        <f aca="false">IF(G237&gt;=20,"REPLACE",IF(L237&gt;0.6,"REPLACE",IF(G237&gt;=15,"REPLACE",IF(OR(G237&gt;=11,L237&gt;0.4),"MONITOR","KEEP"))))</f>
        <v>REPLACE</v>
      </c>
      <c r="O237" s="188" t="str">
        <f aca="false">IF(G237&gt;=20,"End of life (age &gt; 20)",IF(L237&gt;0.6,"Repairs exceed 60% of revenue",IF(G237&gt;=15,"Age 15+ → replace",IF(OR(G237&gt;=11,L237&gt;0.4),"Watch costs; plan replacement","Healthy — continue operating"))))</f>
        <v>Age 15+ → replace</v>
      </c>
      <c r="P237" s="188" t="str">
        <f aca="false">'Engineering Assumptions'!H31</f>
        <v>HINO/TATA LPS4018 + bed ~Rs. 20–25M</v>
      </c>
    </row>
    <row r="238" customFormat="false" ht="15" hidden="false" customHeight="true" outlineLevel="0" collapsed="false">
      <c r="A238" s="9" t="n">
        <v>220</v>
      </c>
      <c r="B238" s="184" t="s">
        <v>119</v>
      </c>
      <c r="C238" s="184" t="s">
        <v>2384</v>
      </c>
      <c r="D238" s="184" t="s">
        <v>754</v>
      </c>
      <c r="E238" s="184" t="s">
        <v>756</v>
      </c>
      <c r="F238" s="45" t="s">
        <v>623</v>
      </c>
      <c r="G238" s="9" t="n">
        <v>18</v>
      </c>
      <c r="H238" s="185" t="n">
        <f aca="false">'Engineering Assumptions'!$F$31*0.12*1</f>
        <v>2.64</v>
      </c>
      <c r="I238" s="185" t="n">
        <f aca="false">'Engineering Assumptions'!$F$31*1</f>
        <v>22</v>
      </c>
      <c r="J238" s="12" t="n">
        <f aca="false">'Fleet Pricing'!L238</f>
        <v>356000</v>
      </c>
      <c r="K238" s="12" t="n">
        <f aca="false">'Maintenance &amp; Repair'!J238+'Maintenance &amp; Repair'!K238</f>
        <v>149040</v>
      </c>
      <c r="L238" s="186" t="n">
        <f aca="false">IFERROR(K238/J238,0)</f>
        <v>0.418651685393258</v>
      </c>
      <c r="M238" s="9" t="n">
        <f aca="false">MAX(0,'Engineering Assumptions'!$G$31-G238)</f>
        <v>0</v>
      </c>
      <c r="N238" s="187" t="str">
        <f aca="false">IF(G238&gt;=20,"REPLACE",IF(L238&gt;0.6,"REPLACE",IF(G238&gt;=15,"REPLACE",IF(OR(G238&gt;=11,L238&gt;0.4),"MONITOR","KEEP"))))</f>
        <v>REPLACE</v>
      </c>
      <c r="O238" s="188" t="str">
        <f aca="false">IF(G238&gt;=20,"End of life (age &gt; 20)",IF(L238&gt;0.6,"Repairs exceed 60% of revenue",IF(G238&gt;=15,"Age 15+ → replace",IF(OR(G238&gt;=11,L238&gt;0.4),"Watch costs; plan replacement","Healthy — continue operating"))))</f>
        <v>Age 15+ → replace</v>
      </c>
      <c r="P238" s="188" t="str">
        <f aca="false">'Engineering Assumptions'!H31</f>
        <v>HINO/TATA LPS4018 + bed ~Rs. 20–25M</v>
      </c>
    </row>
    <row r="239" customFormat="false" ht="15" hidden="false" customHeight="true" outlineLevel="0" collapsed="false">
      <c r="A239" s="9" t="n">
        <v>221</v>
      </c>
      <c r="B239" s="184" t="s">
        <v>119</v>
      </c>
      <c r="C239" s="184" t="s">
        <v>2385</v>
      </c>
      <c r="D239" s="184" t="s">
        <v>757</v>
      </c>
      <c r="E239" s="184" t="s">
        <v>759</v>
      </c>
      <c r="F239" s="45" t="s">
        <v>716</v>
      </c>
      <c r="G239" s="9" t="n">
        <v>28</v>
      </c>
      <c r="H239" s="185" t="n">
        <f aca="false">'Engineering Assumptions'!$F$31*0.03*1</f>
        <v>0.66</v>
      </c>
      <c r="I239" s="185" t="n">
        <f aca="false">'Engineering Assumptions'!$F$31*1</f>
        <v>22</v>
      </c>
      <c r="J239" s="12" t="n">
        <f aca="false">'Fleet Pricing'!L239</f>
        <v>286500</v>
      </c>
      <c r="K239" s="12" t="n">
        <f aca="false">'Maintenance &amp; Repair'!J239+'Maintenance &amp; Repair'!K239</f>
        <v>200880</v>
      </c>
      <c r="L239" s="186" t="n">
        <f aca="false">IFERROR(K239/J239,0)</f>
        <v>0.701151832460733</v>
      </c>
      <c r="M239" s="9" t="n">
        <f aca="false">MAX(0,'Engineering Assumptions'!$G$31-G239)</f>
        <v>0</v>
      </c>
      <c r="N239" s="187" t="str">
        <f aca="false">IF(G239&gt;=20,"REPLACE",IF(L239&gt;0.6,"REPLACE",IF(G239&gt;=15,"REPLACE",IF(OR(G239&gt;=11,L239&gt;0.4),"MONITOR","KEEP"))))</f>
        <v>REPLACE</v>
      </c>
      <c r="O239" s="188" t="str">
        <f aca="false">IF(G239&gt;=20,"End of life (age &gt; 20)",IF(L239&gt;0.6,"Repairs exceed 60% of revenue",IF(G239&gt;=15,"Age 15+ → replace",IF(OR(G239&gt;=11,L239&gt;0.4),"Watch costs; plan replacement","Healthy — continue operating"))))</f>
        <v>End of life (age &gt; 20)</v>
      </c>
      <c r="P239" s="188" t="str">
        <f aca="false">'Engineering Assumptions'!H31</f>
        <v>HINO/TATA LPS4018 + bed ~Rs. 20–25M</v>
      </c>
    </row>
    <row r="240" customFormat="false" ht="15" hidden="false" customHeight="true" outlineLevel="0" collapsed="false">
      <c r="A240" s="9" t="n">
        <v>222</v>
      </c>
      <c r="B240" s="184" t="s">
        <v>119</v>
      </c>
      <c r="C240" s="184" t="s">
        <v>2386</v>
      </c>
      <c r="D240" s="184" t="s">
        <v>760</v>
      </c>
      <c r="E240" s="184" t="s">
        <v>761</v>
      </c>
      <c r="F240" s="45" t="s">
        <v>432</v>
      </c>
      <c r="G240" s="9" t="n">
        <v>30</v>
      </c>
      <c r="H240" s="185" t="n">
        <f aca="false">'Engineering Assumptions'!$F$31*0.03*1</f>
        <v>0.66</v>
      </c>
      <c r="I240" s="185" t="n">
        <f aca="false">'Engineering Assumptions'!$F$31*1</f>
        <v>22</v>
      </c>
      <c r="J240" s="12" t="n">
        <f aca="false">'Fleet Pricing'!L240</f>
        <v>286500</v>
      </c>
      <c r="K240" s="12" t="n">
        <f aca="false">'Maintenance &amp; Repair'!J240+'Maintenance &amp; Repair'!K240</f>
        <v>200880</v>
      </c>
      <c r="L240" s="186" t="n">
        <f aca="false">IFERROR(K240/J240,0)</f>
        <v>0.701151832460733</v>
      </c>
      <c r="M240" s="9" t="n">
        <f aca="false">MAX(0,'Engineering Assumptions'!$G$31-G240)</f>
        <v>0</v>
      </c>
      <c r="N240" s="187" t="str">
        <f aca="false">IF(G240&gt;=20,"REPLACE",IF(L240&gt;0.6,"REPLACE",IF(G240&gt;=15,"REPLACE",IF(OR(G240&gt;=11,L240&gt;0.4),"MONITOR","KEEP"))))</f>
        <v>REPLACE</v>
      </c>
      <c r="O240" s="188" t="str">
        <f aca="false">IF(G240&gt;=20,"End of life (age &gt; 20)",IF(L240&gt;0.6,"Repairs exceed 60% of revenue",IF(G240&gt;=15,"Age 15+ → replace",IF(OR(G240&gt;=11,L240&gt;0.4),"Watch costs; plan replacement","Healthy — continue operating"))))</f>
        <v>End of life (age &gt; 20)</v>
      </c>
      <c r="P240" s="188" t="str">
        <f aca="false">'Engineering Assumptions'!H31</f>
        <v>HINO/TATA LPS4018 + bed ~Rs. 20–25M</v>
      </c>
    </row>
    <row r="241" customFormat="false" ht="15" hidden="false" customHeight="true" outlineLevel="0" collapsed="false">
      <c r="A241" s="9" t="n">
        <v>223</v>
      </c>
      <c r="B241" s="184" t="s">
        <v>119</v>
      </c>
      <c r="C241" s="184" t="s">
        <v>2387</v>
      </c>
      <c r="D241" s="184" t="s">
        <v>762</v>
      </c>
      <c r="E241" s="184" t="s">
        <v>764</v>
      </c>
      <c r="F241" s="45" t="s">
        <v>721</v>
      </c>
      <c r="G241" s="9" t="n">
        <v>31</v>
      </c>
      <c r="H241" s="185" t="n">
        <f aca="false">'Engineering Assumptions'!$F$31*0.03*1</f>
        <v>0.66</v>
      </c>
      <c r="I241" s="185" t="n">
        <f aca="false">'Engineering Assumptions'!$F$31*1</f>
        <v>22</v>
      </c>
      <c r="J241" s="12" t="n">
        <f aca="false">'Fleet Pricing'!L241</f>
        <v>286500</v>
      </c>
      <c r="K241" s="12" t="n">
        <f aca="false">'Maintenance &amp; Repair'!J241+'Maintenance &amp; Repair'!K241</f>
        <v>200880</v>
      </c>
      <c r="L241" s="186" t="n">
        <f aca="false">IFERROR(K241/J241,0)</f>
        <v>0.701151832460733</v>
      </c>
      <c r="M241" s="9" t="n">
        <f aca="false">MAX(0,'Engineering Assumptions'!$G$31-G241)</f>
        <v>0</v>
      </c>
      <c r="N241" s="187" t="str">
        <f aca="false">IF(G241&gt;=20,"REPLACE",IF(L241&gt;0.6,"REPLACE",IF(G241&gt;=15,"REPLACE",IF(OR(G241&gt;=11,L241&gt;0.4),"MONITOR","KEEP"))))</f>
        <v>REPLACE</v>
      </c>
      <c r="O241" s="188" t="str">
        <f aca="false">IF(G241&gt;=20,"End of life (age &gt; 20)",IF(L241&gt;0.6,"Repairs exceed 60% of revenue",IF(G241&gt;=15,"Age 15+ → replace",IF(OR(G241&gt;=11,L241&gt;0.4),"Watch costs; plan replacement","Healthy — continue operating"))))</f>
        <v>End of life (age &gt; 20)</v>
      </c>
      <c r="P241" s="188" t="str">
        <f aca="false">'Engineering Assumptions'!H31</f>
        <v>HINO/TATA LPS4018 + bed ~Rs. 20–25M</v>
      </c>
    </row>
    <row r="242" customFormat="false" ht="15" hidden="false" customHeight="true" outlineLevel="0" collapsed="false">
      <c r="A242" s="42" t="s">
        <v>765</v>
      </c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</row>
    <row r="243" customFormat="false" ht="15" hidden="false" customHeight="true" outlineLevel="0" collapsed="false">
      <c r="A243" s="9" t="n">
        <v>224</v>
      </c>
      <c r="B243" s="184" t="s">
        <v>121</v>
      </c>
      <c r="C243" s="184" t="s">
        <v>2388</v>
      </c>
      <c r="D243" s="184" t="s">
        <v>766</v>
      </c>
      <c r="E243" s="184" t="s">
        <v>768</v>
      </c>
      <c r="F243" s="45" t="s">
        <v>324</v>
      </c>
      <c r="G243" s="9" t="n">
        <v>7</v>
      </c>
      <c r="H243" s="185" t="n">
        <f aca="false">'Engineering Assumptions'!$F$32*0.35*1</f>
        <v>20.3</v>
      </c>
      <c r="I243" s="185" t="n">
        <f aca="false">'Engineering Assumptions'!$F$32*1</f>
        <v>58</v>
      </c>
      <c r="J243" s="12" t="n">
        <f aca="false">'Fleet Pricing'!L243</f>
        <v>877000</v>
      </c>
      <c r="K243" s="12" t="n">
        <f aca="false">'Maintenance &amp; Repair'!J243+'Maintenance &amp; Repair'!K243</f>
        <v>121800</v>
      </c>
      <c r="L243" s="186" t="n">
        <f aca="false">IFERROR(K243/J243,0)</f>
        <v>0.138882554161916</v>
      </c>
      <c r="M243" s="9" t="n">
        <f aca="false">MAX(0,'Engineering Assumptions'!$G$32-G243)</f>
        <v>5</v>
      </c>
      <c r="N243" s="187" t="str">
        <f aca="false">IF(G243&gt;=20,"REPLACE",IF(L243&gt;0.6,"REPLACE",IF(G243&gt;=15,"REPLACE",IF(OR(G243&gt;=11,L243&gt;0.4),"MONITOR","KEEP"))))</f>
        <v>KEEP</v>
      </c>
      <c r="O243" s="188" t="str">
        <f aca="false">IF(G243&gt;=20,"End of life (age &gt; 20)",IF(L243&gt;0.6,"Repairs exceed 60% of revenue",IF(G243&gt;=15,"Age 15+ → replace",IF(OR(G243&gt;=11,L243&gt;0.4),"Watch costs; plan replacement","Healthy — continue operating"))))</f>
        <v>Healthy — continue operating</v>
      </c>
      <c r="P243" s="188" t="str">
        <f aca="false">'Engineering Assumptions'!H32</f>
        <v>SANY/HINO concrete pump ~Rs. 50–65M</v>
      </c>
    </row>
    <row r="244" customFormat="false" ht="15" hidden="false" customHeight="true" outlineLevel="0" collapsed="false">
      <c r="A244" s="9" t="n">
        <v>225</v>
      </c>
      <c r="B244" s="184" t="s">
        <v>121</v>
      </c>
      <c r="C244" s="184" t="s">
        <v>2389</v>
      </c>
      <c r="D244" s="184" t="s">
        <v>769</v>
      </c>
      <c r="E244" s="184" t="s">
        <v>771</v>
      </c>
      <c r="F244" s="45" t="s">
        <v>623</v>
      </c>
      <c r="G244" s="9" t="n">
        <v>18</v>
      </c>
      <c r="H244" s="185" t="n">
        <f aca="false">'Engineering Assumptions'!$F$32*0.12*1</f>
        <v>6.96</v>
      </c>
      <c r="I244" s="185" t="n">
        <f aca="false">'Engineering Assumptions'!$F$32*1</f>
        <v>58</v>
      </c>
      <c r="J244" s="12" t="n">
        <f aca="false">'Fleet Pricing'!L244</f>
        <v>686500</v>
      </c>
      <c r="K244" s="12" t="n">
        <f aca="false">'Maintenance &amp; Repair'!J244+'Maintenance &amp; Repair'!K244</f>
        <v>259200</v>
      </c>
      <c r="L244" s="186" t="n">
        <f aca="false">IFERROR(K244/J244,0)</f>
        <v>0.377567370721049</v>
      </c>
      <c r="M244" s="9" t="n">
        <f aca="false">MAX(0,'Engineering Assumptions'!$G$32-G244)</f>
        <v>0</v>
      </c>
      <c r="N244" s="187" t="str">
        <f aca="false">IF(G244&gt;=20,"REPLACE",IF(L244&gt;0.6,"REPLACE",IF(G244&gt;=15,"REPLACE",IF(OR(G244&gt;=11,L244&gt;0.4),"MONITOR","KEEP"))))</f>
        <v>REPLACE</v>
      </c>
      <c r="O244" s="188" t="str">
        <f aca="false">IF(G244&gt;=20,"End of life (age &gt; 20)",IF(L244&gt;0.6,"Repairs exceed 60% of revenue",IF(G244&gt;=15,"Age 15+ → replace",IF(OR(G244&gt;=11,L244&gt;0.4),"Watch costs; plan replacement","Healthy — continue operating"))))</f>
        <v>Age 15+ → replace</v>
      </c>
      <c r="P244" s="188" t="str">
        <f aca="false">'Engineering Assumptions'!H32</f>
        <v>SANY/HINO concrete pump ~Rs. 50–65M</v>
      </c>
    </row>
    <row r="245" customFormat="false" ht="15" hidden="false" customHeight="true" outlineLevel="0" collapsed="false">
      <c r="A245" s="42" t="s">
        <v>772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</row>
    <row r="246" customFormat="false" ht="15" hidden="false" customHeight="true" outlineLevel="0" collapsed="false">
      <c r="A246" s="9" t="n">
        <v>226</v>
      </c>
      <c r="B246" s="184" t="s">
        <v>123</v>
      </c>
      <c r="C246" s="184" t="s">
        <v>2390</v>
      </c>
      <c r="D246" s="184" t="s">
        <v>774</v>
      </c>
      <c r="E246" s="184" t="s">
        <v>776</v>
      </c>
      <c r="F246" s="45" t="s">
        <v>324</v>
      </c>
      <c r="G246" s="9" t="n">
        <v>7</v>
      </c>
      <c r="H246" s="185" t="n">
        <f aca="false">'Engineering Assumptions'!$F$33*0.35*1</f>
        <v>9.8</v>
      </c>
      <c r="I246" s="185" t="n">
        <f aca="false">'Engineering Assumptions'!$F$33*1</f>
        <v>28</v>
      </c>
      <c r="J246" s="12" t="n">
        <f aca="false">'Fleet Pricing'!L246</f>
        <v>164000</v>
      </c>
      <c r="K246" s="12" t="n">
        <f aca="false">'Maintenance &amp; Repair'!J246+'Maintenance &amp; Repair'!K246</f>
        <v>23400</v>
      </c>
      <c r="L246" s="186" t="n">
        <f aca="false">IFERROR(K246/J246,0)</f>
        <v>0.142682926829268</v>
      </c>
      <c r="M246" s="9" t="n">
        <f aca="false">MAX(0,'Engineering Assumptions'!$G$33-G246)</f>
        <v>8</v>
      </c>
      <c r="N246" s="187" t="str">
        <f aca="false">IF(G246&gt;=20,"REPLACE",IF(L246&gt;0.6,"REPLACE",IF(G246&gt;=15,"REPLACE",IF(OR(G246&gt;=11,L246&gt;0.4),"MONITOR","KEEP"))))</f>
        <v>KEEP</v>
      </c>
      <c r="O246" s="188" t="str">
        <f aca="false">IF(G246&gt;=20,"End of life (age &gt; 20)",IF(L246&gt;0.6,"Repairs exceed 60% of revenue",IF(G246&gt;=15,"Age 15+ → replace",IF(OR(G246&gt;=11,L246&gt;0.4),"Watch costs; plan replacement","Healthy — continue operating"))))</f>
        <v>Healthy — continue operating</v>
      </c>
      <c r="P246" s="188" t="str">
        <f aca="false">'Engineering Assumptions'!H33</f>
        <v>TOYOTA HILUX 2026 ~Rs. 26–29M (strong resale)</v>
      </c>
    </row>
    <row r="247" customFormat="false" ht="15" hidden="false" customHeight="true" outlineLevel="0" collapsed="false">
      <c r="A247" s="9" t="n">
        <v>227</v>
      </c>
      <c r="B247" s="184" t="s">
        <v>123</v>
      </c>
      <c r="C247" s="184" t="s">
        <v>2390</v>
      </c>
      <c r="D247" s="184" t="s">
        <v>785</v>
      </c>
      <c r="E247" s="184" t="s">
        <v>786</v>
      </c>
      <c r="F247" s="45" t="s">
        <v>324</v>
      </c>
      <c r="G247" s="9" t="n">
        <v>7</v>
      </c>
      <c r="H247" s="185" t="n">
        <f aca="false">'Engineering Assumptions'!$F$33*0.35*1</f>
        <v>9.8</v>
      </c>
      <c r="I247" s="185" t="n">
        <f aca="false">'Engineering Assumptions'!$F$33*1</f>
        <v>28</v>
      </c>
      <c r="J247" s="12" t="n">
        <f aca="false">'Fleet Pricing'!L247</f>
        <v>164000</v>
      </c>
      <c r="K247" s="12" t="n">
        <f aca="false">'Maintenance &amp; Repair'!J247+'Maintenance &amp; Repair'!K247</f>
        <v>23400</v>
      </c>
      <c r="L247" s="186" t="n">
        <f aca="false">IFERROR(K247/J247,0)</f>
        <v>0.142682926829268</v>
      </c>
      <c r="M247" s="9" t="n">
        <f aca="false">MAX(0,'Engineering Assumptions'!$G$33-G247)</f>
        <v>8</v>
      </c>
      <c r="N247" s="187" t="str">
        <f aca="false">IF(G247&gt;=20,"REPLACE",IF(L247&gt;0.6,"REPLACE",IF(G247&gt;=15,"REPLACE",IF(OR(G247&gt;=11,L247&gt;0.4),"MONITOR","KEEP"))))</f>
        <v>KEEP</v>
      </c>
      <c r="O247" s="188" t="str">
        <f aca="false">IF(G247&gt;=20,"End of life (age &gt; 20)",IF(L247&gt;0.6,"Repairs exceed 60% of revenue",IF(G247&gt;=15,"Age 15+ → replace",IF(OR(G247&gt;=11,L247&gt;0.4),"Watch costs; plan replacement","Healthy — continue operating"))))</f>
        <v>Healthy — continue operating</v>
      </c>
      <c r="P247" s="188" t="str">
        <f aca="false">'Engineering Assumptions'!H33</f>
        <v>TOYOTA HILUX 2026 ~Rs. 26–29M (strong resale)</v>
      </c>
    </row>
    <row r="248" customFormat="false" ht="15" hidden="false" customHeight="true" outlineLevel="0" collapsed="false">
      <c r="A248" s="9" t="n">
        <v>228</v>
      </c>
      <c r="B248" s="184" t="s">
        <v>123</v>
      </c>
      <c r="C248" s="184" t="s">
        <v>2390</v>
      </c>
      <c r="D248" s="184" t="s">
        <v>777</v>
      </c>
      <c r="E248" s="184" t="s">
        <v>778</v>
      </c>
      <c r="F248" s="45" t="s">
        <v>324</v>
      </c>
      <c r="G248" s="9" t="n">
        <v>7</v>
      </c>
      <c r="H248" s="185" t="n">
        <f aca="false">'Engineering Assumptions'!$F$33*0.35*1</f>
        <v>9.8</v>
      </c>
      <c r="I248" s="185" t="n">
        <f aca="false">'Engineering Assumptions'!$F$33*1</f>
        <v>28</v>
      </c>
      <c r="J248" s="12" t="n">
        <f aca="false">'Fleet Pricing'!L248</f>
        <v>164000</v>
      </c>
      <c r="K248" s="12" t="n">
        <f aca="false">'Maintenance &amp; Repair'!J248+'Maintenance &amp; Repair'!K248</f>
        <v>23400</v>
      </c>
      <c r="L248" s="186" t="n">
        <f aca="false">IFERROR(K248/J248,0)</f>
        <v>0.142682926829268</v>
      </c>
      <c r="M248" s="9" t="n">
        <f aca="false">MAX(0,'Engineering Assumptions'!$G$33-G248)</f>
        <v>8</v>
      </c>
      <c r="N248" s="187" t="str">
        <f aca="false">IF(G248&gt;=20,"REPLACE",IF(L248&gt;0.6,"REPLACE",IF(G248&gt;=15,"REPLACE",IF(OR(G248&gt;=11,L248&gt;0.4),"MONITOR","KEEP"))))</f>
        <v>KEEP</v>
      </c>
      <c r="O248" s="188" t="str">
        <f aca="false">IF(G248&gt;=20,"End of life (age &gt; 20)",IF(L248&gt;0.6,"Repairs exceed 60% of revenue",IF(G248&gt;=15,"Age 15+ → replace",IF(OR(G248&gt;=11,L248&gt;0.4),"Watch costs; plan replacement","Healthy — continue operating"))))</f>
        <v>Healthy — continue operating</v>
      </c>
      <c r="P248" s="188" t="str">
        <f aca="false">'Engineering Assumptions'!H33</f>
        <v>TOYOTA HILUX 2026 ~Rs. 26–29M (strong resale)</v>
      </c>
    </row>
    <row r="249" customFormat="false" ht="15" hidden="false" customHeight="true" outlineLevel="0" collapsed="false">
      <c r="A249" s="9" t="n">
        <v>229</v>
      </c>
      <c r="B249" s="184" t="s">
        <v>123</v>
      </c>
      <c r="C249" s="184" t="s">
        <v>2390</v>
      </c>
      <c r="D249" s="184" t="s">
        <v>779</v>
      </c>
      <c r="E249" s="184" t="s">
        <v>780</v>
      </c>
      <c r="F249" s="45" t="s">
        <v>324</v>
      </c>
      <c r="G249" s="9" t="n">
        <v>7</v>
      </c>
      <c r="H249" s="185" t="n">
        <f aca="false">'Engineering Assumptions'!$F$33*0.35*1</f>
        <v>9.8</v>
      </c>
      <c r="I249" s="185" t="n">
        <f aca="false">'Engineering Assumptions'!$F$33*1</f>
        <v>28</v>
      </c>
      <c r="J249" s="12" t="n">
        <f aca="false">'Fleet Pricing'!L249</f>
        <v>164000</v>
      </c>
      <c r="K249" s="12" t="n">
        <f aca="false">'Maintenance &amp; Repair'!J249+'Maintenance &amp; Repair'!K249</f>
        <v>23400</v>
      </c>
      <c r="L249" s="186" t="n">
        <f aca="false">IFERROR(K249/J249,0)</f>
        <v>0.142682926829268</v>
      </c>
      <c r="M249" s="9" t="n">
        <f aca="false">MAX(0,'Engineering Assumptions'!$G$33-G249)</f>
        <v>8</v>
      </c>
      <c r="N249" s="187" t="str">
        <f aca="false">IF(G249&gt;=20,"REPLACE",IF(L249&gt;0.6,"REPLACE",IF(G249&gt;=15,"REPLACE",IF(OR(G249&gt;=11,L249&gt;0.4),"MONITOR","KEEP"))))</f>
        <v>KEEP</v>
      </c>
      <c r="O249" s="188" t="str">
        <f aca="false">IF(G249&gt;=20,"End of life (age &gt; 20)",IF(L249&gt;0.6,"Repairs exceed 60% of revenue",IF(G249&gt;=15,"Age 15+ → replace",IF(OR(G249&gt;=11,L249&gt;0.4),"Watch costs; plan replacement","Healthy — continue operating"))))</f>
        <v>Healthy — continue operating</v>
      </c>
      <c r="P249" s="188" t="str">
        <f aca="false">'Engineering Assumptions'!H33</f>
        <v>TOYOTA HILUX 2026 ~Rs. 26–29M (strong resale)</v>
      </c>
    </row>
    <row r="250" customFormat="false" ht="15" hidden="false" customHeight="true" outlineLevel="0" collapsed="false">
      <c r="A250" s="9" t="n">
        <v>230</v>
      </c>
      <c r="B250" s="184" t="s">
        <v>123</v>
      </c>
      <c r="C250" s="184" t="s">
        <v>2390</v>
      </c>
      <c r="D250" s="184" t="s">
        <v>781</v>
      </c>
      <c r="E250" s="184" t="s">
        <v>782</v>
      </c>
      <c r="F250" s="45" t="s">
        <v>324</v>
      </c>
      <c r="G250" s="9" t="n">
        <v>7</v>
      </c>
      <c r="H250" s="185" t="n">
        <f aca="false">'Engineering Assumptions'!$F$33*0.35*1</f>
        <v>9.8</v>
      </c>
      <c r="I250" s="185" t="n">
        <f aca="false">'Engineering Assumptions'!$F$33*1</f>
        <v>28</v>
      </c>
      <c r="J250" s="12" t="n">
        <f aca="false">'Fleet Pricing'!L250</f>
        <v>164000</v>
      </c>
      <c r="K250" s="12" t="n">
        <f aca="false">'Maintenance &amp; Repair'!J250+'Maintenance &amp; Repair'!K250</f>
        <v>23400</v>
      </c>
      <c r="L250" s="186" t="n">
        <f aca="false">IFERROR(K250/J250,0)</f>
        <v>0.142682926829268</v>
      </c>
      <c r="M250" s="9" t="n">
        <f aca="false">MAX(0,'Engineering Assumptions'!$G$33-G250)</f>
        <v>8</v>
      </c>
      <c r="N250" s="187" t="str">
        <f aca="false">IF(G250&gt;=20,"REPLACE",IF(L250&gt;0.6,"REPLACE",IF(G250&gt;=15,"REPLACE",IF(OR(G250&gt;=11,L250&gt;0.4),"MONITOR","KEEP"))))</f>
        <v>KEEP</v>
      </c>
      <c r="O250" s="188" t="str">
        <f aca="false">IF(G250&gt;=20,"End of life (age &gt; 20)",IF(L250&gt;0.6,"Repairs exceed 60% of revenue",IF(G250&gt;=15,"Age 15+ → replace",IF(OR(G250&gt;=11,L250&gt;0.4),"Watch costs; plan replacement","Healthy — continue operating"))))</f>
        <v>Healthy — continue operating</v>
      </c>
      <c r="P250" s="188" t="str">
        <f aca="false">'Engineering Assumptions'!H33</f>
        <v>TOYOTA HILUX 2026 ~Rs. 26–29M (strong resale)</v>
      </c>
    </row>
    <row r="251" customFormat="false" ht="15" hidden="false" customHeight="true" outlineLevel="0" collapsed="false">
      <c r="A251" s="9" t="n">
        <v>231</v>
      </c>
      <c r="B251" s="184" t="s">
        <v>123</v>
      </c>
      <c r="C251" s="184" t="s">
        <v>2390</v>
      </c>
      <c r="D251" s="184" t="s">
        <v>783</v>
      </c>
      <c r="E251" s="184" t="s">
        <v>784</v>
      </c>
      <c r="F251" s="45" t="s">
        <v>324</v>
      </c>
      <c r="G251" s="9" t="n">
        <v>7</v>
      </c>
      <c r="H251" s="185" t="n">
        <f aca="false">'Engineering Assumptions'!$F$33*0.35*1</f>
        <v>9.8</v>
      </c>
      <c r="I251" s="185" t="n">
        <f aca="false">'Engineering Assumptions'!$F$33*1</f>
        <v>28</v>
      </c>
      <c r="J251" s="12" t="n">
        <f aca="false">'Fleet Pricing'!L251</f>
        <v>164000</v>
      </c>
      <c r="K251" s="12" t="n">
        <f aca="false">'Maintenance &amp; Repair'!J251+'Maintenance &amp; Repair'!K251</f>
        <v>23400</v>
      </c>
      <c r="L251" s="186" t="n">
        <f aca="false">IFERROR(K251/J251,0)</f>
        <v>0.142682926829268</v>
      </c>
      <c r="M251" s="9" t="n">
        <f aca="false">MAX(0,'Engineering Assumptions'!$G$33-G251)</f>
        <v>8</v>
      </c>
      <c r="N251" s="187" t="str">
        <f aca="false">IF(G251&gt;=20,"REPLACE",IF(L251&gt;0.6,"REPLACE",IF(G251&gt;=15,"REPLACE",IF(OR(G251&gt;=11,L251&gt;0.4),"MONITOR","KEEP"))))</f>
        <v>KEEP</v>
      </c>
      <c r="O251" s="188" t="str">
        <f aca="false">IF(G251&gt;=20,"End of life (age &gt; 20)",IF(L251&gt;0.6,"Repairs exceed 60% of revenue",IF(G251&gt;=15,"Age 15+ → replace",IF(OR(G251&gt;=11,L251&gt;0.4),"Watch costs; plan replacement","Healthy — continue operating"))))</f>
        <v>Healthy — continue operating</v>
      </c>
      <c r="P251" s="188" t="str">
        <f aca="false">'Engineering Assumptions'!H33</f>
        <v>TOYOTA HILUX 2026 ~Rs. 26–29M (strong resale)</v>
      </c>
    </row>
    <row r="252" customFormat="false" ht="15" hidden="false" customHeight="true" outlineLevel="0" collapsed="false">
      <c r="A252" s="9" t="n">
        <v>232</v>
      </c>
      <c r="B252" s="184" t="s">
        <v>123</v>
      </c>
      <c r="C252" s="184" t="s">
        <v>2391</v>
      </c>
      <c r="D252" s="184" t="s">
        <v>787</v>
      </c>
      <c r="E252" s="184" t="s">
        <v>789</v>
      </c>
      <c r="F252" s="45" t="s">
        <v>397</v>
      </c>
      <c r="G252" s="9" t="n">
        <v>9</v>
      </c>
      <c r="H252" s="185" t="n">
        <f aca="false">'Engineering Assumptions'!$F$33*0.22*1</f>
        <v>6.16</v>
      </c>
      <c r="I252" s="185" t="n">
        <f aca="false">'Engineering Assumptions'!$F$33*1</f>
        <v>28</v>
      </c>
      <c r="J252" s="12" t="n">
        <f aca="false">'Fleet Pricing'!L252</f>
        <v>164000</v>
      </c>
      <c r="K252" s="12" t="n">
        <f aca="false">'Maintenance &amp; Repair'!J252+'Maintenance &amp; Repair'!K252</f>
        <v>23400</v>
      </c>
      <c r="L252" s="186" t="n">
        <f aca="false">IFERROR(K252/J252,0)</f>
        <v>0.142682926829268</v>
      </c>
      <c r="M252" s="9" t="n">
        <f aca="false">MAX(0,'Engineering Assumptions'!$G$33-G252)</f>
        <v>6</v>
      </c>
      <c r="N252" s="187" t="str">
        <f aca="false">IF(G252&gt;=20,"REPLACE",IF(L252&gt;0.6,"REPLACE",IF(G252&gt;=15,"REPLACE",IF(OR(G252&gt;=11,L252&gt;0.4),"MONITOR","KEEP"))))</f>
        <v>KEEP</v>
      </c>
      <c r="O252" s="188" t="str">
        <f aca="false">IF(G252&gt;=20,"End of life (age &gt; 20)",IF(L252&gt;0.6,"Repairs exceed 60% of revenue",IF(G252&gt;=15,"Age 15+ → replace",IF(OR(G252&gt;=11,L252&gt;0.4),"Watch costs; plan replacement","Healthy — continue operating"))))</f>
        <v>Healthy — continue operating</v>
      </c>
      <c r="P252" s="188" t="str">
        <f aca="false">'Engineering Assumptions'!H33</f>
        <v>TOYOTA HILUX 2026 ~Rs. 26–29M (strong resale)</v>
      </c>
    </row>
    <row r="253" customFormat="false" ht="15" hidden="false" customHeight="true" outlineLevel="0" collapsed="false">
      <c r="A253" s="9" t="n">
        <v>233</v>
      </c>
      <c r="B253" s="184" t="s">
        <v>123</v>
      </c>
      <c r="C253" s="184" t="s">
        <v>2390</v>
      </c>
      <c r="D253" s="184" t="s">
        <v>790</v>
      </c>
      <c r="E253" s="184" t="s">
        <v>791</v>
      </c>
      <c r="F253" s="45" t="s">
        <v>397</v>
      </c>
      <c r="G253" s="9" t="n">
        <v>9</v>
      </c>
      <c r="H253" s="185" t="n">
        <f aca="false">'Engineering Assumptions'!$F$33*0.22*1</f>
        <v>6.16</v>
      </c>
      <c r="I253" s="185" t="n">
        <f aca="false">'Engineering Assumptions'!$F$33*1</f>
        <v>28</v>
      </c>
      <c r="J253" s="12" t="n">
        <f aca="false">'Fleet Pricing'!L253</f>
        <v>164000</v>
      </c>
      <c r="K253" s="12" t="n">
        <f aca="false">'Maintenance &amp; Repair'!J253+'Maintenance &amp; Repair'!K253</f>
        <v>23400</v>
      </c>
      <c r="L253" s="186" t="n">
        <f aca="false">IFERROR(K253/J253,0)</f>
        <v>0.142682926829268</v>
      </c>
      <c r="M253" s="9" t="n">
        <f aca="false">MAX(0,'Engineering Assumptions'!$G$33-G253)</f>
        <v>6</v>
      </c>
      <c r="N253" s="187" t="str">
        <f aca="false">IF(G253&gt;=20,"REPLACE",IF(L253&gt;0.6,"REPLACE",IF(G253&gt;=15,"REPLACE",IF(OR(G253&gt;=11,L253&gt;0.4),"MONITOR","KEEP"))))</f>
        <v>KEEP</v>
      </c>
      <c r="O253" s="188" t="str">
        <f aca="false">IF(G253&gt;=20,"End of life (age &gt; 20)",IF(L253&gt;0.6,"Repairs exceed 60% of revenue",IF(G253&gt;=15,"Age 15+ → replace",IF(OR(G253&gt;=11,L253&gt;0.4),"Watch costs; plan replacement","Healthy — continue operating"))))</f>
        <v>Healthy — continue operating</v>
      </c>
      <c r="P253" s="188" t="str">
        <f aca="false">'Engineering Assumptions'!H33</f>
        <v>TOYOTA HILUX 2026 ~Rs. 26–29M (strong resale)</v>
      </c>
    </row>
    <row r="254" customFormat="false" ht="15" hidden="false" customHeight="true" outlineLevel="0" collapsed="false">
      <c r="A254" s="9" t="n">
        <v>234</v>
      </c>
      <c r="B254" s="184" t="s">
        <v>123</v>
      </c>
      <c r="C254" s="184" t="s">
        <v>2392</v>
      </c>
      <c r="D254" s="184" t="s">
        <v>793</v>
      </c>
      <c r="E254" s="184" t="s">
        <v>795</v>
      </c>
      <c r="F254" s="45" t="s">
        <v>318</v>
      </c>
      <c r="G254" s="9" t="n">
        <v>10</v>
      </c>
      <c r="H254" s="185" t="n">
        <f aca="false">'Engineering Assumptions'!$F$33*0.22*1</f>
        <v>6.16</v>
      </c>
      <c r="I254" s="185" t="n">
        <f aca="false">'Engineering Assumptions'!$F$33*1</f>
        <v>28</v>
      </c>
      <c r="J254" s="12" t="n">
        <f aca="false">'Fleet Pricing'!L254</f>
        <v>164000</v>
      </c>
      <c r="K254" s="12" t="n">
        <f aca="false">'Maintenance &amp; Repair'!J254+'Maintenance &amp; Repair'!K254</f>
        <v>23400</v>
      </c>
      <c r="L254" s="186" t="n">
        <f aca="false">IFERROR(K254/J254,0)</f>
        <v>0.142682926829268</v>
      </c>
      <c r="M254" s="9" t="n">
        <f aca="false">MAX(0,'Engineering Assumptions'!$G$33-G254)</f>
        <v>5</v>
      </c>
      <c r="N254" s="187" t="str">
        <f aca="false">IF(G254&gt;=20,"REPLACE",IF(L254&gt;0.6,"REPLACE",IF(G254&gt;=15,"REPLACE",IF(OR(G254&gt;=11,L254&gt;0.4),"MONITOR","KEEP"))))</f>
        <v>KEEP</v>
      </c>
      <c r="O254" s="188" t="str">
        <f aca="false">IF(G254&gt;=20,"End of life (age &gt; 20)",IF(L254&gt;0.6,"Repairs exceed 60% of revenue",IF(G254&gt;=15,"Age 15+ → replace",IF(OR(G254&gt;=11,L254&gt;0.4),"Watch costs; plan replacement","Healthy — continue operating"))))</f>
        <v>Healthy — continue operating</v>
      </c>
      <c r="P254" s="188" t="str">
        <f aca="false">'Engineering Assumptions'!H33</f>
        <v>TOYOTA HILUX 2026 ~Rs. 26–29M (strong resale)</v>
      </c>
    </row>
    <row r="255" customFormat="false" ht="15" hidden="false" customHeight="true" outlineLevel="0" collapsed="false">
      <c r="A255" s="9" t="n">
        <v>235</v>
      </c>
      <c r="B255" s="184" t="s">
        <v>123</v>
      </c>
      <c r="C255" s="184" t="s">
        <v>2393</v>
      </c>
      <c r="D255" s="184" t="s">
        <v>796</v>
      </c>
      <c r="E255" s="184" t="s">
        <v>798</v>
      </c>
      <c r="F255" s="45" t="s">
        <v>315</v>
      </c>
      <c r="G255" s="9" t="n">
        <v>11</v>
      </c>
      <c r="H255" s="185" t="n">
        <f aca="false">'Engineering Assumptions'!$F$33*0.22*1</f>
        <v>6.16</v>
      </c>
      <c r="I255" s="185" t="n">
        <f aca="false">'Engineering Assumptions'!$F$33*1</f>
        <v>28</v>
      </c>
      <c r="J255" s="12" t="n">
        <f aca="false">'Fleet Pricing'!L255</f>
        <v>164000</v>
      </c>
      <c r="K255" s="12" t="n">
        <f aca="false">'Maintenance &amp; Repair'!J255+'Maintenance &amp; Repair'!K255</f>
        <v>34560</v>
      </c>
      <c r="L255" s="186" t="n">
        <f aca="false">IFERROR(K255/J255,0)</f>
        <v>0.210731707317073</v>
      </c>
      <c r="M255" s="9" t="n">
        <f aca="false">MAX(0,'Engineering Assumptions'!$G$33-G255)</f>
        <v>4</v>
      </c>
      <c r="N255" s="187" t="str">
        <f aca="false">IF(G255&gt;=20,"REPLACE",IF(L255&gt;0.6,"REPLACE",IF(G255&gt;=15,"REPLACE",IF(OR(G255&gt;=11,L255&gt;0.4),"MONITOR","KEEP"))))</f>
        <v>MONITOR</v>
      </c>
      <c r="O255" s="188" t="str">
        <f aca="false">IF(G255&gt;=20,"End of life (age &gt; 20)",IF(L255&gt;0.6,"Repairs exceed 60% of revenue",IF(G255&gt;=15,"Age 15+ → replace",IF(OR(G255&gt;=11,L255&gt;0.4),"Watch costs; plan replacement","Healthy — continue operating"))))</f>
        <v>Watch costs; plan replacement</v>
      </c>
      <c r="P255" s="188" t="str">
        <f aca="false">'Engineering Assumptions'!H33</f>
        <v>TOYOTA HILUX 2026 ~Rs. 26–29M (strong resale)</v>
      </c>
    </row>
    <row r="256" customFormat="false" ht="15" hidden="false" customHeight="true" outlineLevel="0" collapsed="false">
      <c r="A256" s="9" t="n">
        <v>236</v>
      </c>
      <c r="B256" s="184" t="s">
        <v>123</v>
      </c>
      <c r="C256" s="184" t="s">
        <v>2390</v>
      </c>
      <c r="D256" s="184" t="s">
        <v>799</v>
      </c>
      <c r="E256" s="184" t="s">
        <v>800</v>
      </c>
      <c r="F256" s="45" t="s">
        <v>310</v>
      </c>
      <c r="G256" s="9" t="n">
        <v>14</v>
      </c>
      <c r="H256" s="185" t="n">
        <f aca="false">'Engineering Assumptions'!$F$33*0.12*1</f>
        <v>3.36</v>
      </c>
      <c r="I256" s="185" t="n">
        <f aca="false">'Engineering Assumptions'!$F$33*1</f>
        <v>28</v>
      </c>
      <c r="J256" s="12" t="n">
        <f aca="false">'Fleet Pricing'!L256</f>
        <v>147000</v>
      </c>
      <c r="K256" s="12" t="n">
        <f aca="false">'Maintenance &amp; Repair'!J256+'Maintenance &amp; Repair'!K256</f>
        <v>34560</v>
      </c>
      <c r="L256" s="186" t="n">
        <f aca="false">IFERROR(K256/J256,0)</f>
        <v>0.235102040816327</v>
      </c>
      <c r="M256" s="9" t="n">
        <f aca="false">MAX(0,'Engineering Assumptions'!$G$33-G256)</f>
        <v>1</v>
      </c>
      <c r="N256" s="187" t="str">
        <f aca="false">IF(G256&gt;=20,"REPLACE",IF(L256&gt;0.6,"REPLACE",IF(G256&gt;=15,"REPLACE",IF(OR(G256&gt;=11,L256&gt;0.4),"MONITOR","KEEP"))))</f>
        <v>MONITOR</v>
      </c>
      <c r="O256" s="188" t="str">
        <f aca="false">IF(G256&gt;=20,"End of life (age &gt; 20)",IF(L256&gt;0.6,"Repairs exceed 60% of revenue",IF(G256&gt;=15,"Age 15+ → replace",IF(OR(G256&gt;=11,L256&gt;0.4),"Watch costs; plan replacement","Healthy — continue operating"))))</f>
        <v>Watch costs; plan replacement</v>
      </c>
      <c r="P256" s="188" t="str">
        <f aca="false">'Engineering Assumptions'!H33</f>
        <v>TOYOTA HILUX 2026 ~Rs. 26–29M (strong resale)</v>
      </c>
    </row>
    <row r="257" customFormat="false" ht="15" hidden="false" customHeight="true" outlineLevel="0" collapsed="false">
      <c r="A257" s="9" t="n">
        <v>237</v>
      </c>
      <c r="B257" s="184" t="s">
        <v>123</v>
      </c>
      <c r="C257" s="184" t="s">
        <v>2393</v>
      </c>
      <c r="D257" s="184" t="s">
        <v>801</v>
      </c>
      <c r="E257" s="184" t="s">
        <v>802</v>
      </c>
      <c r="F257" s="45" t="s">
        <v>748</v>
      </c>
      <c r="G257" s="9" t="n">
        <v>15</v>
      </c>
      <c r="H257" s="185" t="n">
        <f aca="false">'Engineering Assumptions'!$F$33*0.12*1</f>
        <v>3.36</v>
      </c>
      <c r="I257" s="185" t="n">
        <f aca="false">'Engineering Assumptions'!$F$33*1</f>
        <v>28</v>
      </c>
      <c r="J257" s="12" t="n">
        <f aca="false">'Fleet Pricing'!L257</f>
        <v>147000</v>
      </c>
      <c r="K257" s="12" t="n">
        <f aca="false">'Maintenance &amp; Repair'!J257+'Maintenance &amp; Repair'!K257</f>
        <v>34560</v>
      </c>
      <c r="L257" s="186" t="n">
        <f aca="false">IFERROR(K257/J257,0)</f>
        <v>0.235102040816327</v>
      </c>
      <c r="M257" s="9" t="n">
        <f aca="false">MAX(0,'Engineering Assumptions'!$G$33-G257)</f>
        <v>0</v>
      </c>
      <c r="N257" s="187" t="str">
        <f aca="false">IF(G257&gt;=20,"REPLACE",IF(L257&gt;0.6,"REPLACE",IF(G257&gt;=15,"REPLACE",IF(OR(G257&gt;=11,L257&gt;0.4),"MONITOR","KEEP"))))</f>
        <v>REPLACE</v>
      </c>
      <c r="O257" s="188" t="str">
        <f aca="false">IF(G257&gt;=20,"End of life (age &gt; 20)",IF(L257&gt;0.6,"Repairs exceed 60% of revenue",IF(G257&gt;=15,"Age 15+ → replace",IF(OR(G257&gt;=11,L257&gt;0.4),"Watch costs; plan replacement","Healthy — continue operating"))))</f>
        <v>Age 15+ → replace</v>
      </c>
      <c r="P257" s="188" t="str">
        <f aca="false">'Engineering Assumptions'!H33</f>
        <v>TOYOTA HILUX 2026 ~Rs. 26–29M (strong resale)</v>
      </c>
    </row>
    <row r="258" customFormat="false" ht="15" hidden="false" customHeight="true" outlineLevel="0" collapsed="false">
      <c r="A258" s="9" t="n">
        <v>238</v>
      </c>
      <c r="B258" s="184" t="s">
        <v>123</v>
      </c>
      <c r="C258" s="184" t="s">
        <v>2394</v>
      </c>
      <c r="D258" s="184" t="s">
        <v>803</v>
      </c>
      <c r="E258" s="184" t="s">
        <v>805</v>
      </c>
      <c r="F258" s="45" t="s">
        <v>623</v>
      </c>
      <c r="G258" s="9" t="n">
        <v>18</v>
      </c>
      <c r="H258" s="185" t="n">
        <f aca="false">'Engineering Assumptions'!$F$33*0.12*1</f>
        <v>3.36</v>
      </c>
      <c r="I258" s="185" t="n">
        <f aca="false">'Engineering Assumptions'!$F$33*1</f>
        <v>28</v>
      </c>
      <c r="J258" s="12" t="n">
        <f aca="false">'Fleet Pricing'!L258</f>
        <v>128500</v>
      </c>
      <c r="K258" s="12" t="n">
        <f aca="false">'Maintenance &amp; Repair'!J258+'Maintenance &amp; Repair'!K258</f>
        <v>48780</v>
      </c>
      <c r="L258" s="186" t="n">
        <f aca="false">IFERROR(K258/J258,0)</f>
        <v>0.379610894941634</v>
      </c>
      <c r="M258" s="9" t="n">
        <f aca="false">MAX(0,'Engineering Assumptions'!$G$33-G258)</f>
        <v>0</v>
      </c>
      <c r="N258" s="187" t="str">
        <f aca="false">IF(G258&gt;=20,"REPLACE",IF(L258&gt;0.6,"REPLACE",IF(G258&gt;=15,"REPLACE",IF(OR(G258&gt;=11,L258&gt;0.4),"MONITOR","KEEP"))))</f>
        <v>REPLACE</v>
      </c>
      <c r="O258" s="188" t="str">
        <f aca="false">IF(G258&gt;=20,"End of life (age &gt; 20)",IF(L258&gt;0.6,"Repairs exceed 60% of revenue",IF(G258&gt;=15,"Age 15+ → replace",IF(OR(G258&gt;=11,L258&gt;0.4),"Watch costs; plan replacement","Healthy — continue operating"))))</f>
        <v>Age 15+ → replace</v>
      </c>
      <c r="P258" s="188" t="str">
        <f aca="false">'Engineering Assumptions'!H33</f>
        <v>TOYOTA HILUX 2026 ~Rs. 26–29M (strong resale)</v>
      </c>
    </row>
    <row r="259" customFormat="false" ht="15" hidden="false" customHeight="true" outlineLevel="0" collapsed="false">
      <c r="A259" s="9" t="n">
        <v>239</v>
      </c>
      <c r="B259" s="184" t="s">
        <v>123</v>
      </c>
      <c r="C259" s="184" t="s">
        <v>2395</v>
      </c>
      <c r="D259" s="184" t="s">
        <v>806</v>
      </c>
      <c r="E259" s="184" t="s">
        <v>808</v>
      </c>
      <c r="F259" s="45" t="s">
        <v>623</v>
      </c>
      <c r="G259" s="9" t="n">
        <v>18</v>
      </c>
      <c r="H259" s="185" t="n">
        <f aca="false">'Engineering Assumptions'!$F$33*0.12*1</f>
        <v>3.36</v>
      </c>
      <c r="I259" s="185" t="n">
        <f aca="false">'Engineering Assumptions'!$F$33*1</f>
        <v>28</v>
      </c>
      <c r="J259" s="12" t="n">
        <f aca="false">'Fleet Pricing'!L259</f>
        <v>128500</v>
      </c>
      <c r="K259" s="12" t="n">
        <f aca="false">'Maintenance &amp; Repair'!J259+'Maintenance &amp; Repair'!K259</f>
        <v>48780</v>
      </c>
      <c r="L259" s="186" t="n">
        <f aca="false">IFERROR(K259/J259,0)</f>
        <v>0.379610894941634</v>
      </c>
      <c r="M259" s="9" t="n">
        <f aca="false">MAX(0,'Engineering Assumptions'!$G$33-G259)</f>
        <v>0</v>
      </c>
      <c r="N259" s="187" t="str">
        <f aca="false">IF(G259&gt;=20,"REPLACE",IF(L259&gt;0.6,"REPLACE",IF(G259&gt;=15,"REPLACE",IF(OR(G259&gt;=11,L259&gt;0.4),"MONITOR","KEEP"))))</f>
        <v>REPLACE</v>
      </c>
      <c r="O259" s="188" t="str">
        <f aca="false">IF(G259&gt;=20,"End of life (age &gt; 20)",IF(L259&gt;0.6,"Repairs exceed 60% of revenue",IF(G259&gt;=15,"Age 15+ → replace",IF(OR(G259&gt;=11,L259&gt;0.4),"Watch costs; plan replacement","Healthy — continue operating"))))</f>
        <v>Age 15+ → replace</v>
      </c>
      <c r="P259" s="188" t="str">
        <f aca="false">'Engineering Assumptions'!H33</f>
        <v>TOYOTA HILUX 2026 ~Rs. 26–29M (strong resale)</v>
      </c>
    </row>
    <row r="260" customFormat="false" ht="15" hidden="false" customHeight="true" outlineLevel="0" collapsed="false">
      <c r="A260" s="9" t="n">
        <v>240</v>
      </c>
      <c r="B260" s="184" t="s">
        <v>123</v>
      </c>
      <c r="C260" s="184" t="s">
        <v>2395</v>
      </c>
      <c r="D260" s="184" t="s">
        <v>809</v>
      </c>
      <c r="E260" s="184" t="s">
        <v>811</v>
      </c>
      <c r="F260" s="45" t="s">
        <v>810</v>
      </c>
      <c r="G260" s="9" t="n">
        <v>19</v>
      </c>
      <c r="H260" s="185" t="n">
        <f aca="false">'Engineering Assumptions'!$F$33*0.06*1</f>
        <v>1.68</v>
      </c>
      <c r="I260" s="185" t="n">
        <f aca="false">'Engineering Assumptions'!$F$33*1</f>
        <v>28</v>
      </c>
      <c r="J260" s="12" t="n">
        <f aca="false">'Fleet Pricing'!L260</f>
        <v>128500</v>
      </c>
      <c r="K260" s="12" t="n">
        <f aca="false">'Maintenance &amp; Repair'!J260+'Maintenance &amp; Repair'!K260</f>
        <v>48780</v>
      </c>
      <c r="L260" s="186" t="n">
        <f aca="false">IFERROR(K260/J260,0)</f>
        <v>0.379610894941634</v>
      </c>
      <c r="M260" s="9" t="n">
        <f aca="false">MAX(0,'Engineering Assumptions'!$G$33-G260)</f>
        <v>0</v>
      </c>
      <c r="N260" s="187" t="str">
        <f aca="false">IF(G260&gt;=20,"REPLACE",IF(L260&gt;0.6,"REPLACE",IF(G260&gt;=15,"REPLACE",IF(OR(G260&gt;=11,L260&gt;0.4),"MONITOR","KEEP"))))</f>
        <v>REPLACE</v>
      </c>
      <c r="O260" s="188" t="str">
        <f aca="false">IF(G260&gt;=20,"End of life (age &gt; 20)",IF(L260&gt;0.6,"Repairs exceed 60% of revenue",IF(G260&gt;=15,"Age 15+ → replace",IF(OR(G260&gt;=11,L260&gt;0.4),"Watch costs; plan replacement","Healthy — continue operating"))))</f>
        <v>Age 15+ → replace</v>
      </c>
      <c r="P260" s="188" t="str">
        <f aca="false">'Engineering Assumptions'!H33</f>
        <v>TOYOTA HILUX 2026 ~Rs. 26–29M (strong resale)</v>
      </c>
    </row>
    <row r="261" customFormat="false" ht="15" hidden="false" customHeight="true" outlineLevel="0" collapsed="false">
      <c r="A261" s="9" t="n">
        <v>241</v>
      </c>
      <c r="B261" s="184" t="s">
        <v>123</v>
      </c>
      <c r="C261" s="184" t="s">
        <v>2390</v>
      </c>
      <c r="D261" s="184" t="s">
        <v>812</v>
      </c>
      <c r="E261" s="184" t="s">
        <v>813</v>
      </c>
      <c r="F261" s="45" t="s">
        <v>810</v>
      </c>
      <c r="G261" s="9" t="n">
        <v>19</v>
      </c>
      <c r="H261" s="185" t="n">
        <f aca="false">'Engineering Assumptions'!$F$33*0.06*1</f>
        <v>1.68</v>
      </c>
      <c r="I261" s="185" t="n">
        <f aca="false">'Engineering Assumptions'!$F$33*1</f>
        <v>28</v>
      </c>
      <c r="J261" s="12" t="n">
        <f aca="false">'Fleet Pricing'!L261</f>
        <v>128500</v>
      </c>
      <c r="K261" s="12" t="n">
        <f aca="false">'Maintenance &amp; Repair'!J261+'Maintenance &amp; Repair'!K261</f>
        <v>48780</v>
      </c>
      <c r="L261" s="186" t="n">
        <f aca="false">IFERROR(K261/J261,0)</f>
        <v>0.379610894941634</v>
      </c>
      <c r="M261" s="9" t="n">
        <f aca="false">MAX(0,'Engineering Assumptions'!$G$33-G261)</f>
        <v>0</v>
      </c>
      <c r="N261" s="187" t="str">
        <f aca="false">IF(G261&gt;=20,"REPLACE",IF(L261&gt;0.6,"REPLACE",IF(G261&gt;=15,"REPLACE",IF(OR(G261&gt;=11,L261&gt;0.4),"MONITOR","KEEP"))))</f>
        <v>REPLACE</v>
      </c>
      <c r="O261" s="188" t="str">
        <f aca="false">IF(G261&gt;=20,"End of life (age &gt; 20)",IF(L261&gt;0.6,"Repairs exceed 60% of revenue",IF(G261&gt;=15,"Age 15+ → replace",IF(OR(G261&gt;=11,L261&gt;0.4),"Watch costs; plan replacement","Healthy — continue operating"))))</f>
        <v>Age 15+ → replace</v>
      </c>
      <c r="P261" s="188" t="str">
        <f aca="false">'Engineering Assumptions'!H33</f>
        <v>TOYOTA HILUX 2026 ~Rs. 26–29M (strong resale)</v>
      </c>
    </row>
    <row r="262" customFormat="false" ht="15" hidden="false" customHeight="true" outlineLevel="0" collapsed="false">
      <c r="A262" s="9" t="n">
        <v>242</v>
      </c>
      <c r="B262" s="184" t="s">
        <v>123</v>
      </c>
      <c r="C262" s="184" t="s">
        <v>2396</v>
      </c>
      <c r="D262" s="184" t="s">
        <v>814</v>
      </c>
      <c r="E262" s="184" t="s">
        <v>816</v>
      </c>
      <c r="F262" s="45" t="s">
        <v>810</v>
      </c>
      <c r="G262" s="9" t="n">
        <v>19</v>
      </c>
      <c r="H262" s="185" t="n">
        <f aca="false">'Engineering Assumptions'!$F$33*0.06*1</f>
        <v>1.68</v>
      </c>
      <c r="I262" s="185" t="n">
        <f aca="false">'Engineering Assumptions'!$F$33*1</f>
        <v>28</v>
      </c>
      <c r="J262" s="12" t="n">
        <f aca="false">'Fleet Pricing'!L262</f>
        <v>128500</v>
      </c>
      <c r="K262" s="12" t="n">
        <f aca="false">'Maintenance &amp; Repair'!J262+'Maintenance &amp; Repair'!K262</f>
        <v>48780</v>
      </c>
      <c r="L262" s="186" t="n">
        <f aca="false">IFERROR(K262/J262,0)</f>
        <v>0.379610894941634</v>
      </c>
      <c r="M262" s="9" t="n">
        <f aca="false">MAX(0,'Engineering Assumptions'!$G$33-G262)</f>
        <v>0</v>
      </c>
      <c r="N262" s="187" t="str">
        <f aca="false">IF(G262&gt;=20,"REPLACE",IF(L262&gt;0.6,"REPLACE",IF(G262&gt;=15,"REPLACE",IF(OR(G262&gt;=11,L262&gt;0.4),"MONITOR","KEEP"))))</f>
        <v>REPLACE</v>
      </c>
      <c r="O262" s="188" t="str">
        <f aca="false">IF(G262&gt;=20,"End of life (age &gt; 20)",IF(L262&gt;0.6,"Repairs exceed 60% of revenue",IF(G262&gt;=15,"Age 15+ → replace",IF(OR(G262&gt;=11,L262&gt;0.4),"Watch costs; plan replacement","Healthy — continue operating"))))</f>
        <v>Age 15+ → replace</v>
      </c>
      <c r="P262" s="188" t="str">
        <f aca="false">'Engineering Assumptions'!H33</f>
        <v>TOYOTA HILUX 2026 ~Rs. 26–29M (strong resale)</v>
      </c>
    </row>
    <row r="263" customFormat="false" ht="15" hidden="false" customHeight="true" outlineLevel="0" collapsed="false">
      <c r="A263" s="9" t="n">
        <v>243</v>
      </c>
      <c r="B263" s="184" t="s">
        <v>123</v>
      </c>
      <c r="C263" s="184" t="s">
        <v>2390</v>
      </c>
      <c r="D263" s="184" t="s">
        <v>817</v>
      </c>
      <c r="E263" s="184" t="s">
        <v>818</v>
      </c>
      <c r="F263" s="45" t="s">
        <v>729</v>
      </c>
      <c r="G263" s="9" t="n">
        <v>21</v>
      </c>
      <c r="H263" s="185" t="n">
        <f aca="false">'Engineering Assumptions'!$F$33*0.06*1</f>
        <v>1.68</v>
      </c>
      <c r="I263" s="185" t="n">
        <f aca="false">'Engineering Assumptions'!$F$33*1</f>
        <v>28</v>
      </c>
      <c r="J263" s="12" t="n">
        <f aca="false">'Fleet Pricing'!L263</f>
        <v>128500</v>
      </c>
      <c r="K263" s="12" t="n">
        <f aca="false">'Maintenance &amp; Repair'!J263+'Maintenance &amp; Repair'!K263</f>
        <v>65520</v>
      </c>
      <c r="L263" s="186" t="n">
        <f aca="false">IFERROR(K263/J263,0)</f>
        <v>0.50988326848249</v>
      </c>
      <c r="M263" s="9" t="n">
        <f aca="false">MAX(0,'Engineering Assumptions'!$G$33-G263)</f>
        <v>0</v>
      </c>
      <c r="N263" s="187" t="str">
        <f aca="false">IF(G263&gt;=20,"REPLACE",IF(L263&gt;0.6,"REPLACE",IF(G263&gt;=15,"REPLACE",IF(OR(G263&gt;=11,L263&gt;0.4),"MONITOR","KEEP"))))</f>
        <v>REPLACE</v>
      </c>
      <c r="O263" s="188" t="str">
        <f aca="false">IF(G263&gt;=20,"End of life (age &gt; 20)",IF(L263&gt;0.6,"Repairs exceed 60% of revenue",IF(G263&gt;=15,"Age 15+ → replace",IF(OR(G263&gt;=11,L263&gt;0.4),"Watch costs; plan replacement","Healthy — continue operating"))))</f>
        <v>End of life (age &gt; 20)</v>
      </c>
      <c r="P263" s="188" t="str">
        <f aca="false">'Engineering Assumptions'!H33</f>
        <v>TOYOTA HILUX 2026 ~Rs. 26–29M (strong resale)</v>
      </c>
    </row>
    <row r="264" customFormat="false" ht="15" hidden="false" customHeight="true" outlineLevel="0" collapsed="false">
      <c r="A264" s="9" t="n">
        <v>244</v>
      </c>
      <c r="B264" s="184" t="s">
        <v>123</v>
      </c>
      <c r="C264" s="184" t="s">
        <v>2397</v>
      </c>
      <c r="D264" s="184" t="s">
        <v>820</v>
      </c>
      <c r="E264" s="184" t="s">
        <v>822</v>
      </c>
      <c r="F264" s="45" t="s">
        <v>729</v>
      </c>
      <c r="G264" s="9" t="n">
        <v>21</v>
      </c>
      <c r="H264" s="185" t="n">
        <f aca="false">'Engineering Assumptions'!$F$33*0.06*1</f>
        <v>1.68</v>
      </c>
      <c r="I264" s="185" t="n">
        <f aca="false">'Engineering Assumptions'!$F$33*1</f>
        <v>28</v>
      </c>
      <c r="J264" s="12" t="n">
        <f aca="false">'Fleet Pricing'!L264</f>
        <v>128500</v>
      </c>
      <c r="K264" s="12" t="n">
        <f aca="false">'Maintenance &amp; Repair'!J264+'Maintenance &amp; Repair'!K264</f>
        <v>65520</v>
      </c>
      <c r="L264" s="186" t="n">
        <f aca="false">IFERROR(K264/J264,0)</f>
        <v>0.50988326848249</v>
      </c>
      <c r="M264" s="9" t="n">
        <f aca="false">MAX(0,'Engineering Assumptions'!$G$33-G264)</f>
        <v>0</v>
      </c>
      <c r="N264" s="187" t="str">
        <f aca="false">IF(G264&gt;=20,"REPLACE",IF(L264&gt;0.6,"REPLACE",IF(G264&gt;=15,"REPLACE",IF(OR(G264&gt;=11,L264&gt;0.4),"MONITOR","KEEP"))))</f>
        <v>REPLACE</v>
      </c>
      <c r="O264" s="188" t="str">
        <f aca="false">IF(G264&gt;=20,"End of life (age &gt; 20)",IF(L264&gt;0.6,"Repairs exceed 60% of revenue",IF(G264&gt;=15,"Age 15+ → replace",IF(OR(G264&gt;=11,L264&gt;0.4),"Watch costs; plan replacement","Healthy — continue operating"))))</f>
        <v>End of life (age &gt; 20)</v>
      </c>
      <c r="P264" s="188" t="str">
        <f aca="false">'Engineering Assumptions'!H33</f>
        <v>TOYOTA HILUX 2026 ~Rs. 26–29M (strong resale)</v>
      </c>
    </row>
    <row r="265" customFormat="false" ht="15" hidden="false" customHeight="true" outlineLevel="0" collapsed="false">
      <c r="A265" s="9" t="n">
        <v>245</v>
      </c>
      <c r="B265" s="184" t="s">
        <v>123</v>
      </c>
      <c r="C265" s="184" t="s">
        <v>2394</v>
      </c>
      <c r="D265" s="184" t="s">
        <v>823</v>
      </c>
      <c r="E265" s="184" t="s">
        <v>824</v>
      </c>
      <c r="F265" s="45" t="s">
        <v>423</v>
      </c>
      <c r="G265" s="9" t="n">
        <v>23</v>
      </c>
      <c r="H265" s="185" t="n">
        <f aca="false">'Engineering Assumptions'!$F$33*0.06*1</f>
        <v>1.68</v>
      </c>
      <c r="I265" s="185" t="n">
        <f aca="false">'Engineering Assumptions'!$F$33*1</f>
        <v>28</v>
      </c>
      <c r="J265" s="12" t="n">
        <f aca="false">'Fleet Pricing'!L265</f>
        <v>116500</v>
      </c>
      <c r="K265" s="12" t="n">
        <f aca="false">'Maintenance &amp; Repair'!J265+'Maintenance &amp; Repair'!K265</f>
        <v>65520</v>
      </c>
      <c r="L265" s="186" t="n">
        <f aca="false">IFERROR(K265/J265,0)</f>
        <v>0.562403433476395</v>
      </c>
      <c r="M265" s="9" t="n">
        <f aca="false">MAX(0,'Engineering Assumptions'!$G$33-G265)</f>
        <v>0</v>
      </c>
      <c r="N265" s="187" t="str">
        <f aca="false">IF(G265&gt;=20,"REPLACE",IF(L265&gt;0.6,"REPLACE",IF(G265&gt;=15,"REPLACE",IF(OR(G265&gt;=11,L265&gt;0.4),"MONITOR","KEEP"))))</f>
        <v>REPLACE</v>
      </c>
      <c r="O265" s="188" t="str">
        <f aca="false">IF(G265&gt;=20,"End of life (age &gt; 20)",IF(L265&gt;0.6,"Repairs exceed 60% of revenue",IF(G265&gt;=15,"Age 15+ → replace",IF(OR(G265&gt;=11,L265&gt;0.4),"Watch costs; plan replacement","Healthy — continue operating"))))</f>
        <v>End of life (age &gt; 20)</v>
      </c>
      <c r="P265" s="188" t="str">
        <f aca="false">'Engineering Assumptions'!H33</f>
        <v>TOYOTA HILUX 2026 ~Rs. 26–29M (strong resale)</v>
      </c>
    </row>
    <row r="266" customFormat="false" ht="15" hidden="false" customHeight="true" outlineLevel="0" collapsed="false">
      <c r="A266" s="9" t="n">
        <v>246</v>
      </c>
      <c r="B266" s="184" t="s">
        <v>123</v>
      </c>
      <c r="C266" s="184" t="s">
        <v>2398</v>
      </c>
      <c r="D266" s="184" t="s">
        <v>825</v>
      </c>
      <c r="E266" s="184" t="s">
        <v>827</v>
      </c>
      <c r="F266" s="45" t="s">
        <v>362</v>
      </c>
      <c r="G266" s="9" t="n">
        <v>27</v>
      </c>
      <c r="H266" s="185" t="n">
        <f aca="false">'Engineering Assumptions'!$F$33*0.03*1</f>
        <v>0.84</v>
      </c>
      <c r="I266" s="185" t="n">
        <f aca="false">'Engineering Assumptions'!$F$33*1</f>
        <v>28</v>
      </c>
      <c r="J266" s="12" t="n">
        <f aca="false">'Fleet Pricing'!L266</f>
        <v>104000</v>
      </c>
      <c r="K266" s="12" t="n">
        <f aca="false">'Maintenance &amp; Repair'!J266+'Maintenance &amp; Repair'!K266</f>
        <v>65520</v>
      </c>
      <c r="L266" s="186" t="n">
        <f aca="false">IFERROR(K266/J266,0)</f>
        <v>0.63</v>
      </c>
      <c r="M266" s="9" t="n">
        <f aca="false">MAX(0,'Engineering Assumptions'!$G$33-G266)</f>
        <v>0</v>
      </c>
      <c r="N266" s="187" t="str">
        <f aca="false">IF(G266&gt;=20,"REPLACE",IF(L266&gt;0.6,"REPLACE",IF(G266&gt;=15,"REPLACE",IF(OR(G266&gt;=11,L266&gt;0.4),"MONITOR","KEEP"))))</f>
        <v>REPLACE</v>
      </c>
      <c r="O266" s="188" t="str">
        <f aca="false">IF(G266&gt;=20,"End of life (age &gt; 20)",IF(L266&gt;0.6,"Repairs exceed 60% of revenue",IF(G266&gt;=15,"Age 15+ → replace",IF(OR(G266&gt;=11,L266&gt;0.4),"Watch costs; plan replacement","Healthy — continue operating"))))</f>
        <v>End of life (age &gt; 20)</v>
      </c>
      <c r="P266" s="188" t="str">
        <f aca="false">'Engineering Assumptions'!H33</f>
        <v>TOYOTA HILUX 2026 ~Rs. 26–29M (strong resale)</v>
      </c>
    </row>
    <row r="267" customFormat="false" ht="15" hidden="false" customHeight="true" outlineLevel="0" collapsed="false">
      <c r="A267" s="9" t="n">
        <v>247</v>
      </c>
      <c r="B267" s="184" t="s">
        <v>123</v>
      </c>
      <c r="C267" s="184" t="s">
        <v>2399</v>
      </c>
      <c r="D267" s="184" t="s">
        <v>828</v>
      </c>
      <c r="E267" s="184" t="s">
        <v>830</v>
      </c>
      <c r="F267" s="45" t="s">
        <v>829</v>
      </c>
      <c r="G267" s="9" t="n">
        <v>29</v>
      </c>
      <c r="H267" s="185" t="n">
        <f aca="false">'Engineering Assumptions'!$F$33*0.03*1</f>
        <v>0.84</v>
      </c>
      <c r="I267" s="185" t="n">
        <f aca="false">'Engineering Assumptions'!$F$33*1</f>
        <v>28</v>
      </c>
      <c r="J267" s="12" t="n">
        <f aca="false">'Fleet Pricing'!L267</f>
        <v>104000</v>
      </c>
      <c r="K267" s="12" t="n">
        <f aca="false">'Maintenance &amp; Repair'!J267+'Maintenance &amp; Repair'!K267</f>
        <v>65520</v>
      </c>
      <c r="L267" s="186" t="n">
        <f aca="false">IFERROR(K267/J267,0)</f>
        <v>0.63</v>
      </c>
      <c r="M267" s="9" t="n">
        <f aca="false">MAX(0,'Engineering Assumptions'!$G$33-G267)</f>
        <v>0</v>
      </c>
      <c r="N267" s="187" t="str">
        <f aca="false">IF(G267&gt;=20,"REPLACE",IF(L267&gt;0.6,"REPLACE",IF(G267&gt;=15,"REPLACE",IF(OR(G267&gt;=11,L267&gt;0.4),"MONITOR","KEEP"))))</f>
        <v>REPLACE</v>
      </c>
      <c r="O267" s="188" t="str">
        <f aca="false">IF(G267&gt;=20,"End of life (age &gt; 20)",IF(L267&gt;0.6,"Repairs exceed 60% of revenue",IF(G267&gt;=15,"Age 15+ → replace",IF(OR(G267&gt;=11,L267&gt;0.4),"Watch costs; plan replacement","Healthy — continue operating"))))</f>
        <v>End of life (age &gt; 20)</v>
      </c>
      <c r="P267" s="188" t="str">
        <f aca="false">'Engineering Assumptions'!H33</f>
        <v>TOYOTA HILUX 2026 ~Rs. 26–29M (strong resale)</v>
      </c>
    </row>
    <row r="268" customFormat="false" ht="15" hidden="false" customHeight="true" outlineLevel="0" collapsed="false">
      <c r="A268" s="9" t="n">
        <v>248</v>
      </c>
      <c r="B268" s="184" t="s">
        <v>123</v>
      </c>
      <c r="C268" s="184" t="s">
        <v>2400</v>
      </c>
      <c r="D268" s="184" t="s">
        <v>832</v>
      </c>
      <c r="E268" s="184" t="s">
        <v>834</v>
      </c>
      <c r="F268" s="45" t="s">
        <v>833</v>
      </c>
      <c r="G268" s="9" t="n">
        <v>41</v>
      </c>
      <c r="H268" s="185" t="n">
        <f aca="false">'Engineering Assumptions'!$F$33*0.03*1</f>
        <v>0.84</v>
      </c>
      <c r="I268" s="185" t="n">
        <f aca="false">'Engineering Assumptions'!$F$33*1</f>
        <v>28</v>
      </c>
      <c r="J268" s="12" t="n">
        <f aca="false">'Fleet Pricing'!L268</f>
        <v>104000</v>
      </c>
      <c r="K268" s="12" t="n">
        <f aca="false">'Maintenance &amp; Repair'!J268+'Maintenance &amp; Repair'!K268</f>
        <v>65520</v>
      </c>
      <c r="L268" s="186" t="n">
        <f aca="false">IFERROR(K268/J268,0)</f>
        <v>0.63</v>
      </c>
      <c r="M268" s="9" t="n">
        <f aca="false">MAX(0,'Engineering Assumptions'!$G$33-G268)</f>
        <v>0</v>
      </c>
      <c r="N268" s="187" t="str">
        <f aca="false">IF(G268&gt;=20,"REPLACE",IF(L268&gt;0.6,"REPLACE",IF(G268&gt;=15,"REPLACE",IF(OR(G268&gt;=11,L268&gt;0.4),"MONITOR","KEEP"))))</f>
        <v>REPLACE</v>
      </c>
      <c r="O268" s="188" t="str">
        <f aca="false">IF(G268&gt;=20,"End of life (age &gt; 20)",IF(L268&gt;0.6,"Repairs exceed 60% of revenue",IF(G268&gt;=15,"Age 15+ → replace",IF(OR(G268&gt;=11,L268&gt;0.4),"Watch costs; plan replacement","Healthy — continue operating"))))</f>
        <v>End of life (age &gt; 20)</v>
      </c>
      <c r="P268" s="188" t="str">
        <f aca="false">'Engineering Assumptions'!H33</f>
        <v>TOYOTA HILUX 2026 ~Rs. 26–29M (strong resale)</v>
      </c>
    </row>
    <row r="269" customFormat="false" ht="15" hidden="false" customHeight="true" outlineLevel="0" collapsed="false">
      <c r="A269" s="9" t="n">
        <v>249</v>
      </c>
      <c r="B269" s="184" t="s">
        <v>123</v>
      </c>
      <c r="C269" s="184" t="s">
        <v>2400</v>
      </c>
      <c r="D269" s="184" t="s">
        <v>835</v>
      </c>
      <c r="E269" s="184" t="s">
        <v>836</v>
      </c>
      <c r="F269" s="45" t="s">
        <v>472</v>
      </c>
      <c r="G269" s="9" t="n">
        <v>30</v>
      </c>
      <c r="H269" s="185" t="n">
        <f aca="false">'Engineering Assumptions'!$F$33*0.03*1</f>
        <v>0.84</v>
      </c>
      <c r="I269" s="185" t="n">
        <f aca="false">'Engineering Assumptions'!$F$33*1</f>
        <v>28</v>
      </c>
      <c r="J269" s="12" t="n">
        <f aca="false">'Fleet Pricing'!L269</f>
        <v>104000</v>
      </c>
      <c r="K269" s="12" t="n">
        <f aca="false">'Maintenance &amp; Repair'!J269+'Maintenance &amp; Repair'!K269</f>
        <v>65520</v>
      </c>
      <c r="L269" s="186" t="n">
        <f aca="false">IFERROR(K269/J269,0)</f>
        <v>0.63</v>
      </c>
      <c r="M269" s="9" t="n">
        <f aca="false">MAX(0,'Engineering Assumptions'!$G$33-G269)</f>
        <v>0</v>
      </c>
      <c r="N269" s="187" t="str">
        <f aca="false">IF(G269&gt;=20,"REPLACE",IF(L269&gt;0.6,"REPLACE",IF(G269&gt;=15,"REPLACE",IF(OR(G269&gt;=11,L269&gt;0.4),"MONITOR","KEEP"))))</f>
        <v>REPLACE</v>
      </c>
      <c r="O269" s="188" t="str">
        <f aca="false">IF(G269&gt;=20,"End of life (age &gt; 20)",IF(L269&gt;0.6,"Repairs exceed 60% of revenue",IF(G269&gt;=15,"Age 15+ → replace",IF(OR(G269&gt;=11,L269&gt;0.4),"Watch costs; plan replacement","Healthy — continue operating"))))</f>
        <v>End of life (age &gt; 20)</v>
      </c>
      <c r="P269" s="188" t="str">
        <f aca="false">'Engineering Assumptions'!H33</f>
        <v>TOYOTA HILUX 2026 ~Rs. 26–29M (strong resale)</v>
      </c>
    </row>
    <row r="270" customFormat="false" ht="15" hidden="false" customHeight="true" outlineLevel="0" collapsed="false">
      <c r="A270" s="9" t="n">
        <v>250</v>
      </c>
      <c r="B270" s="184" t="s">
        <v>123</v>
      </c>
      <c r="C270" s="184" t="s">
        <v>2401</v>
      </c>
      <c r="D270" s="184"/>
      <c r="E270" s="184"/>
      <c r="F270" s="45" t="s">
        <v>472</v>
      </c>
      <c r="G270" s="9" t="n">
        <v>30</v>
      </c>
      <c r="H270" s="185" t="n">
        <f aca="false">'Engineering Assumptions'!$F$33*0.03*1</f>
        <v>0.84</v>
      </c>
      <c r="I270" s="185" t="n">
        <f aca="false">'Engineering Assumptions'!$F$33*1</f>
        <v>28</v>
      </c>
      <c r="J270" s="12" t="n">
        <f aca="false">'Fleet Pricing'!L270</f>
        <v>104000</v>
      </c>
      <c r="K270" s="12" t="n">
        <f aca="false">'Maintenance &amp; Repair'!J270+'Maintenance &amp; Repair'!K270</f>
        <v>65520</v>
      </c>
      <c r="L270" s="186" t="n">
        <f aca="false">IFERROR(K270/J270,0)</f>
        <v>0.63</v>
      </c>
      <c r="M270" s="9" t="n">
        <f aca="false">MAX(0,'Engineering Assumptions'!$G$33-G270)</f>
        <v>0</v>
      </c>
      <c r="N270" s="187" t="str">
        <f aca="false">IF(G270&gt;=20,"REPLACE",IF(L270&gt;0.6,"REPLACE",IF(G270&gt;=15,"REPLACE",IF(OR(G270&gt;=11,L270&gt;0.4),"MONITOR","KEEP"))))</f>
        <v>REPLACE</v>
      </c>
      <c r="O270" s="188" t="str">
        <f aca="false">IF(G270&gt;=20,"End of life (age &gt; 20)",IF(L270&gt;0.6,"Repairs exceed 60% of revenue",IF(G270&gt;=15,"Age 15+ → replace",IF(OR(G270&gt;=11,L270&gt;0.4),"Watch costs; plan replacement","Healthy — continue operating"))))</f>
        <v>End of life (age &gt; 20)</v>
      </c>
      <c r="P270" s="188" t="str">
        <f aca="false">'Engineering Assumptions'!H33</f>
        <v>TOYOTA HILUX 2026 ~Rs. 26–29M (strong resale)</v>
      </c>
    </row>
    <row r="271" customFormat="false" ht="15" hidden="false" customHeight="true" outlineLevel="0" collapsed="false">
      <c r="A271" s="42" t="s">
        <v>837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</row>
    <row r="272" customFormat="false" ht="15" hidden="false" customHeight="true" outlineLevel="0" collapsed="false">
      <c r="A272" s="9" t="n">
        <v>251</v>
      </c>
      <c r="B272" s="184" t="s">
        <v>125</v>
      </c>
      <c r="C272" s="184" t="s">
        <v>2402</v>
      </c>
      <c r="D272" s="184" t="s">
        <v>843</v>
      </c>
      <c r="E272" s="184" t="s">
        <v>846</v>
      </c>
      <c r="F272" s="45" t="s">
        <v>348</v>
      </c>
      <c r="G272" s="9" t="n">
        <v>20</v>
      </c>
      <c r="H272" s="185" t="n">
        <f aca="false">'Engineering Assumptions'!$F$34*0.06*1</f>
        <v>0.84</v>
      </c>
      <c r="I272" s="185" t="n">
        <f aca="false">'Engineering Assumptions'!$F$34*1</f>
        <v>14</v>
      </c>
      <c r="J272" s="12" t="n">
        <f aca="false">'Fleet Pricing'!L272</f>
        <v>117500</v>
      </c>
      <c r="K272" s="12" t="n">
        <f aca="false">'Maintenance &amp; Repair'!J272+'Maintenance &amp; Repair'!K272</f>
        <v>39060</v>
      </c>
      <c r="L272" s="186" t="n">
        <f aca="false">IFERROR(K272/J272,0)</f>
        <v>0.332425531914894</v>
      </c>
      <c r="M272" s="9" t="n">
        <f aca="false">MAX(0,'Engineering Assumptions'!$G$34-G272)</f>
        <v>0</v>
      </c>
      <c r="N272" s="187" t="str">
        <f aca="false">IF(G272&gt;=20,"REPLACE",IF(L272&gt;0.6,"REPLACE",IF(G272&gt;=15,"REPLACE",IF(OR(G272&gt;=11,L272&gt;0.4),"MONITOR","KEEP"))))</f>
        <v>REPLACE</v>
      </c>
      <c r="O272" s="188" t="str">
        <f aca="false">IF(G272&gt;=20,"End of life (age &gt; 20)",IF(L272&gt;0.6,"Repairs exceed 60% of revenue",IF(G272&gt;=15,"Age 15+ → replace",IF(OR(G272&gt;=11,L272&gt;0.4),"Watch costs; plan replacement","Healthy — continue operating"))))</f>
        <v>End of life (age &gt; 20)</v>
      </c>
      <c r="P272" s="188" t="str">
        <f aca="false">'Engineering Assumptions'!H34</f>
        <v>TOYOTA KDH200V ~Rs. 12–16M (reconditioned)</v>
      </c>
    </row>
    <row r="273" customFormat="false" ht="15" hidden="false" customHeight="true" outlineLevel="0" collapsed="false">
      <c r="A273" s="9" t="n">
        <v>252</v>
      </c>
      <c r="B273" s="184" t="s">
        <v>125</v>
      </c>
      <c r="C273" s="184" t="s">
        <v>2403</v>
      </c>
      <c r="D273" s="184"/>
      <c r="E273" s="184"/>
      <c r="F273" s="45" t="s">
        <v>841</v>
      </c>
      <c r="G273" s="9" t="n">
        <v>37</v>
      </c>
      <c r="H273" s="185" t="n">
        <f aca="false">'Engineering Assumptions'!$F$34*0.03*1</f>
        <v>0.42</v>
      </c>
      <c r="I273" s="185" t="n">
        <f aca="false">'Engineering Assumptions'!$F$34*1</f>
        <v>14</v>
      </c>
      <c r="J273" s="12" t="n">
        <f aca="false">'Fleet Pricing'!L273</f>
        <v>95000</v>
      </c>
      <c r="K273" s="12" t="n">
        <f aca="false">'Maintenance &amp; Repair'!J273+'Maintenance &amp; Repair'!K273</f>
        <v>52560</v>
      </c>
      <c r="L273" s="186" t="n">
        <f aca="false">IFERROR(K273/J273,0)</f>
        <v>0.553263157894737</v>
      </c>
      <c r="M273" s="9" t="n">
        <f aca="false">MAX(0,'Engineering Assumptions'!$G$34-G273)</f>
        <v>0</v>
      </c>
      <c r="N273" s="187" t="str">
        <f aca="false">IF(G273&gt;=20,"REPLACE",IF(L273&gt;0.6,"REPLACE",IF(G273&gt;=15,"REPLACE",IF(OR(G273&gt;=11,L273&gt;0.4),"MONITOR","KEEP"))))</f>
        <v>REPLACE</v>
      </c>
      <c r="O273" s="188" t="str">
        <f aca="false">IF(G273&gt;=20,"End of life (age &gt; 20)",IF(L273&gt;0.6,"Repairs exceed 60% of revenue",IF(G273&gt;=15,"Age 15+ → replace",IF(OR(G273&gt;=11,L273&gt;0.4),"Watch costs; plan replacement","Healthy — continue operating"))))</f>
        <v>End of life (age &gt; 20)</v>
      </c>
      <c r="P273" s="188" t="str">
        <f aca="false">'Engineering Assumptions'!H34</f>
        <v>TOYOTA KDH200V ~Rs. 12–16M (reconditioned)</v>
      </c>
    </row>
    <row r="274" customFormat="false" ht="15" hidden="false" customHeight="true" outlineLevel="0" collapsed="false">
      <c r="A274" s="9" t="n">
        <v>253</v>
      </c>
      <c r="B274" s="184" t="s">
        <v>125</v>
      </c>
      <c r="C274" s="184" t="s">
        <v>2404</v>
      </c>
      <c r="D274" s="184"/>
      <c r="E274" s="184"/>
      <c r="F274" s="45" t="s">
        <v>845</v>
      </c>
      <c r="G274" s="9" t="n">
        <v>39</v>
      </c>
      <c r="H274" s="185" t="n">
        <f aca="false">'Engineering Assumptions'!$F$34*0.03*1</f>
        <v>0.42</v>
      </c>
      <c r="I274" s="185" t="n">
        <f aca="false">'Engineering Assumptions'!$F$34*1</f>
        <v>14</v>
      </c>
      <c r="J274" s="12" t="n">
        <f aca="false">'Fleet Pricing'!L274</f>
        <v>95000</v>
      </c>
      <c r="K274" s="12" t="n">
        <f aca="false">'Maintenance &amp; Repair'!J274+'Maintenance &amp; Repair'!K274</f>
        <v>52560</v>
      </c>
      <c r="L274" s="186" t="n">
        <f aca="false">IFERROR(K274/J274,0)</f>
        <v>0.553263157894737</v>
      </c>
      <c r="M274" s="9" t="n">
        <f aca="false">MAX(0,'Engineering Assumptions'!$G$34-G274)</f>
        <v>0</v>
      </c>
      <c r="N274" s="187" t="str">
        <f aca="false">IF(G274&gt;=20,"REPLACE",IF(L274&gt;0.6,"REPLACE",IF(G274&gt;=15,"REPLACE",IF(OR(G274&gt;=11,L274&gt;0.4),"MONITOR","KEEP"))))</f>
        <v>REPLACE</v>
      </c>
      <c r="O274" s="188" t="str">
        <f aca="false">IF(G274&gt;=20,"End of life (age &gt; 20)",IF(L274&gt;0.6,"Repairs exceed 60% of revenue",IF(G274&gt;=15,"Age 15+ → replace",IF(OR(G274&gt;=11,L274&gt;0.4),"Watch costs; plan replacement","Healthy — continue operating"))))</f>
        <v>End of life (age &gt; 20)</v>
      </c>
      <c r="P274" s="188" t="str">
        <f aca="false">'Engineering Assumptions'!H34</f>
        <v>TOYOTA KDH200V ~Rs. 12–16M (reconditioned)</v>
      </c>
    </row>
    <row r="275" customFormat="false" ht="15" hidden="false" customHeight="true" outlineLevel="0" collapsed="false">
      <c r="A275" s="42" t="s">
        <v>847</v>
      </c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</row>
    <row r="276" customFormat="false" ht="15" hidden="false" customHeight="true" outlineLevel="0" collapsed="false">
      <c r="A276" s="9" t="n">
        <v>254</v>
      </c>
      <c r="B276" s="184" t="s">
        <v>127</v>
      </c>
      <c r="C276" s="184" t="s">
        <v>2405</v>
      </c>
      <c r="D276" s="184" t="s">
        <v>849</v>
      </c>
      <c r="E276" s="184" t="s">
        <v>851</v>
      </c>
      <c r="F276" s="45" t="s">
        <v>324</v>
      </c>
      <c r="G276" s="9" t="n">
        <v>7</v>
      </c>
      <c r="H276" s="185" t="n">
        <f aca="false">'Engineering Assumptions'!$F$35*0.35*1</f>
        <v>3.85</v>
      </c>
      <c r="I276" s="185" t="n">
        <f aca="false">'Engineering Assumptions'!$F$35*1</f>
        <v>11</v>
      </c>
      <c r="J276" s="12" t="n">
        <f aca="false">'Fleet Pricing'!L276</f>
        <v>131500</v>
      </c>
      <c r="K276" s="12" t="n">
        <f aca="false">'Maintenance &amp; Repair'!J276+'Maintenance &amp; Repair'!K276</f>
        <v>21000</v>
      </c>
      <c r="L276" s="186" t="n">
        <f aca="false">IFERROR(K276/J276,0)</f>
        <v>0.159695817490494</v>
      </c>
      <c r="M276" s="9" t="n">
        <f aca="false">MAX(0,'Engineering Assumptions'!$G$35-G276)</f>
        <v>8</v>
      </c>
      <c r="N276" s="187" t="str">
        <f aca="false">IF(G276&gt;=20,"REPLACE",IF(L276&gt;0.6,"REPLACE",IF(G276&gt;=15,"REPLACE",IF(OR(G276&gt;=11,L276&gt;0.4),"MONITOR","KEEP"))))</f>
        <v>KEEP</v>
      </c>
      <c r="O276" s="188" t="str">
        <f aca="false">IF(G276&gt;=20,"End of life (age &gt; 20)",IF(L276&gt;0.6,"Repairs exceed 60% of revenue",IF(G276&gt;=15,"Age 15+ → replace",IF(OR(G276&gt;=11,L276&gt;0.4),"Watch costs; plan replacement","Healthy — continue operating"))))</f>
        <v>Healthy — continue operating</v>
      </c>
      <c r="P276" s="188" t="str">
        <f aca="false">'Engineering Assumptions'!H35</f>
        <v>JMC/ISUZU crew cab ~Rs. 10–13M</v>
      </c>
    </row>
    <row r="277" customFormat="false" ht="15" hidden="false" customHeight="true" outlineLevel="0" collapsed="false">
      <c r="A277" s="9" t="n">
        <v>255</v>
      </c>
      <c r="B277" s="184" t="s">
        <v>127</v>
      </c>
      <c r="C277" s="184" t="s">
        <v>2406</v>
      </c>
      <c r="D277" s="184" t="s">
        <v>852</v>
      </c>
      <c r="E277" s="184" t="s">
        <v>854</v>
      </c>
      <c r="F277" s="45" t="s">
        <v>450</v>
      </c>
      <c r="G277" s="9" t="n">
        <v>8</v>
      </c>
      <c r="H277" s="185" t="n">
        <f aca="false">'Engineering Assumptions'!$F$35*0.35*1</f>
        <v>3.85</v>
      </c>
      <c r="I277" s="185" t="n">
        <f aca="false">'Engineering Assumptions'!$F$35*1</f>
        <v>11</v>
      </c>
      <c r="J277" s="12" t="n">
        <f aca="false">'Fleet Pricing'!L277</f>
        <v>131500</v>
      </c>
      <c r="K277" s="12" t="n">
        <f aca="false">'Maintenance &amp; Repair'!J277+'Maintenance &amp; Repair'!K277</f>
        <v>21000</v>
      </c>
      <c r="L277" s="186" t="n">
        <f aca="false">IFERROR(K277/J277,0)</f>
        <v>0.159695817490494</v>
      </c>
      <c r="M277" s="9" t="n">
        <f aca="false">MAX(0,'Engineering Assumptions'!$G$35-G277)</f>
        <v>7</v>
      </c>
      <c r="N277" s="187" t="str">
        <f aca="false">IF(G277&gt;=20,"REPLACE",IF(L277&gt;0.6,"REPLACE",IF(G277&gt;=15,"REPLACE",IF(OR(G277&gt;=11,L277&gt;0.4),"MONITOR","KEEP"))))</f>
        <v>KEEP</v>
      </c>
      <c r="O277" s="188" t="str">
        <f aca="false">IF(G277&gt;=20,"End of life (age &gt; 20)",IF(L277&gt;0.6,"Repairs exceed 60% of revenue",IF(G277&gt;=15,"Age 15+ → replace",IF(OR(G277&gt;=11,L277&gt;0.4),"Watch costs; plan replacement","Healthy — continue operating"))))</f>
        <v>Healthy — continue operating</v>
      </c>
      <c r="P277" s="188" t="str">
        <f aca="false">'Engineering Assumptions'!H35</f>
        <v>JMC/ISUZU crew cab ~Rs. 10–13M</v>
      </c>
    </row>
    <row r="278" customFormat="false" ht="15" hidden="false" customHeight="true" outlineLevel="0" collapsed="false">
      <c r="A278" s="9" t="n">
        <v>256</v>
      </c>
      <c r="B278" s="184" t="s">
        <v>127</v>
      </c>
      <c r="C278" s="184" t="s">
        <v>2407</v>
      </c>
      <c r="D278" s="184" t="s">
        <v>855</v>
      </c>
      <c r="E278" s="184" t="s">
        <v>857</v>
      </c>
      <c r="F278" s="45" t="s">
        <v>397</v>
      </c>
      <c r="G278" s="9" t="n">
        <v>9</v>
      </c>
      <c r="H278" s="185" t="n">
        <f aca="false">'Engineering Assumptions'!$F$35*0.22*1</f>
        <v>2.42</v>
      </c>
      <c r="I278" s="185" t="n">
        <f aca="false">'Engineering Assumptions'!$F$35*1</f>
        <v>11</v>
      </c>
      <c r="J278" s="12" t="n">
        <f aca="false">'Fleet Pricing'!L278</f>
        <v>131500</v>
      </c>
      <c r="K278" s="12" t="n">
        <f aca="false">'Maintenance &amp; Repair'!J278+'Maintenance &amp; Repair'!K278</f>
        <v>21000</v>
      </c>
      <c r="L278" s="186" t="n">
        <f aca="false">IFERROR(K278/J278,0)</f>
        <v>0.159695817490494</v>
      </c>
      <c r="M278" s="9" t="n">
        <f aca="false">MAX(0,'Engineering Assumptions'!$G$35-G278)</f>
        <v>6</v>
      </c>
      <c r="N278" s="187" t="str">
        <f aca="false">IF(G278&gt;=20,"REPLACE",IF(L278&gt;0.6,"REPLACE",IF(G278&gt;=15,"REPLACE",IF(OR(G278&gt;=11,L278&gt;0.4),"MONITOR","KEEP"))))</f>
        <v>KEEP</v>
      </c>
      <c r="O278" s="188" t="str">
        <f aca="false">IF(G278&gt;=20,"End of life (age &gt; 20)",IF(L278&gt;0.6,"Repairs exceed 60% of revenue",IF(G278&gt;=15,"Age 15+ → replace",IF(OR(G278&gt;=11,L278&gt;0.4),"Watch costs; plan replacement","Healthy — continue operating"))))</f>
        <v>Healthy — continue operating</v>
      </c>
      <c r="P278" s="188" t="str">
        <f aca="false">'Engineering Assumptions'!H35</f>
        <v>JMC/ISUZU crew cab ~Rs. 10–13M</v>
      </c>
    </row>
    <row r="279" customFormat="false" ht="15" hidden="false" customHeight="true" outlineLevel="0" collapsed="false">
      <c r="A279" s="9" t="n">
        <v>257</v>
      </c>
      <c r="B279" s="184" t="s">
        <v>127</v>
      </c>
      <c r="C279" s="184" t="s">
        <v>2405</v>
      </c>
      <c r="D279" s="184" t="s">
        <v>858</v>
      </c>
      <c r="E279" s="184" t="s">
        <v>859</v>
      </c>
      <c r="F279" s="45" t="s">
        <v>318</v>
      </c>
      <c r="G279" s="9" t="n">
        <v>10</v>
      </c>
      <c r="H279" s="185" t="n">
        <f aca="false">'Engineering Assumptions'!$F$35*0.22*1</f>
        <v>2.42</v>
      </c>
      <c r="I279" s="185" t="n">
        <f aca="false">'Engineering Assumptions'!$F$35*1</f>
        <v>11</v>
      </c>
      <c r="J279" s="12" t="n">
        <f aca="false">'Fleet Pricing'!L279</f>
        <v>131500</v>
      </c>
      <c r="K279" s="12" t="n">
        <f aca="false">'Maintenance &amp; Repair'!J279+'Maintenance &amp; Repair'!K279</f>
        <v>21000</v>
      </c>
      <c r="L279" s="186" t="n">
        <f aca="false">IFERROR(K279/J279,0)</f>
        <v>0.159695817490494</v>
      </c>
      <c r="M279" s="9" t="n">
        <f aca="false">MAX(0,'Engineering Assumptions'!$G$35-G279)</f>
        <v>5</v>
      </c>
      <c r="N279" s="187" t="str">
        <f aca="false">IF(G279&gt;=20,"REPLACE",IF(L279&gt;0.6,"REPLACE",IF(G279&gt;=15,"REPLACE",IF(OR(G279&gt;=11,L279&gt;0.4),"MONITOR","KEEP"))))</f>
        <v>KEEP</v>
      </c>
      <c r="O279" s="188" t="str">
        <f aca="false">IF(G279&gt;=20,"End of life (age &gt; 20)",IF(L279&gt;0.6,"Repairs exceed 60% of revenue",IF(G279&gt;=15,"Age 15+ → replace",IF(OR(G279&gt;=11,L279&gt;0.4),"Watch costs; plan replacement","Healthy — continue operating"))))</f>
        <v>Healthy — continue operating</v>
      </c>
      <c r="P279" s="188" t="str">
        <f aca="false">'Engineering Assumptions'!H35</f>
        <v>JMC/ISUZU crew cab ~Rs. 10–13M</v>
      </c>
    </row>
    <row r="280" customFormat="false" ht="15" hidden="false" customHeight="true" outlineLevel="0" collapsed="false">
      <c r="A280" s="9" t="n">
        <v>258</v>
      </c>
      <c r="B280" s="184" t="s">
        <v>127</v>
      </c>
      <c r="C280" s="184" t="s">
        <v>2405</v>
      </c>
      <c r="D280" s="184" t="s">
        <v>860</v>
      </c>
      <c r="E280" s="184" t="s">
        <v>861</v>
      </c>
      <c r="F280" s="45" t="s">
        <v>318</v>
      </c>
      <c r="G280" s="9" t="n">
        <v>10</v>
      </c>
      <c r="H280" s="185" t="n">
        <f aca="false">'Engineering Assumptions'!$F$35*0.22*1</f>
        <v>2.42</v>
      </c>
      <c r="I280" s="185" t="n">
        <f aca="false">'Engineering Assumptions'!$F$35*1</f>
        <v>11</v>
      </c>
      <c r="J280" s="12" t="n">
        <f aca="false">'Fleet Pricing'!L280</f>
        <v>131500</v>
      </c>
      <c r="K280" s="12" t="n">
        <f aca="false">'Maintenance &amp; Repair'!J280+'Maintenance &amp; Repair'!K280</f>
        <v>21000</v>
      </c>
      <c r="L280" s="186" t="n">
        <f aca="false">IFERROR(K280/J280,0)</f>
        <v>0.159695817490494</v>
      </c>
      <c r="M280" s="9" t="n">
        <f aca="false">MAX(0,'Engineering Assumptions'!$G$35-G280)</f>
        <v>5</v>
      </c>
      <c r="N280" s="187" t="str">
        <f aca="false">IF(G280&gt;=20,"REPLACE",IF(L280&gt;0.6,"REPLACE",IF(G280&gt;=15,"REPLACE",IF(OR(G280&gt;=11,L280&gt;0.4),"MONITOR","KEEP"))))</f>
        <v>KEEP</v>
      </c>
      <c r="O280" s="188" t="str">
        <f aca="false">IF(G280&gt;=20,"End of life (age &gt; 20)",IF(L280&gt;0.6,"Repairs exceed 60% of revenue",IF(G280&gt;=15,"Age 15+ → replace",IF(OR(G280&gt;=11,L280&gt;0.4),"Watch costs; plan replacement","Healthy — continue operating"))))</f>
        <v>Healthy — continue operating</v>
      </c>
      <c r="P280" s="188" t="str">
        <f aca="false">'Engineering Assumptions'!H35</f>
        <v>JMC/ISUZU crew cab ~Rs. 10–13M</v>
      </c>
    </row>
    <row r="281" customFormat="false" ht="15" hidden="false" customHeight="true" outlineLevel="0" collapsed="false">
      <c r="A281" s="9" t="n">
        <v>259</v>
      </c>
      <c r="B281" s="184" t="s">
        <v>127</v>
      </c>
      <c r="C281" s="184" t="s">
        <v>2405</v>
      </c>
      <c r="D281" s="184" t="s">
        <v>862</v>
      </c>
      <c r="E281" s="184" t="s">
        <v>863</v>
      </c>
      <c r="F281" s="45" t="s">
        <v>318</v>
      </c>
      <c r="G281" s="9" t="n">
        <v>10</v>
      </c>
      <c r="H281" s="185" t="n">
        <f aca="false">'Engineering Assumptions'!$F$35*0.22*1</f>
        <v>2.42</v>
      </c>
      <c r="I281" s="185" t="n">
        <f aca="false">'Engineering Assumptions'!$F$35*1</f>
        <v>11</v>
      </c>
      <c r="J281" s="12" t="n">
        <f aca="false">'Fleet Pricing'!L281</f>
        <v>131500</v>
      </c>
      <c r="K281" s="12" t="n">
        <f aca="false">'Maintenance &amp; Repair'!J281+'Maintenance &amp; Repair'!K281</f>
        <v>21000</v>
      </c>
      <c r="L281" s="186" t="n">
        <f aca="false">IFERROR(K281/J281,0)</f>
        <v>0.159695817490494</v>
      </c>
      <c r="M281" s="9" t="n">
        <f aca="false">MAX(0,'Engineering Assumptions'!$G$35-G281)</f>
        <v>5</v>
      </c>
      <c r="N281" s="187" t="str">
        <f aca="false">IF(G281&gt;=20,"REPLACE",IF(L281&gt;0.6,"REPLACE",IF(G281&gt;=15,"REPLACE",IF(OR(G281&gt;=11,L281&gt;0.4),"MONITOR","KEEP"))))</f>
        <v>KEEP</v>
      </c>
      <c r="O281" s="188" t="str">
        <f aca="false">IF(G281&gt;=20,"End of life (age &gt; 20)",IF(L281&gt;0.6,"Repairs exceed 60% of revenue",IF(G281&gt;=15,"Age 15+ → replace",IF(OR(G281&gt;=11,L281&gt;0.4),"Watch costs; plan replacement","Healthy — continue operating"))))</f>
        <v>Healthy — continue operating</v>
      </c>
      <c r="P281" s="188" t="str">
        <f aca="false">'Engineering Assumptions'!H35</f>
        <v>JMC/ISUZU crew cab ~Rs. 10–13M</v>
      </c>
    </row>
    <row r="282" customFormat="false" ht="15" hidden="false" customHeight="true" outlineLevel="0" collapsed="false">
      <c r="A282" s="9" t="n">
        <v>260</v>
      </c>
      <c r="B282" s="184" t="s">
        <v>127</v>
      </c>
      <c r="C282" s="184" t="s">
        <v>2408</v>
      </c>
      <c r="D282" s="184" t="s">
        <v>864</v>
      </c>
      <c r="E282" s="184" t="s">
        <v>866</v>
      </c>
      <c r="F282" s="45" t="s">
        <v>428</v>
      </c>
      <c r="G282" s="9" t="n">
        <v>26</v>
      </c>
      <c r="H282" s="185" t="n">
        <f aca="false">'Engineering Assumptions'!$F$35*0.03*1</f>
        <v>0.33</v>
      </c>
      <c r="I282" s="185" t="n">
        <f aca="false">'Engineering Assumptions'!$F$35*1</f>
        <v>11</v>
      </c>
      <c r="J282" s="12" t="n">
        <f aca="false">'Fleet Pricing'!L282</f>
        <v>93000</v>
      </c>
      <c r="K282" s="12" t="n">
        <f aca="false">'Maintenance &amp; Repair'!J282+'Maintenance &amp; Repair'!K282</f>
        <v>59040</v>
      </c>
      <c r="L282" s="186" t="n">
        <f aca="false">IFERROR(K282/J282,0)</f>
        <v>0.634838709677419</v>
      </c>
      <c r="M282" s="9" t="n">
        <f aca="false">MAX(0,'Engineering Assumptions'!$G$35-G282)</f>
        <v>0</v>
      </c>
      <c r="N282" s="187" t="str">
        <f aca="false">IF(G282&gt;=20,"REPLACE",IF(L282&gt;0.6,"REPLACE",IF(G282&gt;=15,"REPLACE",IF(OR(G282&gt;=11,L282&gt;0.4),"MONITOR","KEEP"))))</f>
        <v>REPLACE</v>
      </c>
      <c r="O282" s="188" t="str">
        <f aca="false">IF(G282&gt;=20,"End of life (age &gt; 20)",IF(L282&gt;0.6,"Repairs exceed 60% of revenue",IF(G282&gt;=15,"Age 15+ → replace",IF(OR(G282&gt;=11,L282&gt;0.4),"Watch costs; plan replacement","Healthy — continue operating"))))</f>
        <v>End of life (age &gt; 20)</v>
      </c>
      <c r="P282" s="188" t="str">
        <f aca="false">'Engineering Assumptions'!H35</f>
        <v>JMC/ISUZU crew cab ~Rs. 10–13M</v>
      </c>
    </row>
    <row r="283" customFormat="false" ht="15" hidden="false" customHeight="true" outlineLevel="0" collapsed="false">
      <c r="A283" s="9" t="n">
        <v>261</v>
      </c>
      <c r="B283" s="184" t="s">
        <v>127</v>
      </c>
      <c r="C283" s="184" t="s">
        <v>2409</v>
      </c>
      <c r="D283" s="184" t="s">
        <v>867</v>
      </c>
      <c r="E283" s="184" t="s">
        <v>869</v>
      </c>
      <c r="F283" s="45" t="s">
        <v>829</v>
      </c>
      <c r="G283" s="9" t="n">
        <v>29</v>
      </c>
      <c r="H283" s="185" t="n">
        <f aca="false">'Engineering Assumptions'!$F$35*0.03*1</f>
        <v>0.33</v>
      </c>
      <c r="I283" s="185" t="n">
        <f aca="false">'Engineering Assumptions'!$F$35*1</f>
        <v>11</v>
      </c>
      <c r="J283" s="12" t="n">
        <f aca="false">'Fleet Pricing'!L283</f>
        <v>82500</v>
      </c>
      <c r="K283" s="12" t="n">
        <f aca="false">'Maintenance &amp; Repair'!J283+'Maintenance &amp; Repair'!K283</f>
        <v>59040</v>
      </c>
      <c r="L283" s="186" t="n">
        <f aca="false">IFERROR(K283/J283,0)</f>
        <v>0.715636363636364</v>
      </c>
      <c r="M283" s="9" t="n">
        <f aca="false">MAX(0,'Engineering Assumptions'!$G$35-G283)</f>
        <v>0</v>
      </c>
      <c r="N283" s="187" t="str">
        <f aca="false">IF(G283&gt;=20,"REPLACE",IF(L283&gt;0.6,"REPLACE",IF(G283&gt;=15,"REPLACE",IF(OR(G283&gt;=11,L283&gt;0.4),"MONITOR","KEEP"))))</f>
        <v>REPLACE</v>
      </c>
      <c r="O283" s="188" t="str">
        <f aca="false">IF(G283&gt;=20,"End of life (age &gt; 20)",IF(L283&gt;0.6,"Repairs exceed 60% of revenue",IF(G283&gt;=15,"Age 15+ → replace",IF(OR(G283&gt;=11,L283&gt;0.4),"Watch costs; plan replacement","Healthy — continue operating"))))</f>
        <v>End of life (age &gt; 20)</v>
      </c>
      <c r="P283" s="188" t="str">
        <f aca="false">'Engineering Assumptions'!H35</f>
        <v>JMC/ISUZU crew cab ~Rs. 10–13M</v>
      </c>
    </row>
    <row r="284" customFormat="false" ht="15" hidden="false" customHeight="true" outlineLevel="0" collapsed="false">
      <c r="A284" s="9" t="n">
        <v>262</v>
      </c>
      <c r="B284" s="184" t="s">
        <v>127</v>
      </c>
      <c r="C284" s="184" t="s">
        <v>2410</v>
      </c>
      <c r="D284" s="184" t="s">
        <v>870</v>
      </c>
      <c r="E284" s="184" t="s">
        <v>872</v>
      </c>
      <c r="F284" s="45" t="s">
        <v>829</v>
      </c>
      <c r="G284" s="9" t="n">
        <v>29</v>
      </c>
      <c r="H284" s="185" t="n">
        <f aca="false">'Engineering Assumptions'!$F$35*0.03*1</f>
        <v>0.33</v>
      </c>
      <c r="I284" s="185" t="n">
        <f aca="false">'Engineering Assumptions'!$F$35*1</f>
        <v>11</v>
      </c>
      <c r="J284" s="12" t="n">
        <f aca="false">'Fleet Pricing'!L284</f>
        <v>82500</v>
      </c>
      <c r="K284" s="12" t="n">
        <f aca="false">'Maintenance &amp; Repair'!J284+'Maintenance &amp; Repair'!K284</f>
        <v>59040</v>
      </c>
      <c r="L284" s="186" t="n">
        <f aca="false">IFERROR(K284/J284,0)</f>
        <v>0.715636363636364</v>
      </c>
      <c r="M284" s="9" t="n">
        <f aca="false">MAX(0,'Engineering Assumptions'!$G$35-G284)</f>
        <v>0</v>
      </c>
      <c r="N284" s="187" t="str">
        <f aca="false">IF(G284&gt;=20,"REPLACE",IF(L284&gt;0.6,"REPLACE",IF(G284&gt;=15,"REPLACE",IF(OR(G284&gt;=11,L284&gt;0.4),"MONITOR","KEEP"))))</f>
        <v>REPLACE</v>
      </c>
      <c r="O284" s="188" t="str">
        <f aca="false">IF(G284&gt;=20,"End of life (age &gt; 20)",IF(L284&gt;0.6,"Repairs exceed 60% of revenue",IF(G284&gt;=15,"Age 15+ → replace",IF(OR(G284&gt;=11,L284&gt;0.4),"Watch costs; plan replacement","Healthy — continue operating"))))</f>
        <v>End of life (age &gt; 20)</v>
      </c>
      <c r="P284" s="188" t="str">
        <f aca="false">'Engineering Assumptions'!H35</f>
        <v>JMC/ISUZU crew cab ~Rs. 10–13M</v>
      </c>
    </row>
    <row r="285" customFormat="false" ht="15" hidden="false" customHeight="true" outlineLevel="0" collapsed="false">
      <c r="A285" s="9" t="n">
        <v>263</v>
      </c>
      <c r="B285" s="184" t="s">
        <v>127</v>
      </c>
      <c r="C285" s="184" t="s">
        <v>2411</v>
      </c>
      <c r="D285" s="184" t="s">
        <v>874</v>
      </c>
      <c r="E285" s="184" t="s">
        <v>877</v>
      </c>
      <c r="F285" s="45" t="s">
        <v>876</v>
      </c>
      <c r="G285" s="9" t="n">
        <v>42</v>
      </c>
      <c r="H285" s="185" t="n">
        <f aca="false">'Engineering Assumptions'!$F$35*0.03*1</f>
        <v>0.33</v>
      </c>
      <c r="I285" s="185" t="n">
        <f aca="false">'Engineering Assumptions'!$F$35*1</f>
        <v>11</v>
      </c>
      <c r="J285" s="12" t="n">
        <f aca="false">'Fleet Pricing'!L285</f>
        <v>82500</v>
      </c>
      <c r="K285" s="12" t="n">
        <f aca="false">'Maintenance &amp; Repair'!J285+'Maintenance &amp; Repair'!K285</f>
        <v>59040</v>
      </c>
      <c r="L285" s="186" t="n">
        <f aca="false">IFERROR(K285/J285,0)</f>
        <v>0.715636363636364</v>
      </c>
      <c r="M285" s="9" t="n">
        <f aca="false">MAX(0,'Engineering Assumptions'!$G$35-G285)</f>
        <v>0</v>
      </c>
      <c r="N285" s="187" t="str">
        <f aca="false">IF(G285&gt;=20,"REPLACE",IF(L285&gt;0.6,"REPLACE",IF(G285&gt;=15,"REPLACE",IF(OR(G285&gt;=11,L285&gt;0.4),"MONITOR","KEEP"))))</f>
        <v>REPLACE</v>
      </c>
      <c r="O285" s="188" t="str">
        <f aca="false">IF(G285&gt;=20,"End of life (age &gt; 20)",IF(L285&gt;0.6,"Repairs exceed 60% of revenue",IF(G285&gt;=15,"Age 15+ → replace",IF(OR(G285&gt;=11,L285&gt;0.4),"Watch costs; plan replacement","Healthy — continue operating"))))</f>
        <v>End of life (age &gt; 20)</v>
      </c>
      <c r="P285" s="188" t="str">
        <f aca="false">'Engineering Assumptions'!H35</f>
        <v>JMC/ISUZU crew cab ~Rs. 10–13M</v>
      </c>
    </row>
    <row r="286" customFormat="false" ht="15" hidden="false" customHeight="true" outlineLevel="0" collapsed="false">
      <c r="A286" s="9" t="n">
        <v>264</v>
      </c>
      <c r="B286" s="184" t="s">
        <v>127</v>
      </c>
      <c r="C286" s="184" t="s">
        <v>2412</v>
      </c>
      <c r="D286" s="184" t="s">
        <v>878</v>
      </c>
      <c r="E286" s="184" t="s">
        <v>881</v>
      </c>
      <c r="F286" s="45" t="s">
        <v>880</v>
      </c>
      <c r="G286" s="9" t="n">
        <v>53</v>
      </c>
      <c r="H286" s="185" t="n">
        <f aca="false">'Engineering Assumptions'!$F$35*0.03*1</f>
        <v>0.33</v>
      </c>
      <c r="I286" s="185" t="n">
        <f aca="false">'Engineering Assumptions'!$F$35*1</f>
        <v>11</v>
      </c>
      <c r="J286" s="12" t="n">
        <f aca="false">'Fleet Pricing'!L286</f>
        <v>82500</v>
      </c>
      <c r="K286" s="12" t="n">
        <f aca="false">'Maintenance &amp; Repair'!J286+'Maintenance &amp; Repair'!K286</f>
        <v>59040</v>
      </c>
      <c r="L286" s="186" t="n">
        <f aca="false">IFERROR(K286/J286,0)</f>
        <v>0.715636363636364</v>
      </c>
      <c r="M286" s="9" t="n">
        <f aca="false">MAX(0,'Engineering Assumptions'!$G$35-G286)</f>
        <v>0</v>
      </c>
      <c r="N286" s="187" t="str">
        <f aca="false">IF(G286&gt;=20,"REPLACE",IF(L286&gt;0.6,"REPLACE",IF(G286&gt;=15,"REPLACE",IF(OR(G286&gt;=11,L286&gt;0.4),"MONITOR","KEEP"))))</f>
        <v>REPLACE</v>
      </c>
      <c r="O286" s="188" t="str">
        <f aca="false">IF(G286&gt;=20,"End of life (age &gt; 20)",IF(L286&gt;0.6,"Repairs exceed 60% of revenue",IF(G286&gt;=15,"Age 15+ → replace",IF(OR(G286&gt;=11,L286&gt;0.4),"Watch costs; plan replacement","Healthy — continue operating"))))</f>
        <v>End of life (age &gt; 20)</v>
      </c>
      <c r="P286" s="188" t="str">
        <f aca="false">'Engineering Assumptions'!H35</f>
        <v>JMC/ISUZU crew cab ~Rs. 10–13M</v>
      </c>
    </row>
    <row r="287" customFormat="false" ht="15" hidden="false" customHeight="true" outlineLevel="0" collapsed="false">
      <c r="A287" s="42" t="s">
        <v>882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</row>
    <row r="288" customFormat="false" ht="15" hidden="false" customHeight="true" outlineLevel="0" collapsed="false">
      <c r="A288" s="9" t="n">
        <v>265</v>
      </c>
      <c r="B288" s="184" t="s">
        <v>129</v>
      </c>
      <c r="C288" s="184" t="s">
        <v>2413</v>
      </c>
      <c r="D288" s="184" t="s">
        <v>883</v>
      </c>
      <c r="E288" s="184" t="s">
        <v>885</v>
      </c>
      <c r="F288" s="45" t="s">
        <v>324</v>
      </c>
      <c r="G288" s="9" t="n">
        <v>7</v>
      </c>
      <c r="H288" s="185" t="n">
        <f aca="false">'Engineering Assumptions'!$F$36*0.35*1</f>
        <v>2.275</v>
      </c>
      <c r="I288" s="185" t="n">
        <f aca="false">'Engineering Assumptions'!$F$36*1</f>
        <v>6.5</v>
      </c>
      <c r="J288" s="12" t="n">
        <f aca="false">'Fleet Pricing'!L288</f>
        <v>108000</v>
      </c>
      <c r="K288" s="12" t="n">
        <f aca="false">'Maintenance &amp; Repair'!J288+'Maintenance &amp; Repair'!K288</f>
        <v>18600</v>
      </c>
      <c r="L288" s="186" t="n">
        <f aca="false">IFERROR(K288/J288,0)</f>
        <v>0.172222222222222</v>
      </c>
      <c r="M288" s="9" t="n">
        <f aca="false">MAX(0,'Engineering Assumptions'!$G$36-G288)</f>
        <v>8</v>
      </c>
      <c r="N288" s="187" t="str">
        <f aca="false">IF(G288&gt;=20,"REPLACE",IF(L288&gt;0.6,"REPLACE",IF(G288&gt;=15,"REPLACE",IF(OR(G288&gt;=11,L288&gt;0.4),"MONITOR","KEEP"))))</f>
        <v>KEEP</v>
      </c>
      <c r="O288" s="188" t="str">
        <f aca="false">IF(G288&gt;=20,"End of life (age &gt; 20)",IF(L288&gt;0.6,"Repairs exceed 60% of revenue",IF(G288&gt;=15,"Age 15+ → replace",IF(OR(G288&gt;=11,L288&gt;0.4),"Watch costs; plan replacement","Healthy — continue operating"))))</f>
        <v>Healthy — continue operating</v>
      </c>
      <c r="P288" s="188" t="str">
        <f aca="false">'Engineering Assumptions'!H36</f>
        <v>TATA YODHA / Mahindra BMT ~Rs. 5.5–7.5M</v>
      </c>
    </row>
    <row r="289" customFormat="false" ht="15" hidden="false" customHeight="true" outlineLevel="0" collapsed="false">
      <c r="A289" s="9" t="n">
        <v>266</v>
      </c>
      <c r="B289" s="184" t="s">
        <v>129</v>
      </c>
      <c r="C289" s="184" t="s">
        <v>2413</v>
      </c>
      <c r="D289" s="184" t="s">
        <v>886</v>
      </c>
      <c r="E289" s="184" t="s">
        <v>887</v>
      </c>
      <c r="F289" s="45" t="s">
        <v>324</v>
      </c>
      <c r="G289" s="9" t="n">
        <v>7</v>
      </c>
      <c r="H289" s="185" t="n">
        <f aca="false">'Engineering Assumptions'!$F$36*0.35*1</f>
        <v>2.275</v>
      </c>
      <c r="I289" s="185" t="n">
        <f aca="false">'Engineering Assumptions'!$F$36*1</f>
        <v>6.5</v>
      </c>
      <c r="J289" s="12" t="n">
        <f aca="false">'Fleet Pricing'!L289</f>
        <v>108000</v>
      </c>
      <c r="K289" s="12" t="n">
        <f aca="false">'Maintenance &amp; Repair'!J289+'Maintenance &amp; Repair'!K289</f>
        <v>18600</v>
      </c>
      <c r="L289" s="186" t="n">
        <f aca="false">IFERROR(K289/J289,0)</f>
        <v>0.172222222222222</v>
      </c>
      <c r="M289" s="9" t="n">
        <f aca="false">MAX(0,'Engineering Assumptions'!$G$36-G289)</f>
        <v>8</v>
      </c>
      <c r="N289" s="187" t="str">
        <f aca="false">IF(G289&gt;=20,"REPLACE",IF(L289&gt;0.6,"REPLACE",IF(G289&gt;=15,"REPLACE",IF(OR(G289&gt;=11,L289&gt;0.4),"MONITOR","KEEP"))))</f>
        <v>KEEP</v>
      </c>
      <c r="O289" s="188" t="str">
        <f aca="false">IF(G289&gt;=20,"End of life (age &gt; 20)",IF(L289&gt;0.6,"Repairs exceed 60% of revenue",IF(G289&gt;=15,"Age 15+ → replace",IF(OR(G289&gt;=11,L289&gt;0.4),"Watch costs; plan replacement","Healthy — continue operating"))))</f>
        <v>Healthy — continue operating</v>
      </c>
      <c r="P289" s="188" t="str">
        <f aca="false">'Engineering Assumptions'!H36</f>
        <v>TATA YODHA / Mahindra BMT ~Rs. 5.5–7.5M</v>
      </c>
    </row>
    <row r="290" customFormat="false" ht="15" hidden="false" customHeight="true" outlineLevel="0" collapsed="false">
      <c r="A290" s="9" t="n">
        <v>267</v>
      </c>
      <c r="B290" s="184" t="s">
        <v>129</v>
      </c>
      <c r="C290" s="184" t="s">
        <v>2413</v>
      </c>
      <c r="D290" s="184" t="s">
        <v>888</v>
      </c>
      <c r="E290" s="184" t="s">
        <v>889</v>
      </c>
      <c r="F290" s="45" t="s">
        <v>324</v>
      </c>
      <c r="G290" s="9" t="n">
        <v>7</v>
      </c>
      <c r="H290" s="185" t="n">
        <f aca="false">'Engineering Assumptions'!$F$36*0.35*1</f>
        <v>2.275</v>
      </c>
      <c r="I290" s="185" t="n">
        <f aca="false">'Engineering Assumptions'!$F$36*1</f>
        <v>6.5</v>
      </c>
      <c r="J290" s="12" t="n">
        <f aca="false">'Fleet Pricing'!L290</f>
        <v>108000</v>
      </c>
      <c r="K290" s="12" t="n">
        <f aca="false">'Maintenance &amp; Repair'!J290+'Maintenance &amp; Repair'!K290</f>
        <v>18600</v>
      </c>
      <c r="L290" s="186" t="n">
        <f aca="false">IFERROR(K290/J290,0)</f>
        <v>0.172222222222222</v>
      </c>
      <c r="M290" s="9" t="n">
        <f aca="false">MAX(0,'Engineering Assumptions'!$G$36-G290)</f>
        <v>8</v>
      </c>
      <c r="N290" s="187" t="str">
        <f aca="false">IF(G290&gt;=20,"REPLACE",IF(L290&gt;0.6,"REPLACE",IF(G290&gt;=15,"REPLACE",IF(OR(G290&gt;=11,L290&gt;0.4),"MONITOR","KEEP"))))</f>
        <v>KEEP</v>
      </c>
      <c r="O290" s="188" t="str">
        <f aca="false">IF(G290&gt;=20,"End of life (age &gt; 20)",IF(L290&gt;0.6,"Repairs exceed 60% of revenue",IF(G290&gt;=15,"Age 15+ → replace",IF(OR(G290&gt;=11,L290&gt;0.4),"Watch costs; plan replacement","Healthy — continue operating"))))</f>
        <v>Healthy — continue operating</v>
      </c>
      <c r="P290" s="188" t="str">
        <f aca="false">'Engineering Assumptions'!H36</f>
        <v>TATA YODHA / Mahindra BMT ~Rs. 5.5–7.5M</v>
      </c>
    </row>
    <row r="291" customFormat="false" ht="15" hidden="false" customHeight="true" outlineLevel="0" collapsed="false">
      <c r="A291" s="9" t="n">
        <v>268</v>
      </c>
      <c r="B291" s="184" t="s">
        <v>129</v>
      </c>
      <c r="C291" s="184" t="s">
        <v>2413</v>
      </c>
      <c r="D291" s="184" t="s">
        <v>890</v>
      </c>
      <c r="E291" s="184" t="s">
        <v>891</v>
      </c>
      <c r="F291" s="45" t="s">
        <v>324</v>
      </c>
      <c r="G291" s="9" t="n">
        <v>7</v>
      </c>
      <c r="H291" s="185" t="n">
        <f aca="false">'Engineering Assumptions'!$F$36*0.35*1</f>
        <v>2.275</v>
      </c>
      <c r="I291" s="185" t="n">
        <f aca="false">'Engineering Assumptions'!$F$36*1</f>
        <v>6.5</v>
      </c>
      <c r="J291" s="12" t="n">
        <f aca="false">'Fleet Pricing'!L291</f>
        <v>108000</v>
      </c>
      <c r="K291" s="12" t="n">
        <f aca="false">'Maintenance &amp; Repair'!J291+'Maintenance &amp; Repair'!K291</f>
        <v>18600</v>
      </c>
      <c r="L291" s="186" t="n">
        <f aca="false">IFERROR(K291/J291,0)</f>
        <v>0.172222222222222</v>
      </c>
      <c r="M291" s="9" t="n">
        <f aca="false">MAX(0,'Engineering Assumptions'!$G$36-G291)</f>
        <v>8</v>
      </c>
      <c r="N291" s="187" t="str">
        <f aca="false">IF(G291&gt;=20,"REPLACE",IF(L291&gt;0.6,"REPLACE",IF(G291&gt;=15,"REPLACE",IF(OR(G291&gt;=11,L291&gt;0.4),"MONITOR","KEEP"))))</f>
        <v>KEEP</v>
      </c>
      <c r="O291" s="188" t="str">
        <f aca="false">IF(G291&gt;=20,"End of life (age &gt; 20)",IF(L291&gt;0.6,"Repairs exceed 60% of revenue",IF(G291&gt;=15,"Age 15+ → replace",IF(OR(G291&gt;=11,L291&gt;0.4),"Watch costs; plan replacement","Healthy — continue operating"))))</f>
        <v>Healthy — continue operating</v>
      </c>
      <c r="P291" s="188" t="str">
        <f aca="false">'Engineering Assumptions'!H36</f>
        <v>TATA YODHA / Mahindra BMT ~Rs. 5.5–7.5M</v>
      </c>
    </row>
    <row r="292" customFormat="false" ht="15" hidden="false" customHeight="true" outlineLevel="0" collapsed="false">
      <c r="A292" s="9" t="n">
        <v>269</v>
      </c>
      <c r="B292" s="184" t="s">
        <v>129</v>
      </c>
      <c r="C292" s="184" t="s">
        <v>2414</v>
      </c>
      <c r="D292" s="184" t="s">
        <v>892</v>
      </c>
      <c r="E292" s="184" t="s">
        <v>894</v>
      </c>
      <c r="F292" s="45" t="s">
        <v>324</v>
      </c>
      <c r="G292" s="9" t="n">
        <v>7</v>
      </c>
      <c r="H292" s="185" t="n">
        <f aca="false">'Engineering Assumptions'!$F$36*0.35*1</f>
        <v>2.275</v>
      </c>
      <c r="I292" s="185" t="n">
        <f aca="false">'Engineering Assumptions'!$F$36*1</f>
        <v>6.5</v>
      </c>
      <c r="J292" s="12" t="n">
        <f aca="false">'Fleet Pricing'!L292</f>
        <v>108000</v>
      </c>
      <c r="K292" s="12" t="n">
        <f aca="false">'Maintenance &amp; Repair'!J292+'Maintenance &amp; Repair'!K292</f>
        <v>18600</v>
      </c>
      <c r="L292" s="186" t="n">
        <f aca="false">IFERROR(K292/J292,0)</f>
        <v>0.172222222222222</v>
      </c>
      <c r="M292" s="9" t="n">
        <f aca="false">MAX(0,'Engineering Assumptions'!$G$36-G292)</f>
        <v>8</v>
      </c>
      <c r="N292" s="187" t="str">
        <f aca="false">IF(G292&gt;=20,"REPLACE",IF(L292&gt;0.6,"REPLACE",IF(G292&gt;=15,"REPLACE",IF(OR(G292&gt;=11,L292&gt;0.4),"MONITOR","KEEP"))))</f>
        <v>KEEP</v>
      </c>
      <c r="O292" s="188" t="str">
        <f aca="false">IF(G292&gt;=20,"End of life (age &gt; 20)",IF(L292&gt;0.6,"Repairs exceed 60% of revenue",IF(G292&gt;=15,"Age 15+ → replace",IF(OR(G292&gt;=11,L292&gt;0.4),"Watch costs; plan replacement","Healthy — continue operating"))))</f>
        <v>Healthy — continue operating</v>
      </c>
      <c r="P292" s="188" t="str">
        <f aca="false">'Engineering Assumptions'!H36</f>
        <v>TATA YODHA / Mahindra BMT ~Rs. 5.5–7.5M</v>
      </c>
    </row>
    <row r="293" customFormat="false" ht="15" hidden="false" customHeight="true" outlineLevel="0" collapsed="false">
      <c r="A293" s="9" t="n">
        <v>270</v>
      </c>
      <c r="B293" s="184" t="s">
        <v>129</v>
      </c>
      <c r="C293" s="184" t="s">
        <v>2415</v>
      </c>
      <c r="D293" s="184" t="s">
        <v>895</v>
      </c>
      <c r="E293" s="184" t="s">
        <v>897</v>
      </c>
      <c r="F293" s="45" t="s">
        <v>374</v>
      </c>
      <c r="G293" s="9" t="n">
        <v>12</v>
      </c>
      <c r="H293" s="185" t="n">
        <f aca="false">'Engineering Assumptions'!$F$36*0.22*1</f>
        <v>1.43</v>
      </c>
      <c r="I293" s="185" t="n">
        <f aca="false">'Engineering Assumptions'!$F$36*1</f>
        <v>6.5</v>
      </c>
      <c r="J293" s="12" t="n">
        <f aca="false">'Fleet Pricing'!L293</f>
        <v>96000</v>
      </c>
      <c r="K293" s="12" t="n">
        <f aca="false">'Maintenance &amp; Repair'!J293+'Maintenance &amp; Repair'!K293</f>
        <v>27600</v>
      </c>
      <c r="L293" s="186" t="n">
        <f aca="false">IFERROR(K293/J293,0)</f>
        <v>0.2875</v>
      </c>
      <c r="M293" s="9" t="n">
        <f aca="false">MAX(0,'Engineering Assumptions'!$G$36-G293)</f>
        <v>3</v>
      </c>
      <c r="N293" s="187" t="str">
        <f aca="false">IF(G293&gt;=20,"REPLACE",IF(L293&gt;0.6,"REPLACE",IF(G293&gt;=15,"REPLACE",IF(OR(G293&gt;=11,L293&gt;0.4),"MONITOR","KEEP"))))</f>
        <v>MONITOR</v>
      </c>
      <c r="O293" s="188" t="str">
        <f aca="false">IF(G293&gt;=20,"End of life (age &gt; 20)",IF(L293&gt;0.6,"Repairs exceed 60% of revenue",IF(G293&gt;=15,"Age 15+ → replace",IF(OR(G293&gt;=11,L293&gt;0.4),"Watch costs; plan replacement","Healthy — continue operating"))))</f>
        <v>Watch costs; plan replacement</v>
      </c>
      <c r="P293" s="188" t="str">
        <f aca="false">'Engineering Assumptions'!H36</f>
        <v>TATA YODHA / Mahindra BMT ~Rs. 5.5–7.5M</v>
      </c>
    </row>
    <row r="294" customFormat="false" ht="15" hidden="false" customHeight="true" outlineLevel="0" collapsed="false">
      <c r="A294" s="9" t="n">
        <v>271</v>
      </c>
      <c r="B294" s="184" t="s">
        <v>129</v>
      </c>
      <c r="C294" s="184" t="s">
        <v>2416</v>
      </c>
      <c r="D294" s="184" t="s">
        <v>899</v>
      </c>
      <c r="E294" s="184" t="s">
        <v>901</v>
      </c>
      <c r="F294" s="45" t="s">
        <v>380</v>
      </c>
      <c r="G294" s="9" t="n">
        <v>13</v>
      </c>
      <c r="H294" s="185" t="n">
        <f aca="false">'Engineering Assumptions'!$F$36*0.12*1</f>
        <v>0.78</v>
      </c>
      <c r="I294" s="185" t="n">
        <f aca="false">'Engineering Assumptions'!$F$36*1</f>
        <v>6.5</v>
      </c>
      <c r="J294" s="12" t="n">
        <f aca="false">'Fleet Pricing'!L294</f>
        <v>96000</v>
      </c>
      <c r="K294" s="12" t="n">
        <f aca="false">'Maintenance &amp; Repair'!J294+'Maintenance &amp; Repair'!K294</f>
        <v>27600</v>
      </c>
      <c r="L294" s="186" t="n">
        <f aca="false">IFERROR(K294/J294,0)</f>
        <v>0.2875</v>
      </c>
      <c r="M294" s="9" t="n">
        <f aca="false">MAX(0,'Engineering Assumptions'!$G$36-G294)</f>
        <v>2</v>
      </c>
      <c r="N294" s="187" t="str">
        <f aca="false">IF(G294&gt;=20,"REPLACE",IF(L294&gt;0.6,"REPLACE",IF(G294&gt;=15,"REPLACE",IF(OR(G294&gt;=11,L294&gt;0.4),"MONITOR","KEEP"))))</f>
        <v>MONITOR</v>
      </c>
      <c r="O294" s="188" t="str">
        <f aca="false">IF(G294&gt;=20,"End of life (age &gt; 20)",IF(L294&gt;0.6,"Repairs exceed 60% of revenue",IF(G294&gt;=15,"Age 15+ → replace",IF(OR(G294&gt;=11,L294&gt;0.4),"Watch costs; plan replacement","Healthy — continue operating"))))</f>
        <v>Watch costs; plan replacement</v>
      </c>
      <c r="P294" s="188" t="str">
        <f aca="false">'Engineering Assumptions'!H36</f>
        <v>TATA YODHA / Mahindra BMT ~Rs. 5.5–7.5M</v>
      </c>
    </row>
    <row r="295" customFormat="false" ht="15" hidden="false" customHeight="true" outlineLevel="0" collapsed="false">
      <c r="A295" s="9" t="n">
        <v>272</v>
      </c>
      <c r="B295" s="184" t="s">
        <v>129</v>
      </c>
      <c r="C295" s="184" t="s">
        <v>2417</v>
      </c>
      <c r="D295" s="184" t="s">
        <v>902</v>
      </c>
      <c r="E295" s="184" t="s">
        <v>904</v>
      </c>
      <c r="F295" s="45" t="s">
        <v>310</v>
      </c>
      <c r="G295" s="9" t="n">
        <v>14</v>
      </c>
      <c r="H295" s="185" t="n">
        <f aca="false">'Engineering Assumptions'!$F$36*0.12*1</f>
        <v>0.78</v>
      </c>
      <c r="I295" s="185" t="n">
        <f aca="false">'Engineering Assumptions'!$F$36*1</f>
        <v>6.5</v>
      </c>
      <c r="J295" s="12" t="n">
        <f aca="false">'Fleet Pricing'!L295</f>
        <v>96000</v>
      </c>
      <c r="K295" s="12" t="n">
        <f aca="false">'Maintenance &amp; Repair'!J295+'Maintenance &amp; Repair'!K295</f>
        <v>27600</v>
      </c>
      <c r="L295" s="186" t="n">
        <f aca="false">IFERROR(K295/J295,0)</f>
        <v>0.2875</v>
      </c>
      <c r="M295" s="9" t="n">
        <f aca="false">MAX(0,'Engineering Assumptions'!$G$36-G295)</f>
        <v>1</v>
      </c>
      <c r="N295" s="187" t="str">
        <f aca="false">IF(G295&gt;=20,"REPLACE",IF(L295&gt;0.6,"REPLACE",IF(G295&gt;=15,"REPLACE",IF(OR(G295&gt;=11,L295&gt;0.4),"MONITOR","KEEP"))))</f>
        <v>MONITOR</v>
      </c>
      <c r="O295" s="188" t="str">
        <f aca="false">IF(G295&gt;=20,"End of life (age &gt; 20)",IF(L295&gt;0.6,"Repairs exceed 60% of revenue",IF(G295&gt;=15,"Age 15+ → replace",IF(OR(G295&gt;=11,L295&gt;0.4),"Watch costs; plan replacement","Healthy — continue operating"))))</f>
        <v>Watch costs; plan replacement</v>
      </c>
      <c r="P295" s="188" t="str">
        <f aca="false">'Engineering Assumptions'!H36</f>
        <v>TATA YODHA / Mahindra BMT ~Rs. 5.5–7.5M</v>
      </c>
    </row>
    <row r="296" customFormat="false" ht="15" hidden="false" customHeight="true" outlineLevel="0" collapsed="false">
      <c r="A296" s="9" t="n">
        <v>273</v>
      </c>
      <c r="B296" s="184" t="s">
        <v>129</v>
      </c>
      <c r="C296" s="184" t="s">
        <v>2417</v>
      </c>
      <c r="D296" s="184" t="s">
        <v>915</v>
      </c>
      <c r="E296" s="184" t="s">
        <v>916</v>
      </c>
      <c r="F296" s="45" t="s">
        <v>310</v>
      </c>
      <c r="G296" s="9" t="n">
        <v>14</v>
      </c>
      <c r="H296" s="185" t="n">
        <f aca="false">'Engineering Assumptions'!$F$36*0.12*1</f>
        <v>0.78</v>
      </c>
      <c r="I296" s="185" t="n">
        <f aca="false">'Engineering Assumptions'!$F$36*1</f>
        <v>6.5</v>
      </c>
      <c r="J296" s="12" t="n">
        <f aca="false">'Fleet Pricing'!L296</f>
        <v>96000</v>
      </c>
      <c r="K296" s="12" t="n">
        <f aca="false">'Maintenance &amp; Repair'!J296+'Maintenance &amp; Repair'!K296</f>
        <v>27600</v>
      </c>
      <c r="L296" s="186" t="n">
        <f aca="false">IFERROR(K296/J296,0)</f>
        <v>0.2875</v>
      </c>
      <c r="M296" s="9" t="n">
        <f aca="false">MAX(0,'Engineering Assumptions'!$G$36-G296)</f>
        <v>1</v>
      </c>
      <c r="N296" s="187" t="str">
        <f aca="false">IF(G296&gt;=20,"REPLACE",IF(L296&gt;0.6,"REPLACE",IF(G296&gt;=15,"REPLACE",IF(OR(G296&gt;=11,L296&gt;0.4),"MONITOR","KEEP"))))</f>
        <v>MONITOR</v>
      </c>
      <c r="O296" s="188" t="str">
        <f aca="false">IF(G296&gt;=20,"End of life (age &gt; 20)",IF(L296&gt;0.6,"Repairs exceed 60% of revenue",IF(G296&gt;=15,"Age 15+ → replace",IF(OR(G296&gt;=11,L296&gt;0.4),"Watch costs; plan replacement","Healthy — continue operating"))))</f>
        <v>Watch costs; plan replacement</v>
      </c>
      <c r="P296" s="188" t="str">
        <f aca="false">'Engineering Assumptions'!H36</f>
        <v>TATA YODHA / Mahindra BMT ~Rs. 5.5–7.5M</v>
      </c>
    </row>
    <row r="297" customFormat="false" ht="15" hidden="false" customHeight="true" outlineLevel="0" collapsed="false">
      <c r="A297" s="9" t="n">
        <v>274</v>
      </c>
      <c r="B297" s="184" t="s">
        <v>129</v>
      </c>
      <c r="C297" s="184" t="s">
        <v>2418</v>
      </c>
      <c r="D297" s="184" t="s">
        <v>907</v>
      </c>
      <c r="E297" s="184" t="s">
        <v>909</v>
      </c>
      <c r="F297" s="45" t="s">
        <v>748</v>
      </c>
      <c r="G297" s="9" t="n">
        <v>15</v>
      </c>
      <c r="H297" s="185" t="n">
        <f aca="false">'Engineering Assumptions'!$F$36*0.12*1</f>
        <v>0.78</v>
      </c>
      <c r="I297" s="185" t="n">
        <f aca="false">'Engineering Assumptions'!$F$36*1</f>
        <v>6.5</v>
      </c>
      <c r="J297" s="12" t="n">
        <f aca="false">'Fleet Pricing'!L297</f>
        <v>96000</v>
      </c>
      <c r="K297" s="12" t="n">
        <f aca="false">'Maintenance &amp; Repair'!J297+'Maintenance &amp; Repair'!K297</f>
        <v>27600</v>
      </c>
      <c r="L297" s="186" t="n">
        <f aca="false">IFERROR(K297/J297,0)</f>
        <v>0.2875</v>
      </c>
      <c r="M297" s="9" t="n">
        <f aca="false">MAX(0,'Engineering Assumptions'!$G$36-G297)</f>
        <v>0</v>
      </c>
      <c r="N297" s="187" t="str">
        <f aca="false">IF(G297&gt;=20,"REPLACE",IF(L297&gt;0.6,"REPLACE",IF(G297&gt;=15,"REPLACE",IF(OR(G297&gt;=11,L297&gt;0.4),"MONITOR","KEEP"))))</f>
        <v>REPLACE</v>
      </c>
      <c r="O297" s="188" t="str">
        <f aca="false">IF(G297&gt;=20,"End of life (age &gt; 20)",IF(L297&gt;0.6,"Repairs exceed 60% of revenue",IF(G297&gt;=15,"Age 15+ → replace",IF(OR(G297&gt;=11,L297&gt;0.4),"Watch costs; plan replacement","Healthy — continue operating"))))</f>
        <v>Age 15+ → replace</v>
      </c>
      <c r="P297" s="188" t="str">
        <f aca="false">'Engineering Assumptions'!H36</f>
        <v>TATA YODHA / Mahindra BMT ~Rs. 5.5–7.5M</v>
      </c>
    </row>
    <row r="298" customFormat="false" ht="15" hidden="false" customHeight="true" outlineLevel="0" collapsed="false">
      <c r="A298" s="9" t="n">
        <v>275</v>
      </c>
      <c r="B298" s="184" t="s">
        <v>129</v>
      </c>
      <c r="C298" s="184" t="s">
        <v>2418</v>
      </c>
      <c r="D298" s="184" t="s">
        <v>905</v>
      </c>
      <c r="E298" s="184" t="s">
        <v>906</v>
      </c>
      <c r="F298" s="45" t="s">
        <v>748</v>
      </c>
      <c r="G298" s="9" t="n">
        <v>15</v>
      </c>
      <c r="H298" s="185" t="n">
        <f aca="false">'Engineering Assumptions'!$F$36*0.12*1</f>
        <v>0.78</v>
      </c>
      <c r="I298" s="185" t="n">
        <f aca="false">'Engineering Assumptions'!$F$36*1</f>
        <v>6.5</v>
      </c>
      <c r="J298" s="12" t="n">
        <f aca="false">'Fleet Pricing'!L298</f>
        <v>96000</v>
      </c>
      <c r="K298" s="12" t="n">
        <f aca="false">'Maintenance &amp; Repair'!J298+'Maintenance &amp; Repair'!K298</f>
        <v>27600</v>
      </c>
      <c r="L298" s="186" t="n">
        <f aca="false">IFERROR(K298/J298,0)</f>
        <v>0.2875</v>
      </c>
      <c r="M298" s="9" t="n">
        <f aca="false">MAX(0,'Engineering Assumptions'!$G$36-G298)</f>
        <v>0</v>
      </c>
      <c r="N298" s="187" t="str">
        <f aca="false">IF(G298&gt;=20,"REPLACE",IF(L298&gt;0.6,"REPLACE",IF(G298&gt;=15,"REPLACE",IF(OR(G298&gt;=11,L298&gt;0.4),"MONITOR","KEEP"))))</f>
        <v>REPLACE</v>
      </c>
      <c r="O298" s="188" t="str">
        <f aca="false">IF(G298&gt;=20,"End of life (age &gt; 20)",IF(L298&gt;0.6,"Repairs exceed 60% of revenue",IF(G298&gt;=15,"Age 15+ → replace",IF(OR(G298&gt;=11,L298&gt;0.4),"Watch costs; plan replacement","Healthy — continue operating"))))</f>
        <v>Age 15+ → replace</v>
      </c>
      <c r="P298" s="188" t="str">
        <f aca="false">'Engineering Assumptions'!H36</f>
        <v>TATA YODHA / Mahindra BMT ~Rs. 5.5–7.5M</v>
      </c>
    </row>
    <row r="299" customFormat="false" ht="15" hidden="false" customHeight="true" outlineLevel="0" collapsed="false">
      <c r="A299" s="9" t="n">
        <v>276</v>
      </c>
      <c r="B299" s="184" t="s">
        <v>129</v>
      </c>
      <c r="C299" s="184" t="s">
        <v>2419</v>
      </c>
      <c r="D299" s="184" t="s">
        <v>912</v>
      </c>
      <c r="E299" s="184" t="s">
        <v>914</v>
      </c>
      <c r="F299" s="45" t="s">
        <v>348</v>
      </c>
      <c r="G299" s="9" t="n">
        <v>20</v>
      </c>
      <c r="H299" s="185" t="n">
        <f aca="false">'Engineering Assumptions'!$F$36*0.06*1</f>
        <v>0.39</v>
      </c>
      <c r="I299" s="185" t="n">
        <f aca="false">'Engineering Assumptions'!$F$36*1</f>
        <v>6.5</v>
      </c>
      <c r="J299" s="12" t="n">
        <f aca="false">'Fleet Pricing'!L299</f>
        <v>84500</v>
      </c>
      <c r="K299" s="12" t="n">
        <f aca="false">'Maintenance &amp; Repair'!J299+'Maintenance &amp; Repair'!K299</f>
        <v>39060</v>
      </c>
      <c r="L299" s="186" t="n">
        <f aca="false">IFERROR(K299/J299,0)</f>
        <v>0.462248520710059</v>
      </c>
      <c r="M299" s="9" t="n">
        <f aca="false">MAX(0,'Engineering Assumptions'!$G$36-G299)</f>
        <v>0</v>
      </c>
      <c r="N299" s="187" t="str">
        <f aca="false">IF(G299&gt;=20,"REPLACE",IF(L299&gt;0.6,"REPLACE",IF(G299&gt;=15,"REPLACE",IF(OR(G299&gt;=11,L299&gt;0.4),"MONITOR","KEEP"))))</f>
        <v>REPLACE</v>
      </c>
      <c r="O299" s="188" t="str">
        <f aca="false">IF(G299&gt;=20,"End of life (age &gt; 20)",IF(L299&gt;0.6,"Repairs exceed 60% of revenue",IF(G299&gt;=15,"Age 15+ → replace",IF(OR(G299&gt;=11,L299&gt;0.4),"Watch costs; plan replacement","Healthy — continue operating"))))</f>
        <v>End of life (age &gt; 20)</v>
      </c>
      <c r="P299" s="188" t="str">
        <f aca="false">'Engineering Assumptions'!H36</f>
        <v>TATA YODHA / Mahindra BMT ~Rs. 5.5–7.5M</v>
      </c>
    </row>
    <row r="300" customFormat="false" ht="15" hidden="false" customHeight="true" outlineLevel="0" collapsed="false">
      <c r="A300" s="9" t="n">
        <v>277</v>
      </c>
      <c r="B300" s="184" t="s">
        <v>129</v>
      </c>
      <c r="C300" s="184" t="s">
        <v>2420</v>
      </c>
      <c r="D300" s="184" t="s">
        <v>910</v>
      </c>
      <c r="E300" s="184" t="s">
        <v>911</v>
      </c>
      <c r="F300" s="45" t="s">
        <v>472</v>
      </c>
      <c r="G300" s="9" t="n">
        <v>30</v>
      </c>
      <c r="H300" s="185" t="n">
        <f aca="false">'Engineering Assumptions'!$F$36*0.03*1</f>
        <v>0.195</v>
      </c>
      <c r="I300" s="185" t="n">
        <f aca="false">'Engineering Assumptions'!$F$36*1</f>
        <v>6.5</v>
      </c>
      <c r="J300" s="12" t="n">
        <f aca="false">'Fleet Pricing'!L300</f>
        <v>68500</v>
      </c>
      <c r="K300" s="12" t="n">
        <f aca="false">'Maintenance &amp; Repair'!J300+'Maintenance &amp; Repair'!K300</f>
        <v>52560</v>
      </c>
      <c r="L300" s="186" t="n">
        <f aca="false">IFERROR(K300/J300,0)</f>
        <v>0.767299270072993</v>
      </c>
      <c r="M300" s="9" t="n">
        <f aca="false">MAX(0,'Engineering Assumptions'!$G$36-G300)</f>
        <v>0</v>
      </c>
      <c r="N300" s="187" t="str">
        <f aca="false">IF(G300&gt;=20,"REPLACE",IF(L300&gt;0.6,"REPLACE",IF(G300&gt;=15,"REPLACE",IF(OR(G300&gt;=11,L300&gt;0.4),"MONITOR","KEEP"))))</f>
        <v>REPLACE</v>
      </c>
      <c r="O300" s="188" t="str">
        <f aca="false">IF(G300&gt;=20,"End of life (age &gt; 20)",IF(L300&gt;0.6,"Repairs exceed 60% of revenue",IF(G300&gt;=15,"Age 15+ → replace",IF(OR(G300&gt;=11,L300&gt;0.4),"Watch costs; plan replacement","Healthy — continue operating"))))</f>
        <v>End of life (age &gt; 20)</v>
      </c>
      <c r="P300" s="188" t="str">
        <f aca="false">'Engineering Assumptions'!H36</f>
        <v>TATA YODHA / Mahindra BMT ~Rs. 5.5–7.5M</v>
      </c>
    </row>
    <row r="301" customFormat="false" ht="15" hidden="false" customHeight="true" outlineLevel="0" collapsed="false">
      <c r="A301" s="42" t="s">
        <v>917</v>
      </c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</row>
    <row r="302" customFormat="false" ht="15" hidden="false" customHeight="true" outlineLevel="0" collapsed="false">
      <c r="A302" s="9" t="n">
        <v>278</v>
      </c>
      <c r="B302" s="184" t="s">
        <v>131</v>
      </c>
      <c r="C302" s="184" t="s">
        <v>2421</v>
      </c>
      <c r="D302" s="184" t="s">
        <v>918</v>
      </c>
      <c r="E302" s="184" t="s">
        <v>920</v>
      </c>
      <c r="F302" s="45" t="s">
        <v>297</v>
      </c>
      <c r="G302" s="9" t="n">
        <v>5</v>
      </c>
      <c r="H302" s="185" t="n">
        <f aca="false">'Engineering Assumptions'!$F$37*0.5*1</f>
        <v>8</v>
      </c>
      <c r="I302" s="185" t="n">
        <f aca="false">'Engineering Assumptions'!$F$37*1</f>
        <v>16</v>
      </c>
      <c r="J302" s="12" t="n">
        <f aca="false">'Fleet Pricing'!L302</f>
        <v>331500</v>
      </c>
      <c r="K302" s="12" t="n">
        <f aca="false">'Maintenance &amp; Repair'!J302+'Maintenance &amp; Repair'!K302</f>
        <v>38760</v>
      </c>
      <c r="L302" s="186" t="n">
        <f aca="false">IFERROR(K302/J302,0)</f>
        <v>0.116923076923077</v>
      </c>
      <c r="M302" s="9" t="n">
        <f aca="false">MAX(0,'Engineering Assumptions'!$G$37-G302)</f>
        <v>10</v>
      </c>
      <c r="N302" s="187" t="str">
        <f aca="false">IF(G302&gt;=20,"REPLACE",IF(L302&gt;0.6,"REPLACE",IF(G302&gt;=15,"REPLACE",IF(OR(G302&gt;=11,L302&gt;0.4),"MONITOR","KEEP"))))</f>
        <v>KEEP</v>
      </c>
      <c r="O302" s="188" t="str">
        <f aca="false">IF(G302&gt;=20,"End of life (age &gt; 20)",IF(L302&gt;0.6,"Repairs exceed 60% of revenue",IF(G302&gt;=15,"Age 15+ → replace",IF(OR(G302&gt;=11,L302&gt;0.4),"Watch costs; plan replacement","Healthy — continue operating"))))</f>
        <v>Healthy — continue operating</v>
      </c>
      <c r="P302" s="188" t="str">
        <f aca="false">'Engineering Assumptions'!H37</f>
        <v>TATA LPK1618 tipper ~Rs. 14–18M</v>
      </c>
    </row>
    <row r="303" customFormat="false" ht="15" hidden="false" customHeight="true" outlineLevel="0" collapsed="false">
      <c r="A303" s="9" t="n">
        <v>279</v>
      </c>
      <c r="B303" s="184" t="s">
        <v>131</v>
      </c>
      <c r="C303" s="184" t="s">
        <v>2421</v>
      </c>
      <c r="D303" s="184" t="s">
        <v>981</v>
      </c>
      <c r="E303" s="184" t="s">
        <v>982</v>
      </c>
      <c r="F303" s="45" t="s">
        <v>297</v>
      </c>
      <c r="G303" s="9" t="n">
        <v>5</v>
      </c>
      <c r="H303" s="185" t="n">
        <f aca="false">'Engineering Assumptions'!$F$37*0.5*1</f>
        <v>8</v>
      </c>
      <c r="I303" s="185" t="n">
        <f aca="false">'Engineering Assumptions'!$F$37*1</f>
        <v>16</v>
      </c>
      <c r="J303" s="12" t="n">
        <f aca="false">'Fleet Pricing'!L303</f>
        <v>331500</v>
      </c>
      <c r="K303" s="12" t="n">
        <f aca="false">'Maintenance &amp; Repair'!J303+'Maintenance &amp; Repair'!K303</f>
        <v>38760</v>
      </c>
      <c r="L303" s="186" t="n">
        <f aca="false">IFERROR(K303/J303,0)</f>
        <v>0.116923076923077</v>
      </c>
      <c r="M303" s="9" t="n">
        <f aca="false">MAX(0,'Engineering Assumptions'!$G$37-G303)</f>
        <v>10</v>
      </c>
      <c r="N303" s="187" t="str">
        <f aca="false">IF(G303&gt;=20,"REPLACE",IF(L303&gt;0.6,"REPLACE",IF(G303&gt;=15,"REPLACE",IF(OR(G303&gt;=11,L303&gt;0.4),"MONITOR","KEEP"))))</f>
        <v>KEEP</v>
      </c>
      <c r="O303" s="188" t="str">
        <f aca="false">IF(G303&gt;=20,"End of life (age &gt; 20)",IF(L303&gt;0.6,"Repairs exceed 60% of revenue",IF(G303&gt;=15,"Age 15+ → replace",IF(OR(G303&gt;=11,L303&gt;0.4),"Watch costs; plan replacement","Healthy — continue operating"))))</f>
        <v>Healthy — continue operating</v>
      </c>
      <c r="P303" s="188" t="str">
        <f aca="false">'Engineering Assumptions'!H37</f>
        <v>TATA LPK1618 tipper ~Rs. 14–18M</v>
      </c>
    </row>
    <row r="304" customFormat="false" ht="15" hidden="false" customHeight="true" outlineLevel="0" collapsed="false">
      <c r="A304" s="9" t="n">
        <v>280</v>
      </c>
      <c r="B304" s="184" t="s">
        <v>131</v>
      </c>
      <c r="C304" s="184" t="s">
        <v>2421</v>
      </c>
      <c r="D304" s="184" t="s">
        <v>988</v>
      </c>
      <c r="E304" s="184" t="s">
        <v>989</v>
      </c>
      <c r="F304" s="45" t="s">
        <v>297</v>
      </c>
      <c r="G304" s="9" t="n">
        <v>5</v>
      </c>
      <c r="H304" s="185" t="n">
        <f aca="false">'Engineering Assumptions'!$F$37*0.5*1</f>
        <v>8</v>
      </c>
      <c r="I304" s="185" t="n">
        <f aca="false">'Engineering Assumptions'!$F$37*1</f>
        <v>16</v>
      </c>
      <c r="J304" s="12" t="n">
        <f aca="false">'Fleet Pricing'!L304</f>
        <v>331500</v>
      </c>
      <c r="K304" s="12" t="n">
        <f aca="false">'Maintenance &amp; Repair'!J304+'Maintenance &amp; Repair'!K304</f>
        <v>38760</v>
      </c>
      <c r="L304" s="186" t="n">
        <f aca="false">IFERROR(K304/J304,0)</f>
        <v>0.116923076923077</v>
      </c>
      <c r="M304" s="9" t="n">
        <f aca="false">MAX(0,'Engineering Assumptions'!$G$37-G304)</f>
        <v>10</v>
      </c>
      <c r="N304" s="187" t="str">
        <f aca="false">IF(G304&gt;=20,"REPLACE",IF(L304&gt;0.6,"REPLACE",IF(G304&gt;=15,"REPLACE",IF(OR(G304&gt;=11,L304&gt;0.4),"MONITOR","KEEP"))))</f>
        <v>KEEP</v>
      </c>
      <c r="O304" s="188" t="str">
        <f aca="false">IF(G304&gt;=20,"End of life (age &gt; 20)",IF(L304&gt;0.6,"Repairs exceed 60% of revenue",IF(G304&gt;=15,"Age 15+ → replace",IF(OR(G304&gt;=11,L304&gt;0.4),"Watch costs; plan replacement","Healthy — continue operating"))))</f>
        <v>Healthy — continue operating</v>
      </c>
      <c r="P304" s="188" t="str">
        <f aca="false">'Engineering Assumptions'!H37</f>
        <v>TATA LPK1618 tipper ~Rs. 14–18M</v>
      </c>
    </row>
    <row r="305" customFormat="false" ht="15" hidden="false" customHeight="true" outlineLevel="0" collapsed="false">
      <c r="A305" s="9" t="n">
        <v>281</v>
      </c>
      <c r="B305" s="184" t="s">
        <v>131</v>
      </c>
      <c r="C305" s="184" t="s">
        <v>2421</v>
      </c>
      <c r="D305" s="184" t="s">
        <v>990</v>
      </c>
      <c r="E305" s="184" t="s">
        <v>991</v>
      </c>
      <c r="F305" s="45" t="s">
        <v>297</v>
      </c>
      <c r="G305" s="9" t="n">
        <v>5</v>
      </c>
      <c r="H305" s="185" t="n">
        <f aca="false">'Engineering Assumptions'!$F$37*0.5*1</f>
        <v>8</v>
      </c>
      <c r="I305" s="185" t="n">
        <f aca="false">'Engineering Assumptions'!$F$37*1</f>
        <v>16</v>
      </c>
      <c r="J305" s="12" t="n">
        <f aca="false">'Fleet Pricing'!L305</f>
        <v>331500</v>
      </c>
      <c r="K305" s="12" t="n">
        <f aca="false">'Maintenance &amp; Repair'!J305+'Maintenance &amp; Repair'!K305</f>
        <v>38760</v>
      </c>
      <c r="L305" s="186" t="n">
        <f aca="false">IFERROR(K305/J305,0)</f>
        <v>0.116923076923077</v>
      </c>
      <c r="M305" s="9" t="n">
        <f aca="false">MAX(0,'Engineering Assumptions'!$G$37-G305)</f>
        <v>10</v>
      </c>
      <c r="N305" s="187" t="str">
        <f aca="false">IF(G305&gt;=20,"REPLACE",IF(L305&gt;0.6,"REPLACE",IF(G305&gt;=15,"REPLACE",IF(OR(G305&gt;=11,L305&gt;0.4),"MONITOR","KEEP"))))</f>
        <v>KEEP</v>
      </c>
      <c r="O305" s="188" t="str">
        <f aca="false">IF(G305&gt;=20,"End of life (age &gt; 20)",IF(L305&gt;0.6,"Repairs exceed 60% of revenue",IF(G305&gt;=15,"Age 15+ → replace",IF(OR(G305&gt;=11,L305&gt;0.4),"Watch costs; plan replacement","Healthy — continue operating"))))</f>
        <v>Healthy — continue operating</v>
      </c>
      <c r="P305" s="188" t="str">
        <f aca="false">'Engineering Assumptions'!H37</f>
        <v>TATA LPK1618 tipper ~Rs. 14–18M</v>
      </c>
    </row>
    <row r="306" customFormat="false" ht="15" hidden="false" customHeight="true" outlineLevel="0" collapsed="false">
      <c r="A306" s="9" t="n">
        <v>282</v>
      </c>
      <c r="B306" s="184" t="s">
        <v>131</v>
      </c>
      <c r="C306" s="184" t="s">
        <v>2421</v>
      </c>
      <c r="D306" s="184" t="s">
        <v>992</v>
      </c>
      <c r="E306" s="184" t="s">
        <v>993</v>
      </c>
      <c r="F306" s="45" t="s">
        <v>297</v>
      </c>
      <c r="G306" s="9" t="n">
        <v>5</v>
      </c>
      <c r="H306" s="185" t="n">
        <f aca="false">'Engineering Assumptions'!$F$37*0.5*1</f>
        <v>8</v>
      </c>
      <c r="I306" s="185" t="n">
        <f aca="false">'Engineering Assumptions'!$F$37*1</f>
        <v>16</v>
      </c>
      <c r="J306" s="12" t="n">
        <f aca="false">'Fleet Pricing'!L306</f>
        <v>331500</v>
      </c>
      <c r="K306" s="12" t="n">
        <f aca="false">'Maintenance &amp; Repair'!J306+'Maintenance &amp; Repair'!K306</f>
        <v>38760</v>
      </c>
      <c r="L306" s="186" t="n">
        <f aca="false">IFERROR(K306/J306,0)</f>
        <v>0.116923076923077</v>
      </c>
      <c r="M306" s="9" t="n">
        <f aca="false">MAX(0,'Engineering Assumptions'!$G$37-G306)</f>
        <v>10</v>
      </c>
      <c r="N306" s="187" t="str">
        <f aca="false">IF(G306&gt;=20,"REPLACE",IF(L306&gt;0.6,"REPLACE",IF(G306&gt;=15,"REPLACE",IF(OR(G306&gt;=11,L306&gt;0.4),"MONITOR","KEEP"))))</f>
        <v>KEEP</v>
      </c>
      <c r="O306" s="188" t="str">
        <f aca="false">IF(G306&gt;=20,"End of life (age &gt; 20)",IF(L306&gt;0.6,"Repairs exceed 60% of revenue",IF(G306&gt;=15,"Age 15+ → replace",IF(OR(G306&gt;=11,L306&gt;0.4),"Watch costs; plan replacement","Healthy — continue operating"))))</f>
        <v>Healthy — continue operating</v>
      </c>
      <c r="P306" s="188" t="str">
        <f aca="false">'Engineering Assumptions'!H37</f>
        <v>TATA LPK1618 tipper ~Rs. 14–18M</v>
      </c>
    </row>
    <row r="307" customFormat="false" ht="15" hidden="false" customHeight="true" outlineLevel="0" collapsed="false">
      <c r="A307" s="9" t="n">
        <v>283</v>
      </c>
      <c r="B307" s="184" t="s">
        <v>131</v>
      </c>
      <c r="C307" s="184" t="s">
        <v>2421</v>
      </c>
      <c r="D307" s="184" t="s">
        <v>994</v>
      </c>
      <c r="E307" s="184" t="s">
        <v>995</v>
      </c>
      <c r="F307" s="45" t="s">
        <v>297</v>
      </c>
      <c r="G307" s="9" t="n">
        <v>5</v>
      </c>
      <c r="H307" s="185" t="n">
        <f aca="false">'Engineering Assumptions'!$F$37*0.5*1</f>
        <v>8</v>
      </c>
      <c r="I307" s="185" t="n">
        <f aca="false">'Engineering Assumptions'!$F$37*1</f>
        <v>16</v>
      </c>
      <c r="J307" s="12" t="n">
        <f aca="false">'Fleet Pricing'!L307</f>
        <v>331500</v>
      </c>
      <c r="K307" s="12" t="n">
        <f aca="false">'Maintenance &amp; Repair'!J307+'Maintenance &amp; Repair'!K307</f>
        <v>38760</v>
      </c>
      <c r="L307" s="186" t="n">
        <f aca="false">IFERROR(K307/J307,0)</f>
        <v>0.116923076923077</v>
      </c>
      <c r="M307" s="9" t="n">
        <f aca="false">MAX(0,'Engineering Assumptions'!$G$37-G307)</f>
        <v>10</v>
      </c>
      <c r="N307" s="187" t="str">
        <f aca="false">IF(G307&gt;=20,"REPLACE",IF(L307&gt;0.6,"REPLACE",IF(G307&gt;=15,"REPLACE",IF(OR(G307&gt;=11,L307&gt;0.4),"MONITOR","KEEP"))))</f>
        <v>KEEP</v>
      </c>
      <c r="O307" s="188" t="str">
        <f aca="false">IF(G307&gt;=20,"End of life (age &gt; 20)",IF(L307&gt;0.6,"Repairs exceed 60% of revenue",IF(G307&gt;=15,"Age 15+ → replace",IF(OR(G307&gt;=11,L307&gt;0.4),"Watch costs; plan replacement","Healthy — continue operating"))))</f>
        <v>Healthy — continue operating</v>
      </c>
      <c r="P307" s="188" t="str">
        <f aca="false">'Engineering Assumptions'!H37</f>
        <v>TATA LPK1618 tipper ~Rs. 14–18M</v>
      </c>
    </row>
    <row r="308" customFormat="false" ht="15" hidden="false" customHeight="true" outlineLevel="0" collapsed="false">
      <c r="A308" s="9" t="n">
        <v>284</v>
      </c>
      <c r="B308" s="184" t="s">
        <v>131</v>
      </c>
      <c r="C308" s="184" t="s">
        <v>2421</v>
      </c>
      <c r="D308" s="184" t="s">
        <v>996</v>
      </c>
      <c r="E308" s="184" t="s">
        <v>997</v>
      </c>
      <c r="F308" s="45" t="s">
        <v>297</v>
      </c>
      <c r="G308" s="9" t="n">
        <v>5</v>
      </c>
      <c r="H308" s="185" t="n">
        <f aca="false">'Engineering Assumptions'!$F$37*0.5*1</f>
        <v>8</v>
      </c>
      <c r="I308" s="185" t="n">
        <f aca="false">'Engineering Assumptions'!$F$37*1</f>
        <v>16</v>
      </c>
      <c r="J308" s="12" t="n">
        <f aca="false">'Fleet Pricing'!L308</f>
        <v>331500</v>
      </c>
      <c r="K308" s="12" t="n">
        <f aca="false">'Maintenance &amp; Repair'!J308+'Maintenance &amp; Repair'!K308</f>
        <v>38760</v>
      </c>
      <c r="L308" s="186" t="n">
        <f aca="false">IFERROR(K308/J308,0)</f>
        <v>0.116923076923077</v>
      </c>
      <c r="M308" s="9" t="n">
        <f aca="false">MAX(0,'Engineering Assumptions'!$G$37-G308)</f>
        <v>10</v>
      </c>
      <c r="N308" s="187" t="str">
        <f aca="false">IF(G308&gt;=20,"REPLACE",IF(L308&gt;0.6,"REPLACE",IF(G308&gt;=15,"REPLACE",IF(OR(G308&gt;=11,L308&gt;0.4),"MONITOR","KEEP"))))</f>
        <v>KEEP</v>
      </c>
      <c r="O308" s="188" t="str">
        <f aca="false">IF(G308&gt;=20,"End of life (age &gt; 20)",IF(L308&gt;0.6,"Repairs exceed 60% of revenue",IF(G308&gt;=15,"Age 15+ → replace",IF(OR(G308&gt;=11,L308&gt;0.4),"Watch costs; plan replacement","Healthy — continue operating"))))</f>
        <v>Healthy — continue operating</v>
      </c>
      <c r="P308" s="188" t="str">
        <f aca="false">'Engineering Assumptions'!H37</f>
        <v>TATA LPK1618 tipper ~Rs. 14–18M</v>
      </c>
    </row>
    <row r="309" customFormat="false" ht="15" hidden="false" customHeight="true" outlineLevel="0" collapsed="false">
      <c r="A309" s="9" t="n">
        <v>285</v>
      </c>
      <c r="B309" s="184" t="s">
        <v>131</v>
      </c>
      <c r="C309" s="184" t="s">
        <v>2421</v>
      </c>
      <c r="D309" s="184" t="s">
        <v>998</v>
      </c>
      <c r="E309" s="184" t="s">
        <v>999</v>
      </c>
      <c r="F309" s="45" t="s">
        <v>297</v>
      </c>
      <c r="G309" s="9" t="n">
        <v>5</v>
      </c>
      <c r="H309" s="185" t="n">
        <f aca="false">'Engineering Assumptions'!$F$37*0.5*1</f>
        <v>8</v>
      </c>
      <c r="I309" s="185" t="n">
        <f aca="false">'Engineering Assumptions'!$F$37*1</f>
        <v>16</v>
      </c>
      <c r="J309" s="12" t="n">
        <f aca="false">'Fleet Pricing'!L309</f>
        <v>331500</v>
      </c>
      <c r="K309" s="12" t="n">
        <f aca="false">'Maintenance &amp; Repair'!J309+'Maintenance &amp; Repair'!K309</f>
        <v>38760</v>
      </c>
      <c r="L309" s="186" t="n">
        <f aca="false">IFERROR(K309/J309,0)</f>
        <v>0.116923076923077</v>
      </c>
      <c r="M309" s="9" t="n">
        <f aca="false">MAX(0,'Engineering Assumptions'!$G$37-G309)</f>
        <v>10</v>
      </c>
      <c r="N309" s="187" t="str">
        <f aca="false">IF(G309&gt;=20,"REPLACE",IF(L309&gt;0.6,"REPLACE",IF(G309&gt;=15,"REPLACE",IF(OR(G309&gt;=11,L309&gt;0.4),"MONITOR","KEEP"))))</f>
        <v>KEEP</v>
      </c>
      <c r="O309" s="188" t="str">
        <f aca="false">IF(G309&gt;=20,"End of life (age &gt; 20)",IF(L309&gt;0.6,"Repairs exceed 60% of revenue",IF(G309&gt;=15,"Age 15+ → replace",IF(OR(G309&gt;=11,L309&gt;0.4),"Watch costs; plan replacement","Healthy — continue operating"))))</f>
        <v>Healthy — continue operating</v>
      </c>
      <c r="P309" s="188" t="str">
        <f aca="false">'Engineering Assumptions'!H37</f>
        <v>TATA LPK1618 tipper ~Rs. 14–18M</v>
      </c>
    </row>
    <row r="310" customFormat="false" ht="15" hidden="false" customHeight="true" outlineLevel="0" collapsed="false">
      <c r="A310" s="9" t="n">
        <v>286</v>
      </c>
      <c r="B310" s="184" t="s">
        <v>131</v>
      </c>
      <c r="C310" s="184" t="s">
        <v>2421</v>
      </c>
      <c r="D310" s="184" t="s">
        <v>1000</v>
      </c>
      <c r="E310" s="184" t="s">
        <v>1001</v>
      </c>
      <c r="F310" s="45" t="s">
        <v>297</v>
      </c>
      <c r="G310" s="9" t="n">
        <v>5</v>
      </c>
      <c r="H310" s="185" t="n">
        <f aca="false">'Engineering Assumptions'!$F$37*0.5*1</f>
        <v>8</v>
      </c>
      <c r="I310" s="185" t="n">
        <f aca="false">'Engineering Assumptions'!$F$37*1</f>
        <v>16</v>
      </c>
      <c r="J310" s="12" t="n">
        <f aca="false">'Fleet Pricing'!L310</f>
        <v>331500</v>
      </c>
      <c r="K310" s="12" t="n">
        <f aca="false">'Maintenance &amp; Repair'!J310+'Maintenance &amp; Repair'!K310</f>
        <v>38760</v>
      </c>
      <c r="L310" s="186" t="n">
        <f aca="false">IFERROR(K310/J310,0)</f>
        <v>0.116923076923077</v>
      </c>
      <c r="M310" s="9" t="n">
        <f aca="false">MAX(0,'Engineering Assumptions'!$G$37-G310)</f>
        <v>10</v>
      </c>
      <c r="N310" s="187" t="str">
        <f aca="false">IF(G310&gt;=20,"REPLACE",IF(L310&gt;0.6,"REPLACE",IF(G310&gt;=15,"REPLACE",IF(OR(G310&gt;=11,L310&gt;0.4),"MONITOR","KEEP"))))</f>
        <v>KEEP</v>
      </c>
      <c r="O310" s="188" t="str">
        <f aca="false">IF(G310&gt;=20,"End of life (age &gt; 20)",IF(L310&gt;0.6,"Repairs exceed 60% of revenue",IF(G310&gt;=15,"Age 15+ → replace",IF(OR(G310&gt;=11,L310&gt;0.4),"Watch costs; plan replacement","Healthy — continue operating"))))</f>
        <v>Healthy — continue operating</v>
      </c>
      <c r="P310" s="188" t="str">
        <f aca="false">'Engineering Assumptions'!H37</f>
        <v>TATA LPK1618 tipper ~Rs. 14–18M</v>
      </c>
    </row>
    <row r="311" customFormat="false" ht="15" hidden="false" customHeight="true" outlineLevel="0" collapsed="false">
      <c r="A311" s="9" t="n">
        <v>287</v>
      </c>
      <c r="B311" s="184" t="s">
        <v>131</v>
      </c>
      <c r="C311" s="184" t="s">
        <v>2421</v>
      </c>
      <c r="D311" s="184" t="s">
        <v>1002</v>
      </c>
      <c r="E311" s="184" t="s">
        <v>1003</v>
      </c>
      <c r="F311" s="45" t="s">
        <v>297</v>
      </c>
      <c r="G311" s="9" t="n">
        <v>5</v>
      </c>
      <c r="H311" s="185" t="n">
        <f aca="false">'Engineering Assumptions'!$F$37*0.5*1</f>
        <v>8</v>
      </c>
      <c r="I311" s="185" t="n">
        <f aca="false">'Engineering Assumptions'!$F$37*1</f>
        <v>16</v>
      </c>
      <c r="J311" s="12" t="n">
        <f aca="false">'Fleet Pricing'!L311</f>
        <v>331500</v>
      </c>
      <c r="K311" s="12" t="n">
        <f aca="false">'Maintenance &amp; Repair'!J311+'Maintenance &amp; Repair'!K311</f>
        <v>38760</v>
      </c>
      <c r="L311" s="186" t="n">
        <f aca="false">IFERROR(K311/J311,0)</f>
        <v>0.116923076923077</v>
      </c>
      <c r="M311" s="9" t="n">
        <f aca="false">MAX(0,'Engineering Assumptions'!$G$37-G311)</f>
        <v>10</v>
      </c>
      <c r="N311" s="187" t="str">
        <f aca="false">IF(G311&gt;=20,"REPLACE",IF(L311&gt;0.6,"REPLACE",IF(G311&gt;=15,"REPLACE",IF(OR(G311&gt;=11,L311&gt;0.4),"MONITOR","KEEP"))))</f>
        <v>KEEP</v>
      </c>
      <c r="O311" s="188" t="str">
        <f aca="false">IF(G311&gt;=20,"End of life (age &gt; 20)",IF(L311&gt;0.6,"Repairs exceed 60% of revenue",IF(G311&gt;=15,"Age 15+ → replace",IF(OR(G311&gt;=11,L311&gt;0.4),"Watch costs; plan replacement","Healthy — continue operating"))))</f>
        <v>Healthy — continue operating</v>
      </c>
      <c r="P311" s="188" t="str">
        <f aca="false">'Engineering Assumptions'!H37</f>
        <v>TATA LPK1618 tipper ~Rs. 14–18M</v>
      </c>
    </row>
    <row r="312" customFormat="false" ht="15" hidden="false" customHeight="true" outlineLevel="0" collapsed="false">
      <c r="A312" s="9" t="n">
        <v>288</v>
      </c>
      <c r="B312" s="184" t="s">
        <v>131</v>
      </c>
      <c r="C312" s="184" t="s">
        <v>2421</v>
      </c>
      <c r="D312" s="184" t="s">
        <v>1004</v>
      </c>
      <c r="E312" s="184" t="s">
        <v>1005</v>
      </c>
      <c r="F312" s="45" t="s">
        <v>297</v>
      </c>
      <c r="G312" s="9" t="n">
        <v>5</v>
      </c>
      <c r="H312" s="185" t="n">
        <f aca="false">'Engineering Assumptions'!$F$37*0.5*1</f>
        <v>8</v>
      </c>
      <c r="I312" s="185" t="n">
        <f aca="false">'Engineering Assumptions'!$F$37*1</f>
        <v>16</v>
      </c>
      <c r="J312" s="12" t="n">
        <f aca="false">'Fleet Pricing'!L312</f>
        <v>331500</v>
      </c>
      <c r="K312" s="12" t="n">
        <f aca="false">'Maintenance &amp; Repair'!J312+'Maintenance &amp; Repair'!K312</f>
        <v>38760</v>
      </c>
      <c r="L312" s="186" t="n">
        <f aca="false">IFERROR(K312/J312,0)</f>
        <v>0.116923076923077</v>
      </c>
      <c r="M312" s="9" t="n">
        <f aca="false">MAX(0,'Engineering Assumptions'!$G$37-G312)</f>
        <v>10</v>
      </c>
      <c r="N312" s="187" t="str">
        <f aca="false">IF(G312&gt;=20,"REPLACE",IF(L312&gt;0.6,"REPLACE",IF(G312&gt;=15,"REPLACE",IF(OR(G312&gt;=11,L312&gt;0.4),"MONITOR","KEEP"))))</f>
        <v>KEEP</v>
      </c>
      <c r="O312" s="188" t="str">
        <f aca="false">IF(G312&gt;=20,"End of life (age &gt; 20)",IF(L312&gt;0.6,"Repairs exceed 60% of revenue",IF(G312&gt;=15,"Age 15+ → replace",IF(OR(G312&gt;=11,L312&gt;0.4),"Watch costs; plan replacement","Healthy — continue operating"))))</f>
        <v>Healthy — continue operating</v>
      </c>
      <c r="P312" s="188" t="str">
        <f aca="false">'Engineering Assumptions'!H37</f>
        <v>TATA LPK1618 tipper ~Rs. 14–18M</v>
      </c>
    </row>
    <row r="313" customFormat="false" ht="15" hidden="false" customHeight="true" outlineLevel="0" collapsed="false">
      <c r="A313" s="9" t="n">
        <v>289</v>
      </c>
      <c r="B313" s="184" t="s">
        <v>131</v>
      </c>
      <c r="C313" s="184" t="s">
        <v>2421</v>
      </c>
      <c r="D313" s="184" t="s">
        <v>1006</v>
      </c>
      <c r="E313" s="184" t="s">
        <v>1007</v>
      </c>
      <c r="F313" s="45" t="s">
        <v>297</v>
      </c>
      <c r="G313" s="9" t="n">
        <v>5</v>
      </c>
      <c r="H313" s="185" t="n">
        <f aca="false">'Engineering Assumptions'!$F$37*0.5*1</f>
        <v>8</v>
      </c>
      <c r="I313" s="185" t="n">
        <f aca="false">'Engineering Assumptions'!$F$37*1</f>
        <v>16</v>
      </c>
      <c r="J313" s="12" t="n">
        <f aca="false">'Fleet Pricing'!L313</f>
        <v>331500</v>
      </c>
      <c r="K313" s="12" t="n">
        <f aca="false">'Maintenance &amp; Repair'!J313+'Maintenance &amp; Repair'!K313</f>
        <v>38760</v>
      </c>
      <c r="L313" s="186" t="n">
        <f aca="false">IFERROR(K313/J313,0)</f>
        <v>0.116923076923077</v>
      </c>
      <c r="M313" s="9" t="n">
        <f aca="false">MAX(0,'Engineering Assumptions'!$G$37-G313)</f>
        <v>10</v>
      </c>
      <c r="N313" s="187" t="str">
        <f aca="false">IF(G313&gt;=20,"REPLACE",IF(L313&gt;0.6,"REPLACE",IF(G313&gt;=15,"REPLACE",IF(OR(G313&gt;=11,L313&gt;0.4),"MONITOR","KEEP"))))</f>
        <v>KEEP</v>
      </c>
      <c r="O313" s="188" t="str">
        <f aca="false">IF(G313&gt;=20,"End of life (age &gt; 20)",IF(L313&gt;0.6,"Repairs exceed 60% of revenue",IF(G313&gt;=15,"Age 15+ → replace",IF(OR(G313&gt;=11,L313&gt;0.4),"Watch costs; plan replacement","Healthy — continue operating"))))</f>
        <v>Healthy — continue operating</v>
      </c>
      <c r="P313" s="188" t="str">
        <f aca="false">'Engineering Assumptions'!H37</f>
        <v>TATA LPK1618 tipper ~Rs. 14–18M</v>
      </c>
    </row>
    <row r="314" customFormat="false" ht="15" hidden="false" customHeight="true" outlineLevel="0" collapsed="false">
      <c r="A314" s="9" t="n">
        <v>290</v>
      </c>
      <c r="B314" s="184" t="s">
        <v>131</v>
      </c>
      <c r="C314" s="184" t="s">
        <v>2421</v>
      </c>
      <c r="D314" s="184" t="s">
        <v>1014</v>
      </c>
      <c r="E314" s="184" t="s">
        <v>1015</v>
      </c>
      <c r="F314" s="45" t="s">
        <v>297</v>
      </c>
      <c r="G314" s="9" t="n">
        <v>5</v>
      </c>
      <c r="H314" s="185" t="n">
        <f aca="false">'Engineering Assumptions'!$F$37*0.5*1</f>
        <v>8</v>
      </c>
      <c r="I314" s="185" t="n">
        <f aca="false">'Engineering Assumptions'!$F$37*1</f>
        <v>16</v>
      </c>
      <c r="J314" s="12" t="n">
        <f aca="false">'Fleet Pricing'!L314</f>
        <v>331500</v>
      </c>
      <c r="K314" s="12" t="n">
        <f aca="false">'Maintenance &amp; Repair'!J314+'Maintenance &amp; Repair'!K314</f>
        <v>38760</v>
      </c>
      <c r="L314" s="186" t="n">
        <f aca="false">IFERROR(K314/J314,0)</f>
        <v>0.116923076923077</v>
      </c>
      <c r="M314" s="9" t="n">
        <f aca="false">MAX(0,'Engineering Assumptions'!$G$37-G314)</f>
        <v>10</v>
      </c>
      <c r="N314" s="187" t="str">
        <f aca="false">IF(G314&gt;=20,"REPLACE",IF(L314&gt;0.6,"REPLACE",IF(G314&gt;=15,"REPLACE",IF(OR(G314&gt;=11,L314&gt;0.4),"MONITOR","KEEP"))))</f>
        <v>KEEP</v>
      </c>
      <c r="O314" s="188" t="str">
        <f aca="false">IF(G314&gt;=20,"End of life (age &gt; 20)",IF(L314&gt;0.6,"Repairs exceed 60% of revenue",IF(G314&gt;=15,"Age 15+ → replace",IF(OR(G314&gt;=11,L314&gt;0.4),"Watch costs; plan replacement","Healthy — continue operating"))))</f>
        <v>Healthy — continue operating</v>
      </c>
      <c r="P314" s="188" t="str">
        <f aca="false">'Engineering Assumptions'!H37</f>
        <v>TATA LPK1618 tipper ~Rs. 14–18M</v>
      </c>
    </row>
    <row r="315" customFormat="false" ht="15" hidden="false" customHeight="true" outlineLevel="0" collapsed="false">
      <c r="A315" s="9" t="n">
        <v>291</v>
      </c>
      <c r="B315" s="184" t="s">
        <v>131</v>
      </c>
      <c r="C315" s="184" t="s">
        <v>2421</v>
      </c>
      <c r="D315" s="184" t="s">
        <v>1016</v>
      </c>
      <c r="E315" s="184" t="s">
        <v>1017</v>
      </c>
      <c r="F315" s="45" t="s">
        <v>297</v>
      </c>
      <c r="G315" s="9" t="n">
        <v>5</v>
      </c>
      <c r="H315" s="185" t="n">
        <f aca="false">'Engineering Assumptions'!$F$37*0.5*1</f>
        <v>8</v>
      </c>
      <c r="I315" s="185" t="n">
        <f aca="false">'Engineering Assumptions'!$F$37*1</f>
        <v>16</v>
      </c>
      <c r="J315" s="12" t="n">
        <f aca="false">'Fleet Pricing'!L315</f>
        <v>331500</v>
      </c>
      <c r="K315" s="12" t="n">
        <f aca="false">'Maintenance &amp; Repair'!J315+'Maintenance &amp; Repair'!K315</f>
        <v>38760</v>
      </c>
      <c r="L315" s="186" t="n">
        <f aca="false">IFERROR(K315/J315,0)</f>
        <v>0.116923076923077</v>
      </c>
      <c r="M315" s="9" t="n">
        <f aca="false">MAX(0,'Engineering Assumptions'!$G$37-G315)</f>
        <v>10</v>
      </c>
      <c r="N315" s="187" t="str">
        <f aca="false">IF(G315&gt;=20,"REPLACE",IF(L315&gt;0.6,"REPLACE",IF(G315&gt;=15,"REPLACE",IF(OR(G315&gt;=11,L315&gt;0.4),"MONITOR","KEEP"))))</f>
        <v>KEEP</v>
      </c>
      <c r="O315" s="188" t="str">
        <f aca="false">IF(G315&gt;=20,"End of life (age &gt; 20)",IF(L315&gt;0.6,"Repairs exceed 60% of revenue",IF(G315&gt;=15,"Age 15+ → replace",IF(OR(G315&gt;=11,L315&gt;0.4),"Watch costs; plan replacement","Healthy — continue operating"))))</f>
        <v>Healthy — continue operating</v>
      </c>
      <c r="P315" s="188" t="str">
        <f aca="false">'Engineering Assumptions'!H37</f>
        <v>TATA LPK1618 tipper ~Rs. 14–18M</v>
      </c>
    </row>
    <row r="316" customFormat="false" ht="15" hidden="false" customHeight="true" outlineLevel="0" collapsed="false">
      <c r="A316" s="9" t="n">
        <v>292</v>
      </c>
      <c r="B316" s="184" t="s">
        <v>131</v>
      </c>
      <c r="C316" s="184" t="s">
        <v>2421</v>
      </c>
      <c r="D316" s="184" t="s">
        <v>1018</v>
      </c>
      <c r="E316" s="184" t="s">
        <v>1019</v>
      </c>
      <c r="F316" s="45" t="s">
        <v>297</v>
      </c>
      <c r="G316" s="9" t="n">
        <v>5</v>
      </c>
      <c r="H316" s="185" t="n">
        <f aca="false">'Engineering Assumptions'!$F$37*0.5*1</f>
        <v>8</v>
      </c>
      <c r="I316" s="185" t="n">
        <f aca="false">'Engineering Assumptions'!$F$37*1</f>
        <v>16</v>
      </c>
      <c r="J316" s="12" t="n">
        <f aca="false">'Fleet Pricing'!L316</f>
        <v>331500</v>
      </c>
      <c r="K316" s="12" t="n">
        <f aca="false">'Maintenance &amp; Repair'!J316+'Maintenance &amp; Repair'!K316</f>
        <v>38760</v>
      </c>
      <c r="L316" s="186" t="n">
        <f aca="false">IFERROR(K316/J316,0)</f>
        <v>0.116923076923077</v>
      </c>
      <c r="M316" s="9" t="n">
        <f aca="false">MAX(0,'Engineering Assumptions'!$G$37-G316)</f>
        <v>10</v>
      </c>
      <c r="N316" s="187" t="str">
        <f aca="false">IF(G316&gt;=20,"REPLACE",IF(L316&gt;0.6,"REPLACE",IF(G316&gt;=15,"REPLACE",IF(OR(G316&gt;=11,L316&gt;0.4),"MONITOR","KEEP"))))</f>
        <v>KEEP</v>
      </c>
      <c r="O316" s="188" t="str">
        <f aca="false">IF(G316&gt;=20,"End of life (age &gt; 20)",IF(L316&gt;0.6,"Repairs exceed 60% of revenue",IF(G316&gt;=15,"Age 15+ → replace",IF(OR(G316&gt;=11,L316&gt;0.4),"Watch costs; plan replacement","Healthy — continue operating"))))</f>
        <v>Healthy — continue operating</v>
      </c>
      <c r="P316" s="188" t="str">
        <f aca="false">'Engineering Assumptions'!H37</f>
        <v>TATA LPK1618 tipper ~Rs. 14–18M</v>
      </c>
    </row>
    <row r="317" customFormat="false" ht="15" hidden="false" customHeight="true" outlineLevel="0" collapsed="false">
      <c r="A317" s="9" t="n">
        <v>293</v>
      </c>
      <c r="B317" s="184" t="s">
        <v>131</v>
      </c>
      <c r="C317" s="184" t="s">
        <v>2421</v>
      </c>
      <c r="D317" s="184" t="s">
        <v>1020</v>
      </c>
      <c r="E317" s="184" t="s">
        <v>1021</v>
      </c>
      <c r="F317" s="45" t="s">
        <v>297</v>
      </c>
      <c r="G317" s="9" t="n">
        <v>5</v>
      </c>
      <c r="H317" s="185" t="n">
        <f aca="false">'Engineering Assumptions'!$F$37*0.5*1</f>
        <v>8</v>
      </c>
      <c r="I317" s="185" t="n">
        <f aca="false">'Engineering Assumptions'!$F$37*1</f>
        <v>16</v>
      </c>
      <c r="J317" s="12" t="n">
        <f aca="false">'Fleet Pricing'!L317</f>
        <v>331500</v>
      </c>
      <c r="K317" s="12" t="n">
        <f aca="false">'Maintenance &amp; Repair'!J317+'Maintenance &amp; Repair'!K317</f>
        <v>38760</v>
      </c>
      <c r="L317" s="186" t="n">
        <f aca="false">IFERROR(K317/J317,0)</f>
        <v>0.116923076923077</v>
      </c>
      <c r="M317" s="9" t="n">
        <f aca="false">MAX(0,'Engineering Assumptions'!$G$37-G317)</f>
        <v>10</v>
      </c>
      <c r="N317" s="187" t="str">
        <f aca="false">IF(G317&gt;=20,"REPLACE",IF(L317&gt;0.6,"REPLACE",IF(G317&gt;=15,"REPLACE",IF(OR(G317&gt;=11,L317&gt;0.4),"MONITOR","KEEP"))))</f>
        <v>KEEP</v>
      </c>
      <c r="O317" s="188" t="str">
        <f aca="false">IF(G317&gt;=20,"End of life (age &gt; 20)",IF(L317&gt;0.6,"Repairs exceed 60% of revenue",IF(G317&gt;=15,"Age 15+ → replace",IF(OR(G317&gt;=11,L317&gt;0.4),"Watch costs; plan replacement","Healthy — continue operating"))))</f>
        <v>Healthy — continue operating</v>
      </c>
      <c r="P317" s="188" t="str">
        <f aca="false">'Engineering Assumptions'!H37</f>
        <v>TATA LPK1618 tipper ~Rs. 14–18M</v>
      </c>
    </row>
    <row r="318" customFormat="false" ht="15" hidden="false" customHeight="true" outlineLevel="0" collapsed="false">
      <c r="A318" s="9" t="n">
        <v>294</v>
      </c>
      <c r="B318" s="184" t="s">
        <v>131</v>
      </c>
      <c r="C318" s="184" t="s">
        <v>2421</v>
      </c>
      <c r="D318" s="184" t="s">
        <v>1022</v>
      </c>
      <c r="E318" s="184" t="s">
        <v>1023</v>
      </c>
      <c r="F318" s="45" t="s">
        <v>297</v>
      </c>
      <c r="G318" s="9" t="n">
        <v>5</v>
      </c>
      <c r="H318" s="185" t="n">
        <f aca="false">'Engineering Assumptions'!$F$37*0.5*1</f>
        <v>8</v>
      </c>
      <c r="I318" s="185" t="n">
        <f aca="false">'Engineering Assumptions'!$F$37*1</f>
        <v>16</v>
      </c>
      <c r="J318" s="12" t="n">
        <f aca="false">'Fleet Pricing'!L318</f>
        <v>331500</v>
      </c>
      <c r="K318" s="12" t="n">
        <f aca="false">'Maintenance &amp; Repair'!J318+'Maintenance &amp; Repair'!K318</f>
        <v>38760</v>
      </c>
      <c r="L318" s="186" t="n">
        <f aca="false">IFERROR(K318/J318,0)</f>
        <v>0.116923076923077</v>
      </c>
      <c r="M318" s="9" t="n">
        <f aca="false">MAX(0,'Engineering Assumptions'!$G$37-G318)</f>
        <v>10</v>
      </c>
      <c r="N318" s="187" t="str">
        <f aca="false">IF(G318&gt;=20,"REPLACE",IF(L318&gt;0.6,"REPLACE",IF(G318&gt;=15,"REPLACE",IF(OR(G318&gt;=11,L318&gt;0.4),"MONITOR","KEEP"))))</f>
        <v>KEEP</v>
      </c>
      <c r="O318" s="188" t="str">
        <f aca="false">IF(G318&gt;=20,"End of life (age &gt; 20)",IF(L318&gt;0.6,"Repairs exceed 60% of revenue",IF(G318&gt;=15,"Age 15+ → replace",IF(OR(G318&gt;=11,L318&gt;0.4),"Watch costs; plan replacement","Healthy — continue operating"))))</f>
        <v>Healthy — continue operating</v>
      </c>
      <c r="P318" s="188" t="str">
        <f aca="false">'Engineering Assumptions'!H37</f>
        <v>TATA LPK1618 tipper ~Rs. 14–18M</v>
      </c>
    </row>
    <row r="319" customFormat="false" ht="15" hidden="false" customHeight="true" outlineLevel="0" collapsed="false">
      <c r="A319" s="9" t="n">
        <v>295</v>
      </c>
      <c r="B319" s="184" t="s">
        <v>131</v>
      </c>
      <c r="C319" s="184" t="s">
        <v>2421</v>
      </c>
      <c r="D319" s="184" t="s">
        <v>1024</v>
      </c>
      <c r="E319" s="184" t="s">
        <v>1025</v>
      </c>
      <c r="F319" s="45" t="s">
        <v>297</v>
      </c>
      <c r="G319" s="9" t="n">
        <v>5</v>
      </c>
      <c r="H319" s="185" t="n">
        <f aca="false">'Engineering Assumptions'!$F$37*0.5*1</f>
        <v>8</v>
      </c>
      <c r="I319" s="185" t="n">
        <f aca="false">'Engineering Assumptions'!$F$37*1</f>
        <v>16</v>
      </c>
      <c r="J319" s="12" t="n">
        <f aca="false">'Fleet Pricing'!L319</f>
        <v>331500</v>
      </c>
      <c r="K319" s="12" t="n">
        <f aca="false">'Maintenance &amp; Repair'!J319+'Maintenance &amp; Repair'!K319</f>
        <v>38760</v>
      </c>
      <c r="L319" s="186" t="n">
        <f aca="false">IFERROR(K319/J319,0)</f>
        <v>0.116923076923077</v>
      </c>
      <c r="M319" s="9" t="n">
        <f aca="false">MAX(0,'Engineering Assumptions'!$G$37-G319)</f>
        <v>10</v>
      </c>
      <c r="N319" s="187" t="str">
        <f aca="false">IF(G319&gt;=20,"REPLACE",IF(L319&gt;0.6,"REPLACE",IF(G319&gt;=15,"REPLACE",IF(OR(G319&gt;=11,L319&gt;0.4),"MONITOR","KEEP"))))</f>
        <v>KEEP</v>
      </c>
      <c r="O319" s="188" t="str">
        <f aca="false">IF(G319&gt;=20,"End of life (age &gt; 20)",IF(L319&gt;0.6,"Repairs exceed 60% of revenue",IF(G319&gt;=15,"Age 15+ → replace",IF(OR(G319&gt;=11,L319&gt;0.4),"Watch costs; plan replacement","Healthy — continue operating"))))</f>
        <v>Healthy — continue operating</v>
      </c>
      <c r="P319" s="188" t="str">
        <f aca="false">'Engineering Assumptions'!H37</f>
        <v>TATA LPK1618 tipper ~Rs. 14–18M</v>
      </c>
    </row>
    <row r="320" customFormat="false" ht="15" hidden="false" customHeight="true" outlineLevel="0" collapsed="false">
      <c r="A320" s="9" t="n">
        <v>296</v>
      </c>
      <c r="B320" s="184" t="s">
        <v>131</v>
      </c>
      <c r="C320" s="184" t="s">
        <v>2421</v>
      </c>
      <c r="D320" s="184" t="s">
        <v>1026</v>
      </c>
      <c r="E320" s="184" t="s">
        <v>1027</v>
      </c>
      <c r="F320" s="45" t="s">
        <v>297</v>
      </c>
      <c r="G320" s="9" t="n">
        <v>5</v>
      </c>
      <c r="H320" s="185" t="n">
        <f aca="false">'Engineering Assumptions'!$F$37*0.5*1</f>
        <v>8</v>
      </c>
      <c r="I320" s="185" t="n">
        <f aca="false">'Engineering Assumptions'!$F$37*1</f>
        <v>16</v>
      </c>
      <c r="J320" s="12" t="n">
        <f aca="false">'Fleet Pricing'!L320</f>
        <v>331500</v>
      </c>
      <c r="K320" s="12" t="n">
        <f aca="false">'Maintenance &amp; Repair'!J320+'Maintenance &amp; Repair'!K320</f>
        <v>38760</v>
      </c>
      <c r="L320" s="186" t="n">
        <f aca="false">IFERROR(K320/J320,0)</f>
        <v>0.116923076923077</v>
      </c>
      <c r="M320" s="9" t="n">
        <f aca="false">MAX(0,'Engineering Assumptions'!$G$37-G320)</f>
        <v>10</v>
      </c>
      <c r="N320" s="187" t="str">
        <f aca="false">IF(G320&gt;=20,"REPLACE",IF(L320&gt;0.6,"REPLACE",IF(G320&gt;=15,"REPLACE",IF(OR(G320&gt;=11,L320&gt;0.4),"MONITOR","KEEP"))))</f>
        <v>KEEP</v>
      </c>
      <c r="O320" s="188" t="str">
        <f aca="false">IF(G320&gt;=20,"End of life (age &gt; 20)",IF(L320&gt;0.6,"Repairs exceed 60% of revenue",IF(G320&gt;=15,"Age 15+ → replace",IF(OR(G320&gt;=11,L320&gt;0.4),"Watch costs; plan replacement","Healthy — continue operating"))))</f>
        <v>Healthy — continue operating</v>
      </c>
      <c r="P320" s="188" t="str">
        <f aca="false">'Engineering Assumptions'!H37</f>
        <v>TATA LPK1618 tipper ~Rs. 14–18M</v>
      </c>
    </row>
    <row r="321" customFormat="false" ht="15" hidden="false" customHeight="true" outlineLevel="0" collapsed="false">
      <c r="A321" s="9" t="n">
        <v>297</v>
      </c>
      <c r="B321" s="184" t="s">
        <v>131</v>
      </c>
      <c r="C321" s="184" t="s">
        <v>2421</v>
      </c>
      <c r="D321" s="184" t="s">
        <v>1028</v>
      </c>
      <c r="E321" s="184" t="s">
        <v>1029</v>
      </c>
      <c r="F321" s="45" t="s">
        <v>297</v>
      </c>
      <c r="G321" s="9" t="n">
        <v>5</v>
      </c>
      <c r="H321" s="185" t="n">
        <f aca="false">'Engineering Assumptions'!$F$37*0.5*1</f>
        <v>8</v>
      </c>
      <c r="I321" s="185" t="n">
        <f aca="false">'Engineering Assumptions'!$F$37*1</f>
        <v>16</v>
      </c>
      <c r="J321" s="12" t="n">
        <f aca="false">'Fleet Pricing'!L321</f>
        <v>331500</v>
      </c>
      <c r="K321" s="12" t="n">
        <f aca="false">'Maintenance &amp; Repair'!J321+'Maintenance &amp; Repair'!K321</f>
        <v>38760</v>
      </c>
      <c r="L321" s="186" t="n">
        <f aca="false">IFERROR(K321/J321,0)</f>
        <v>0.116923076923077</v>
      </c>
      <c r="M321" s="9" t="n">
        <f aca="false">MAX(0,'Engineering Assumptions'!$G$37-G321)</f>
        <v>10</v>
      </c>
      <c r="N321" s="187" t="str">
        <f aca="false">IF(G321&gt;=20,"REPLACE",IF(L321&gt;0.6,"REPLACE",IF(G321&gt;=15,"REPLACE",IF(OR(G321&gt;=11,L321&gt;0.4),"MONITOR","KEEP"))))</f>
        <v>KEEP</v>
      </c>
      <c r="O321" s="188" t="str">
        <f aca="false">IF(G321&gt;=20,"End of life (age &gt; 20)",IF(L321&gt;0.6,"Repairs exceed 60% of revenue",IF(G321&gt;=15,"Age 15+ → replace",IF(OR(G321&gt;=11,L321&gt;0.4),"Watch costs; plan replacement","Healthy — continue operating"))))</f>
        <v>Healthy — continue operating</v>
      </c>
      <c r="P321" s="188" t="str">
        <f aca="false">'Engineering Assumptions'!H37</f>
        <v>TATA LPK1618 tipper ~Rs. 14–18M</v>
      </c>
    </row>
    <row r="322" customFormat="false" ht="15" hidden="false" customHeight="true" outlineLevel="0" collapsed="false">
      <c r="A322" s="9" t="n">
        <v>298</v>
      </c>
      <c r="B322" s="184" t="s">
        <v>131</v>
      </c>
      <c r="C322" s="184" t="s">
        <v>2421</v>
      </c>
      <c r="D322" s="184" t="s">
        <v>1030</v>
      </c>
      <c r="E322" s="184" t="s">
        <v>1031</v>
      </c>
      <c r="F322" s="45" t="s">
        <v>297</v>
      </c>
      <c r="G322" s="9" t="n">
        <v>5</v>
      </c>
      <c r="H322" s="185" t="n">
        <f aca="false">'Engineering Assumptions'!$F$37*0.5*1</f>
        <v>8</v>
      </c>
      <c r="I322" s="185" t="n">
        <f aca="false">'Engineering Assumptions'!$F$37*1</f>
        <v>16</v>
      </c>
      <c r="J322" s="12" t="n">
        <f aca="false">'Fleet Pricing'!L322</f>
        <v>331500</v>
      </c>
      <c r="K322" s="12" t="n">
        <f aca="false">'Maintenance &amp; Repair'!J322+'Maintenance &amp; Repair'!K322</f>
        <v>38760</v>
      </c>
      <c r="L322" s="186" t="n">
        <f aca="false">IFERROR(K322/J322,0)</f>
        <v>0.116923076923077</v>
      </c>
      <c r="M322" s="9" t="n">
        <f aca="false">MAX(0,'Engineering Assumptions'!$G$37-G322)</f>
        <v>10</v>
      </c>
      <c r="N322" s="187" t="str">
        <f aca="false">IF(G322&gt;=20,"REPLACE",IF(L322&gt;0.6,"REPLACE",IF(G322&gt;=15,"REPLACE",IF(OR(G322&gt;=11,L322&gt;0.4),"MONITOR","KEEP"))))</f>
        <v>KEEP</v>
      </c>
      <c r="O322" s="188" t="str">
        <f aca="false">IF(G322&gt;=20,"End of life (age &gt; 20)",IF(L322&gt;0.6,"Repairs exceed 60% of revenue",IF(G322&gt;=15,"Age 15+ → replace",IF(OR(G322&gt;=11,L322&gt;0.4),"Watch costs; plan replacement","Healthy — continue operating"))))</f>
        <v>Healthy — continue operating</v>
      </c>
      <c r="P322" s="188" t="str">
        <f aca="false">'Engineering Assumptions'!H37</f>
        <v>TATA LPK1618 tipper ~Rs. 14–18M</v>
      </c>
    </row>
    <row r="323" customFormat="false" ht="15" hidden="false" customHeight="true" outlineLevel="0" collapsed="false">
      <c r="A323" s="9" t="n">
        <v>299</v>
      </c>
      <c r="B323" s="184" t="s">
        <v>131</v>
      </c>
      <c r="C323" s="184" t="s">
        <v>2421</v>
      </c>
      <c r="D323" s="184" t="s">
        <v>1034</v>
      </c>
      <c r="E323" s="184" t="s">
        <v>1035</v>
      </c>
      <c r="F323" s="45" t="s">
        <v>297</v>
      </c>
      <c r="G323" s="9" t="n">
        <v>5</v>
      </c>
      <c r="H323" s="185" t="n">
        <f aca="false">'Engineering Assumptions'!$F$37*0.5*1</f>
        <v>8</v>
      </c>
      <c r="I323" s="185" t="n">
        <f aca="false">'Engineering Assumptions'!$F$37*1</f>
        <v>16</v>
      </c>
      <c r="J323" s="12" t="n">
        <f aca="false">'Fleet Pricing'!L323</f>
        <v>331500</v>
      </c>
      <c r="K323" s="12" t="n">
        <f aca="false">'Maintenance &amp; Repair'!J323+'Maintenance &amp; Repair'!K323</f>
        <v>38760</v>
      </c>
      <c r="L323" s="186" t="n">
        <f aca="false">IFERROR(K323/J323,0)</f>
        <v>0.116923076923077</v>
      </c>
      <c r="M323" s="9" t="n">
        <f aca="false">MAX(0,'Engineering Assumptions'!$G$37-G323)</f>
        <v>10</v>
      </c>
      <c r="N323" s="187" t="str">
        <f aca="false">IF(G323&gt;=20,"REPLACE",IF(L323&gt;0.6,"REPLACE",IF(G323&gt;=15,"REPLACE",IF(OR(G323&gt;=11,L323&gt;0.4),"MONITOR","KEEP"))))</f>
        <v>KEEP</v>
      </c>
      <c r="O323" s="188" t="str">
        <f aca="false">IF(G323&gt;=20,"End of life (age &gt; 20)",IF(L323&gt;0.6,"Repairs exceed 60% of revenue",IF(G323&gt;=15,"Age 15+ → replace",IF(OR(G323&gt;=11,L323&gt;0.4),"Watch costs; plan replacement","Healthy — continue operating"))))</f>
        <v>Healthy — continue operating</v>
      </c>
      <c r="P323" s="188" t="str">
        <f aca="false">'Engineering Assumptions'!H37</f>
        <v>TATA LPK1618 tipper ~Rs. 14–18M</v>
      </c>
    </row>
    <row r="324" customFormat="false" ht="15" hidden="false" customHeight="true" outlineLevel="0" collapsed="false">
      <c r="A324" s="9" t="n">
        <v>300</v>
      </c>
      <c r="B324" s="184" t="s">
        <v>131</v>
      </c>
      <c r="C324" s="184" t="s">
        <v>2421</v>
      </c>
      <c r="D324" s="184" t="s">
        <v>1036</v>
      </c>
      <c r="E324" s="184" t="s">
        <v>1037</v>
      </c>
      <c r="F324" s="45" t="s">
        <v>297</v>
      </c>
      <c r="G324" s="9" t="n">
        <v>5</v>
      </c>
      <c r="H324" s="185" t="n">
        <f aca="false">'Engineering Assumptions'!$F$37*0.5*1</f>
        <v>8</v>
      </c>
      <c r="I324" s="185" t="n">
        <f aca="false">'Engineering Assumptions'!$F$37*1</f>
        <v>16</v>
      </c>
      <c r="J324" s="12" t="n">
        <f aca="false">'Fleet Pricing'!L324</f>
        <v>331500</v>
      </c>
      <c r="K324" s="12" t="n">
        <f aca="false">'Maintenance &amp; Repair'!J324+'Maintenance &amp; Repair'!K324</f>
        <v>38760</v>
      </c>
      <c r="L324" s="186" t="n">
        <f aca="false">IFERROR(K324/J324,0)</f>
        <v>0.116923076923077</v>
      </c>
      <c r="M324" s="9" t="n">
        <f aca="false">MAX(0,'Engineering Assumptions'!$G$37-G324)</f>
        <v>10</v>
      </c>
      <c r="N324" s="187" t="str">
        <f aca="false">IF(G324&gt;=20,"REPLACE",IF(L324&gt;0.6,"REPLACE",IF(G324&gt;=15,"REPLACE",IF(OR(G324&gt;=11,L324&gt;0.4),"MONITOR","KEEP"))))</f>
        <v>KEEP</v>
      </c>
      <c r="O324" s="188" t="str">
        <f aca="false">IF(G324&gt;=20,"End of life (age &gt; 20)",IF(L324&gt;0.6,"Repairs exceed 60% of revenue",IF(G324&gt;=15,"Age 15+ → replace",IF(OR(G324&gt;=11,L324&gt;0.4),"Watch costs; plan replacement","Healthy — continue operating"))))</f>
        <v>Healthy — continue operating</v>
      </c>
      <c r="P324" s="188" t="str">
        <f aca="false">'Engineering Assumptions'!H37</f>
        <v>TATA LPK1618 tipper ~Rs. 14–18M</v>
      </c>
    </row>
    <row r="325" customFormat="false" ht="15" hidden="false" customHeight="true" outlineLevel="0" collapsed="false">
      <c r="A325" s="9" t="n">
        <v>301</v>
      </c>
      <c r="B325" s="184" t="s">
        <v>131</v>
      </c>
      <c r="C325" s="184" t="s">
        <v>2421</v>
      </c>
      <c r="D325" s="184" t="s">
        <v>1057</v>
      </c>
      <c r="E325" s="184" t="s">
        <v>1058</v>
      </c>
      <c r="F325" s="45" t="s">
        <v>297</v>
      </c>
      <c r="G325" s="9" t="n">
        <v>5</v>
      </c>
      <c r="H325" s="185" t="n">
        <f aca="false">'Engineering Assumptions'!$F$37*0.5*1</f>
        <v>8</v>
      </c>
      <c r="I325" s="185" t="n">
        <f aca="false">'Engineering Assumptions'!$F$37*1</f>
        <v>16</v>
      </c>
      <c r="J325" s="12" t="n">
        <f aca="false">'Fleet Pricing'!L325</f>
        <v>331500</v>
      </c>
      <c r="K325" s="12" t="n">
        <f aca="false">'Maintenance &amp; Repair'!J325+'Maintenance &amp; Repair'!K325</f>
        <v>38760</v>
      </c>
      <c r="L325" s="186" t="n">
        <f aca="false">IFERROR(K325/J325,0)</f>
        <v>0.116923076923077</v>
      </c>
      <c r="M325" s="9" t="n">
        <f aca="false">MAX(0,'Engineering Assumptions'!$G$37-G325)</f>
        <v>10</v>
      </c>
      <c r="N325" s="187" t="str">
        <f aca="false">IF(G325&gt;=20,"REPLACE",IF(L325&gt;0.6,"REPLACE",IF(G325&gt;=15,"REPLACE",IF(OR(G325&gt;=11,L325&gt;0.4),"MONITOR","KEEP"))))</f>
        <v>KEEP</v>
      </c>
      <c r="O325" s="188" t="str">
        <f aca="false">IF(G325&gt;=20,"End of life (age &gt; 20)",IF(L325&gt;0.6,"Repairs exceed 60% of revenue",IF(G325&gt;=15,"Age 15+ → replace",IF(OR(G325&gt;=11,L325&gt;0.4),"Watch costs; plan replacement","Healthy — continue operating"))))</f>
        <v>Healthy — continue operating</v>
      </c>
      <c r="P325" s="188" t="str">
        <f aca="false">'Engineering Assumptions'!H37</f>
        <v>TATA LPK1618 tipper ~Rs. 14–18M</v>
      </c>
    </row>
    <row r="326" customFormat="false" ht="15" hidden="false" customHeight="true" outlineLevel="0" collapsed="false">
      <c r="A326" s="9" t="n">
        <v>302</v>
      </c>
      <c r="B326" s="184" t="s">
        <v>131</v>
      </c>
      <c r="C326" s="184" t="s">
        <v>2421</v>
      </c>
      <c r="D326" s="184" t="s">
        <v>1062</v>
      </c>
      <c r="E326" s="184" t="s">
        <v>1063</v>
      </c>
      <c r="F326" s="45" t="s">
        <v>297</v>
      </c>
      <c r="G326" s="9" t="n">
        <v>5</v>
      </c>
      <c r="H326" s="185" t="n">
        <f aca="false">'Engineering Assumptions'!$F$37*0.5*1</f>
        <v>8</v>
      </c>
      <c r="I326" s="185" t="n">
        <f aca="false">'Engineering Assumptions'!$F$37*1</f>
        <v>16</v>
      </c>
      <c r="J326" s="12" t="n">
        <f aca="false">'Fleet Pricing'!L326</f>
        <v>331500</v>
      </c>
      <c r="K326" s="12" t="n">
        <f aca="false">'Maintenance &amp; Repair'!J326+'Maintenance &amp; Repair'!K326</f>
        <v>38760</v>
      </c>
      <c r="L326" s="186" t="n">
        <f aca="false">IFERROR(K326/J326,0)</f>
        <v>0.116923076923077</v>
      </c>
      <c r="M326" s="9" t="n">
        <f aca="false">MAX(0,'Engineering Assumptions'!$G$37-G326)</f>
        <v>10</v>
      </c>
      <c r="N326" s="187" t="str">
        <f aca="false">IF(G326&gt;=20,"REPLACE",IF(L326&gt;0.6,"REPLACE",IF(G326&gt;=15,"REPLACE",IF(OR(G326&gt;=11,L326&gt;0.4),"MONITOR","KEEP"))))</f>
        <v>KEEP</v>
      </c>
      <c r="O326" s="188" t="str">
        <f aca="false">IF(G326&gt;=20,"End of life (age &gt; 20)",IF(L326&gt;0.6,"Repairs exceed 60% of revenue",IF(G326&gt;=15,"Age 15+ → replace",IF(OR(G326&gt;=11,L326&gt;0.4),"Watch costs; plan replacement","Healthy — continue operating"))))</f>
        <v>Healthy — continue operating</v>
      </c>
      <c r="P326" s="188" t="str">
        <f aca="false">'Engineering Assumptions'!H37</f>
        <v>TATA LPK1618 tipper ~Rs. 14–18M</v>
      </c>
    </row>
    <row r="327" customFormat="false" ht="15" hidden="false" customHeight="true" outlineLevel="0" collapsed="false">
      <c r="A327" s="9" t="n">
        <v>303</v>
      </c>
      <c r="B327" s="184" t="s">
        <v>131</v>
      </c>
      <c r="C327" s="184" t="s">
        <v>2421</v>
      </c>
      <c r="D327" s="184" t="s">
        <v>975</v>
      </c>
      <c r="E327" s="184" t="s">
        <v>976</v>
      </c>
      <c r="F327" s="45" t="s">
        <v>297</v>
      </c>
      <c r="G327" s="9" t="n">
        <v>5</v>
      </c>
      <c r="H327" s="185" t="n">
        <f aca="false">'Engineering Assumptions'!$F$37*0.5*1</f>
        <v>8</v>
      </c>
      <c r="I327" s="185" t="n">
        <f aca="false">'Engineering Assumptions'!$F$37*1</f>
        <v>16</v>
      </c>
      <c r="J327" s="12" t="n">
        <f aca="false">'Fleet Pricing'!L327</f>
        <v>331500</v>
      </c>
      <c r="K327" s="12" t="n">
        <f aca="false">'Maintenance &amp; Repair'!J327+'Maintenance &amp; Repair'!K327</f>
        <v>38760</v>
      </c>
      <c r="L327" s="186" t="n">
        <f aca="false">IFERROR(K327/J327,0)</f>
        <v>0.116923076923077</v>
      </c>
      <c r="M327" s="9" t="n">
        <f aca="false">MAX(0,'Engineering Assumptions'!$G$37-G327)</f>
        <v>10</v>
      </c>
      <c r="N327" s="187" t="str">
        <f aca="false">IF(G327&gt;=20,"REPLACE",IF(L327&gt;0.6,"REPLACE",IF(G327&gt;=15,"REPLACE",IF(OR(G327&gt;=11,L327&gt;0.4),"MONITOR","KEEP"))))</f>
        <v>KEEP</v>
      </c>
      <c r="O327" s="188" t="str">
        <f aca="false">IF(G327&gt;=20,"End of life (age &gt; 20)",IF(L327&gt;0.6,"Repairs exceed 60% of revenue",IF(G327&gt;=15,"Age 15+ → replace",IF(OR(G327&gt;=11,L327&gt;0.4),"Watch costs; plan replacement","Healthy — continue operating"))))</f>
        <v>Healthy — continue operating</v>
      </c>
      <c r="P327" s="188" t="str">
        <f aca="false">'Engineering Assumptions'!H37</f>
        <v>TATA LPK1618 tipper ~Rs. 14–18M</v>
      </c>
    </row>
    <row r="328" customFormat="false" ht="15" hidden="false" customHeight="true" outlineLevel="0" collapsed="false">
      <c r="A328" s="9" t="n">
        <v>304</v>
      </c>
      <c r="B328" s="184" t="s">
        <v>131</v>
      </c>
      <c r="C328" s="184" t="s">
        <v>2421</v>
      </c>
      <c r="D328" s="184" t="s">
        <v>951</v>
      </c>
      <c r="E328" s="184" t="s">
        <v>952</v>
      </c>
      <c r="F328" s="45" t="s">
        <v>297</v>
      </c>
      <c r="G328" s="9" t="n">
        <v>5</v>
      </c>
      <c r="H328" s="185" t="n">
        <f aca="false">'Engineering Assumptions'!$F$37*0.5*1</f>
        <v>8</v>
      </c>
      <c r="I328" s="185" t="n">
        <f aca="false">'Engineering Assumptions'!$F$37*1</f>
        <v>16</v>
      </c>
      <c r="J328" s="12" t="n">
        <f aca="false">'Fleet Pricing'!L328</f>
        <v>331500</v>
      </c>
      <c r="K328" s="12" t="n">
        <f aca="false">'Maintenance &amp; Repair'!J328+'Maintenance &amp; Repair'!K328</f>
        <v>38760</v>
      </c>
      <c r="L328" s="186" t="n">
        <f aca="false">IFERROR(K328/J328,0)</f>
        <v>0.116923076923077</v>
      </c>
      <c r="M328" s="9" t="n">
        <f aca="false">MAX(0,'Engineering Assumptions'!$G$37-G328)</f>
        <v>10</v>
      </c>
      <c r="N328" s="187" t="str">
        <f aca="false">IF(G328&gt;=20,"REPLACE",IF(L328&gt;0.6,"REPLACE",IF(G328&gt;=15,"REPLACE",IF(OR(G328&gt;=11,L328&gt;0.4),"MONITOR","KEEP"))))</f>
        <v>KEEP</v>
      </c>
      <c r="O328" s="188" t="str">
        <f aca="false">IF(G328&gt;=20,"End of life (age &gt; 20)",IF(L328&gt;0.6,"Repairs exceed 60% of revenue",IF(G328&gt;=15,"Age 15+ → replace",IF(OR(G328&gt;=11,L328&gt;0.4),"Watch costs; plan replacement","Healthy — continue operating"))))</f>
        <v>Healthy — continue operating</v>
      </c>
      <c r="P328" s="188" t="str">
        <f aca="false">'Engineering Assumptions'!H37</f>
        <v>TATA LPK1618 tipper ~Rs. 14–18M</v>
      </c>
    </row>
    <row r="329" customFormat="false" ht="15" hidden="false" customHeight="true" outlineLevel="0" collapsed="false">
      <c r="A329" s="9" t="n">
        <v>305</v>
      </c>
      <c r="B329" s="184" t="s">
        <v>131</v>
      </c>
      <c r="C329" s="184" t="s">
        <v>2421</v>
      </c>
      <c r="D329" s="184" t="s">
        <v>953</v>
      </c>
      <c r="E329" s="184" t="s">
        <v>954</v>
      </c>
      <c r="F329" s="45" t="s">
        <v>297</v>
      </c>
      <c r="G329" s="9" t="n">
        <v>5</v>
      </c>
      <c r="H329" s="185" t="n">
        <f aca="false">'Engineering Assumptions'!$F$37*0.5*1</f>
        <v>8</v>
      </c>
      <c r="I329" s="185" t="n">
        <f aca="false">'Engineering Assumptions'!$F$37*1</f>
        <v>16</v>
      </c>
      <c r="J329" s="12" t="n">
        <f aca="false">'Fleet Pricing'!L329</f>
        <v>331500</v>
      </c>
      <c r="K329" s="12" t="n">
        <f aca="false">'Maintenance &amp; Repair'!J329+'Maintenance &amp; Repair'!K329</f>
        <v>38760</v>
      </c>
      <c r="L329" s="186" t="n">
        <f aca="false">IFERROR(K329/J329,0)</f>
        <v>0.116923076923077</v>
      </c>
      <c r="M329" s="9" t="n">
        <f aca="false">MAX(0,'Engineering Assumptions'!$G$37-G329)</f>
        <v>10</v>
      </c>
      <c r="N329" s="187" t="str">
        <f aca="false">IF(G329&gt;=20,"REPLACE",IF(L329&gt;0.6,"REPLACE",IF(G329&gt;=15,"REPLACE",IF(OR(G329&gt;=11,L329&gt;0.4),"MONITOR","KEEP"))))</f>
        <v>KEEP</v>
      </c>
      <c r="O329" s="188" t="str">
        <f aca="false">IF(G329&gt;=20,"End of life (age &gt; 20)",IF(L329&gt;0.6,"Repairs exceed 60% of revenue",IF(G329&gt;=15,"Age 15+ → replace",IF(OR(G329&gt;=11,L329&gt;0.4),"Watch costs; plan replacement","Healthy — continue operating"))))</f>
        <v>Healthy — continue operating</v>
      </c>
      <c r="P329" s="188" t="str">
        <f aca="false">'Engineering Assumptions'!H37</f>
        <v>TATA LPK1618 tipper ~Rs. 14–18M</v>
      </c>
    </row>
    <row r="330" customFormat="false" ht="15" hidden="false" customHeight="true" outlineLevel="0" collapsed="false">
      <c r="A330" s="9" t="n">
        <v>306</v>
      </c>
      <c r="B330" s="184" t="s">
        <v>131</v>
      </c>
      <c r="C330" s="184" t="s">
        <v>2293</v>
      </c>
      <c r="D330" s="184" t="s">
        <v>955</v>
      </c>
      <c r="E330" s="184" t="s">
        <v>956</v>
      </c>
      <c r="F330" s="45" t="s">
        <v>450</v>
      </c>
      <c r="G330" s="9" t="n">
        <v>8</v>
      </c>
      <c r="H330" s="185" t="n">
        <f aca="false">'Engineering Assumptions'!$F$37*0.35*1</f>
        <v>5.6</v>
      </c>
      <c r="I330" s="185" t="n">
        <f aca="false">'Engineering Assumptions'!$F$37*1</f>
        <v>16</v>
      </c>
      <c r="J330" s="12" t="n">
        <f aca="false">'Fleet Pricing'!L330</f>
        <v>305000</v>
      </c>
      <c r="K330" s="12" t="n">
        <f aca="false">'Maintenance &amp; Repair'!J330+'Maintenance &amp; Repair'!K330</f>
        <v>62400</v>
      </c>
      <c r="L330" s="186" t="n">
        <f aca="false">IFERROR(K330/J330,0)</f>
        <v>0.204590163934426</v>
      </c>
      <c r="M330" s="9" t="n">
        <f aca="false">MAX(0,'Engineering Assumptions'!$G$37-G330)</f>
        <v>7</v>
      </c>
      <c r="N330" s="187" t="str">
        <f aca="false">IF(G330&gt;=20,"REPLACE",IF(L330&gt;0.6,"REPLACE",IF(G330&gt;=15,"REPLACE",IF(OR(G330&gt;=11,L330&gt;0.4),"MONITOR","KEEP"))))</f>
        <v>KEEP</v>
      </c>
      <c r="O330" s="188" t="str">
        <f aca="false">IF(G330&gt;=20,"End of life (age &gt; 20)",IF(L330&gt;0.6,"Repairs exceed 60% of revenue",IF(G330&gt;=15,"Age 15+ → replace",IF(OR(G330&gt;=11,L330&gt;0.4),"Watch costs; plan replacement","Healthy — continue operating"))))</f>
        <v>Healthy — continue operating</v>
      </c>
      <c r="P330" s="188" t="str">
        <f aca="false">'Engineering Assumptions'!H37</f>
        <v>TATA LPK1618 tipper ~Rs. 14–18M</v>
      </c>
    </row>
    <row r="331" customFormat="false" ht="15" hidden="false" customHeight="true" outlineLevel="0" collapsed="false">
      <c r="A331" s="9" t="n">
        <v>307</v>
      </c>
      <c r="B331" s="184" t="s">
        <v>131</v>
      </c>
      <c r="C331" s="184" t="s">
        <v>2293</v>
      </c>
      <c r="D331" s="184" t="s">
        <v>983</v>
      </c>
      <c r="E331" s="184" t="s">
        <v>984</v>
      </c>
      <c r="F331" s="45" t="s">
        <v>450</v>
      </c>
      <c r="G331" s="9" t="n">
        <v>8</v>
      </c>
      <c r="H331" s="185" t="n">
        <f aca="false">'Engineering Assumptions'!$F$37*0.35*1</f>
        <v>5.6</v>
      </c>
      <c r="I331" s="185" t="n">
        <f aca="false">'Engineering Assumptions'!$F$37*1</f>
        <v>16</v>
      </c>
      <c r="J331" s="12" t="n">
        <f aca="false">'Fleet Pricing'!L331</f>
        <v>305000</v>
      </c>
      <c r="K331" s="12" t="n">
        <f aca="false">'Maintenance &amp; Repair'!J331+'Maintenance &amp; Repair'!K331</f>
        <v>62400</v>
      </c>
      <c r="L331" s="186" t="n">
        <f aca="false">IFERROR(K331/J331,0)</f>
        <v>0.204590163934426</v>
      </c>
      <c r="M331" s="9" t="n">
        <f aca="false">MAX(0,'Engineering Assumptions'!$G$37-G331)</f>
        <v>7</v>
      </c>
      <c r="N331" s="187" t="str">
        <f aca="false">IF(G331&gt;=20,"REPLACE",IF(L331&gt;0.6,"REPLACE",IF(G331&gt;=15,"REPLACE",IF(OR(G331&gt;=11,L331&gt;0.4),"MONITOR","KEEP"))))</f>
        <v>KEEP</v>
      </c>
      <c r="O331" s="188" t="str">
        <f aca="false">IF(G331&gt;=20,"End of life (age &gt; 20)",IF(L331&gt;0.6,"Repairs exceed 60% of revenue",IF(G331&gt;=15,"Age 15+ → replace",IF(OR(G331&gt;=11,L331&gt;0.4),"Watch costs; plan replacement","Healthy — continue operating"))))</f>
        <v>Healthy — continue operating</v>
      </c>
      <c r="P331" s="188" t="str">
        <f aca="false">'Engineering Assumptions'!H37</f>
        <v>TATA LPK1618 tipper ~Rs. 14–18M</v>
      </c>
    </row>
    <row r="332" customFormat="false" ht="15" hidden="false" customHeight="true" outlineLevel="0" collapsed="false">
      <c r="A332" s="9" t="n">
        <v>308</v>
      </c>
      <c r="B332" s="184" t="s">
        <v>131</v>
      </c>
      <c r="C332" s="184" t="s">
        <v>2293</v>
      </c>
      <c r="D332" s="184" t="s">
        <v>985</v>
      </c>
      <c r="E332" s="184" t="s">
        <v>987</v>
      </c>
      <c r="F332" s="45" t="s">
        <v>450</v>
      </c>
      <c r="G332" s="9" t="n">
        <v>8</v>
      </c>
      <c r="H332" s="185" t="n">
        <f aca="false">'Engineering Assumptions'!$F$37*0.35*1</f>
        <v>5.6</v>
      </c>
      <c r="I332" s="185" t="n">
        <f aca="false">'Engineering Assumptions'!$F$37*1</f>
        <v>16</v>
      </c>
      <c r="J332" s="12" t="n">
        <f aca="false">'Fleet Pricing'!L332</f>
        <v>305000</v>
      </c>
      <c r="K332" s="12" t="n">
        <f aca="false">'Maintenance &amp; Repair'!J332+'Maintenance &amp; Repair'!K332</f>
        <v>62400</v>
      </c>
      <c r="L332" s="186" t="n">
        <f aca="false">IFERROR(K332/J332,0)</f>
        <v>0.204590163934426</v>
      </c>
      <c r="M332" s="9" t="n">
        <f aca="false">MAX(0,'Engineering Assumptions'!$G$37-G332)</f>
        <v>7</v>
      </c>
      <c r="N332" s="187" t="str">
        <f aca="false">IF(G332&gt;=20,"REPLACE",IF(L332&gt;0.6,"REPLACE",IF(G332&gt;=15,"REPLACE",IF(OR(G332&gt;=11,L332&gt;0.4),"MONITOR","KEEP"))))</f>
        <v>KEEP</v>
      </c>
      <c r="O332" s="188" t="str">
        <f aca="false">IF(G332&gt;=20,"End of life (age &gt; 20)",IF(L332&gt;0.6,"Repairs exceed 60% of revenue",IF(G332&gt;=15,"Age 15+ → replace",IF(OR(G332&gt;=11,L332&gt;0.4),"Watch costs; plan replacement","Healthy — continue operating"))))</f>
        <v>Healthy — continue operating</v>
      </c>
      <c r="P332" s="188" t="str">
        <f aca="false">'Engineering Assumptions'!H37</f>
        <v>TATA LPK1618 tipper ~Rs. 14–18M</v>
      </c>
    </row>
    <row r="333" customFormat="false" ht="15" hidden="false" customHeight="true" outlineLevel="0" collapsed="false">
      <c r="A333" s="9" t="n">
        <v>309</v>
      </c>
      <c r="B333" s="184" t="s">
        <v>131</v>
      </c>
      <c r="C333" s="184" t="s">
        <v>2293</v>
      </c>
      <c r="D333" s="184" t="s">
        <v>961</v>
      </c>
      <c r="E333" s="184" t="s">
        <v>962</v>
      </c>
      <c r="F333" s="45" t="s">
        <v>450</v>
      </c>
      <c r="G333" s="9" t="n">
        <v>8</v>
      </c>
      <c r="H333" s="185" t="n">
        <f aca="false">'Engineering Assumptions'!$F$37*0.35*1</f>
        <v>5.6</v>
      </c>
      <c r="I333" s="185" t="n">
        <f aca="false">'Engineering Assumptions'!$F$37*1</f>
        <v>16</v>
      </c>
      <c r="J333" s="12" t="n">
        <f aca="false">'Fleet Pricing'!L333</f>
        <v>305000</v>
      </c>
      <c r="K333" s="12" t="n">
        <f aca="false">'Maintenance &amp; Repair'!J333+'Maintenance &amp; Repair'!K333</f>
        <v>62400</v>
      </c>
      <c r="L333" s="186" t="n">
        <f aca="false">IFERROR(K333/J333,0)</f>
        <v>0.204590163934426</v>
      </c>
      <c r="M333" s="9" t="n">
        <f aca="false">MAX(0,'Engineering Assumptions'!$G$37-G333)</f>
        <v>7</v>
      </c>
      <c r="N333" s="187" t="str">
        <f aca="false">IF(G333&gt;=20,"REPLACE",IF(L333&gt;0.6,"REPLACE",IF(G333&gt;=15,"REPLACE",IF(OR(G333&gt;=11,L333&gt;0.4),"MONITOR","KEEP"))))</f>
        <v>KEEP</v>
      </c>
      <c r="O333" s="188" t="str">
        <f aca="false">IF(G333&gt;=20,"End of life (age &gt; 20)",IF(L333&gt;0.6,"Repairs exceed 60% of revenue",IF(G333&gt;=15,"Age 15+ → replace",IF(OR(G333&gt;=11,L333&gt;0.4),"Watch costs; plan replacement","Healthy — continue operating"))))</f>
        <v>Healthy — continue operating</v>
      </c>
      <c r="P333" s="188" t="str">
        <f aca="false">'Engineering Assumptions'!H37</f>
        <v>TATA LPK1618 tipper ~Rs. 14–18M</v>
      </c>
    </row>
    <row r="334" customFormat="false" ht="15" hidden="false" customHeight="true" outlineLevel="0" collapsed="false">
      <c r="A334" s="9" t="n">
        <v>310</v>
      </c>
      <c r="B334" s="184" t="s">
        <v>131</v>
      </c>
      <c r="C334" s="184" t="s">
        <v>2421</v>
      </c>
      <c r="D334" s="184" t="s">
        <v>963</v>
      </c>
      <c r="E334" s="184" t="s">
        <v>964</v>
      </c>
      <c r="F334" s="45" t="s">
        <v>450</v>
      </c>
      <c r="G334" s="9" t="n">
        <v>8</v>
      </c>
      <c r="H334" s="185" t="n">
        <f aca="false">'Engineering Assumptions'!$F$37*0.35*1</f>
        <v>5.6</v>
      </c>
      <c r="I334" s="185" t="n">
        <f aca="false">'Engineering Assumptions'!$F$37*1</f>
        <v>16</v>
      </c>
      <c r="J334" s="12" t="n">
        <f aca="false">'Fleet Pricing'!L334</f>
        <v>305000</v>
      </c>
      <c r="K334" s="12" t="n">
        <f aca="false">'Maintenance &amp; Repair'!J334+'Maintenance &amp; Repair'!K334</f>
        <v>62400</v>
      </c>
      <c r="L334" s="186" t="n">
        <f aca="false">IFERROR(K334/J334,0)</f>
        <v>0.204590163934426</v>
      </c>
      <c r="M334" s="9" t="n">
        <f aca="false">MAX(0,'Engineering Assumptions'!$G$37-G334)</f>
        <v>7</v>
      </c>
      <c r="N334" s="187" t="str">
        <f aca="false">IF(G334&gt;=20,"REPLACE",IF(L334&gt;0.6,"REPLACE",IF(G334&gt;=15,"REPLACE",IF(OR(G334&gt;=11,L334&gt;0.4),"MONITOR","KEEP"))))</f>
        <v>KEEP</v>
      </c>
      <c r="O334" s="188" t="str">
        <f aca="false">IF(G334&gt;=20,"End of life (age &gt; 20)",IF(L334&gt;0.6,"Repairs exceed 60% of revenue",IF(G334&gt;=15,"Age 15+ → replace",IF(OR(G334&gt;=11,L334&gt;0.4),"Watch costs; plan replacement","Healthy — continue operating"))))</f>
        <v>Healthy — continue operating</v>
      </c>
      <c r="P334" s="188" t="str">
        <f aca="false">'Engineering Assumptions'!H37</f>
        <v>TATA LPK1618 tipper ~Rs. 14–18M</v>
      </c>
    </row>
    <row r="335" customFormat="false" ht="15" hidden="false" customHeight="true" outlineLevel="0" collapsed="false">
      <c r="A335" s="9" t="n">
        <v>311</v>
      </c>
      <c r="B335" s="184" t="s">
        <v>131</v>
      </c>
      <c r="C335" s="184" t="s">
        <v>2422</v>
      </c>
      <c r="D335" s="184" t="s">
        <v>965</v>
      </c>
      <c r="E335" s="184" t="s">
        <v>966</v>
      </c>
      <c r="F335" s="45" t="s">
        <v>450</v>
      </c>
      <c r="G335" s="9" t="n">
        <v>8</v>
      </c>
      <c r="H335" s="185" t="n">
        <f aca="false">'Engineering Assumptions'!$F$37*0.35*1</f>
        <v>5.6</v>
      </c>
      <c r="I335" s="185" t="n">
        <f aca="false">'Engineering Assumptions'!$F$37*1</f>
        <v>16</v>
      </c>
      <c r="J335" s="12" t="n">
        <f aca="false">'Fleet Pricing'!L335</f>
        <v>305000</v>
      </c>
      <c r="K335" s="12" t="n">
        <f aca="false">'Maintenance &amp; Repair'!J335+'Maintenance &amp; Repair'!K335</f>
        <v>62400</v>
      </c>
      <c r="L335" s="186" t="n">
        <f aca="false">IFERROR(K335/J335,0)</f>
        <v>0.204590163934426</v>
      </c>
      <c r="M335" s="9" t="n">
        <f aca="false">MAX(0,'Engineering Assumptions'!$G$37-G335)</f>
        <v>7</v>
      </c>
      <c r="N335" s="187" t="str">
        <f aca="false">IF(G335&gt;=20,"REPLACE",IF(L335&gt;0.6,"REPLACE",IF(G335&gt;=15,"REPLACE",IF(OR(G335&gt;=11,L335&gt;0.4),"MONITOR","KEEP"))))</f>
        <v>KEEP</v>
      </c>
      <c r="O335" s="188" t="str">
        <f aca="false">IF(G335&gt;=20,"End of life (age &gt; 20)",IF(L335&gt;0.6,"Repairs exceed 60% of revenue",IF(G335&gt;=15,"Age 15+ → replace",IF(OR(G335&gt;=11,L335&gt;0.4),"Watch costs; plan replacement","Healthy — continue operating"))))</f>
        <v>Healthy — continue operating</v>
      </c>
      <c r="P335" s="188" t="str">
        <f aca="false">'Engineering Assumptions'!H37</f>
        <v>TATA LPK1618 tipper ~Rs. 14–18M</v>
      </c>
    </row>
    <row r="336" customFormat="false" ht="15" hidden="false" customHeight="true" outlineLevel="0" collapsed="false">
      <c r="A336" s="9" t="n">
        <v>312</v>
      </c>
      <c r="B336" s="184" t="s">
        <v>131</v>
      </c>
      <c r="C336" s="184" t="s">
        <v>2422</v>
      </c>
      <c r="D336" s="184" t="s">
        <v>967</v>
      </c>
      <c r="E336" s="184" t="s">
        <v>968</v>
      </c>
      <c r="F336" s="45" t="s">
        <v>450</v>
      </c>
      <c r="G336" s="9" t="n">
        <v>8</v>
      </c>
      <c r="H336" s="185" t="n">
        <f aca="false">'Engineering Assumptions'!$F$37*0.35*1</f>
        <v>5.6</v>
      </c>
      <c r="I336" s="185" t="n">
        <f aca="false">'Engineering Assumptions'!$F$37*1</f>
        <v>16</v>
      </c>
      <c r="J336" s="12" t="n">
        <f aca="false">'Fleet Pricing'!L336</f>
        <v>305000</v>
      </c>
      <c r="K336" s="12" t="n">
        <f aca="false">'Maintenance &amp; Repair'!J336+'Maintenance &amp; Repair'!K336</f>
        <v>62400</v>
      </c>
      <c r="L336" s="186" t="n">
        <f aca="false">IFERROR(K336/J336,0)</f>
        <v>0.204590163934426</v>
      </c>
      <c r="M336" s="9" t="n">
        <f aca="false">MAX(0,'Engineering Assumptions'!$G$37-G336)</f>
        <v>7</v>
      </c>
      <c r="N336" s="187" t="str">
        <f aca="false">IF(G336&gt;=20,"REPLACE",IF(L336&gt;0.6,"REPLACE",IF(G336&gt;=15,"REPLACE",IF(OR(G336&gt;=11,L336&gt;0.4),"MONITOR","KEEP"))))</f>
        <v>KEEP</v>
      </c>
      <c r="O336" s="188" t="str">
        <f aca="false">IF(G336&gt;=20,"End of life (age &gt; 20)",IF(L336&gt;0.6,"Repairs exceed 60% of revenue",IF(G336&gt;=15,"Age 15+ → replace",IF(OR(G336&gt;=11,L336&gt;0.4),"Watch costs; plan replacement","Healthy — continue operating"))))</f>
        <v>Healthy — continue operating</v>
      </c>
      <c r="P336" s="188" t="str">
        <f aca="false">'Engineering Assumptions'!H37</f>
        <v>TATA LPK1618 tipper ~Rs. 14–18M</v>
      </c>
    </row>
    <row r="337" customFormat="false" ht="15" hidden="false" customHeight="true" outlineLevel="0" collapsed="false">
      <c r="A337" s="9" t="n">
        <v>313</v>
      </c>
      <c r="B337" s="184" t="s">
        <v>131</v>
      </c>
      <c r="C337" s="184" t="s">
        <v>2422</v>
      </c>
      <c r="D337" s="184" t="s">
        <v>969</v>
      </c>
      <c r="E337" s="184" t="s">
        <v>970</v>
      </c>
      <c r="F337" s="45" t="s">
        <v>450</v>
      </c>
      <c r="G337" s="9" t="n">
        <v>8</v>
      </c>
      <c r="H337" s="185" t="n">
        <f aca="false">'Engineering Assumptions'!$F$37*0.35*1</f>
        <v>5.6</v>
      </c>
      <c r="I337" s="185" t="n">
        <f aca="false">'Engineering Assumptions'!$F$37*1</f>
        <v>16</v>
      </c>
      <c r="J337" s="12" t="n">
        <f aca="false">'Fleet Pricing'!L337</f>
        <v>305000</v>
      </c>
      <c r="K337" s="12" t="n">
        <f aca="false">'Maintenance &amp; Repair'!J337+'Maintenance &amp; Repair'!K337</f>
        <v>62400</v>
      </c>
      <c r="L337" s="186" t="n">
        <f aca="false">IFERROR(K337/J337,0)</f>
        <v>0.204590163934426</v>
      </c>
      <c r="M337" s="9" t="n">
        <f aca="false">MAX(0,'Engineering Assumptions'!$G$37-G337)</f>
        <v>7</v>
      </c>
      <c r="N337" s="187" t="str">
        <f aca="false">IF(G337&gt;=20,"REPLACE",IF(L337&gt;0.6,"REPLACE",IF(G337&gt;=15,"REPLACE",IF(OR(G337&gt;=11,L337&gt;0.4),"MONITOR","KEEP"))))</f>
        <v>KEEP</v>
      </c>
      <c r="O337" s="188" t="str">
        <f aca="false">IF(G337&gt;=20,"End of life (age &gt; 20)",IF(L337&gt;0.6,"Repairs exceed 60% of revenue",IF(G337&gt;=15,"Age 15+ → replace",IF(OR(G337&gt;=11,L337&gt;0.4),"Watch costs; plan replacement","Healthy — continue operating"))))</f>
        <v>Healthy — continue operating</v>
      </c>
      <c r="P337" s="188" t="str">
        <f aca="false">'Engineering Assumptions'!H37</f>
        <v>TATA LPK1618 tipper ~Rs. 14–18M</v>
      </c>
    </row>
    <row r="338" customFormat="false" ht="15" hidden="false" customHeight="true" outlineLevel="0" collapsed="false">
      <c r="A338" s="9" t="n">
        <v>314</v>
      </c>
      <c r="B338" s="184" t="s">
        <v>131</v>
      </c>
      <c r="C338" s="184" t="s">
        <v>2422</v>
      </c>
      <c r="D338" s="184" t="s">
        <v>971</v>
      </c>
      <c r="E338" s="184" t="s">
        <v>972</v>
      </c>
      <c r="F338" s="45" t="s">
        <v>450</v>
      </c>
      <c r="G338" s="9" t="n">
        <v>8</v>
      </c>
      <c r="H338" s="185" t="n">
        <f aca="false">'Engineering Assumptions'!$F$37*0.35*1</f>
        <v>5.6</v>
      </c>
      <c r="I338" s="185" t="n">
        <f aca="false">'Engineering Assumptions'!$F$37*1</f>
        <v>16</v>
      </c>
      <c r="J338" s="12" t="n">
        <f aca="false">'Fleet Pricing'!L338</f>
        <v>305000</v>
      </c>
      <c r="K338" s="12" t="n">
        <f aca="false">'Maintenance &amp; Repair'!J338+'Maintenance &amp; Repair'!K338</f>
        <v>62400</v>
      </c>
      <c r="L338" s="186" t="n">
        <f aca="false">IFERROR(K338/J338,0)</f>
        <v>0.204590163934426</v>
      </c>
      <c r="M338" s="9" t="n">
        <f aca="false">MAX(0,'Engineering Assumptions'!$G$37-G338)</f>
        <v>7</v>
      </c>
      <c r="N338" s="187" t="str">
        <f aca="false">IF(G338&gt;=20,"REPLACE",IF(L338&gt;0.6,"REPLACE",IF(G338&gt;=15,"REPLACE",IF(OR(G338&gt;=11,L338&gt;0.4),"MONITOR","KEEP"))))</f>
        <v>KEEP</v>
      </c>
      <c r="O338" s="188" t="str">
        <f aca="false">IF(G338&gt;=20,"End of life (age &gt; 20)",IF(L338&gt;0.6,"Repairs exceed 60% of revenue",IF(G338&gt;=15,"Age 15+ → replace",IF(OR(G338&gt;=11,L338&gt;0.4),"Watch costs; plan replacement","Healthy — continue operating"))))</f>
        <v>Healthy — continue operating</v>
      </c>
      <c r="P338" s="188" t="str">
        <f aca="false">'Engineering Assumptions'!H37</f>
        <v>TATA LPK1618 tipper ~Rs. 14–18M</v>
      </c>
    </row>
    <row r="339" customFormat="false" ht="15" hidden="false" customHeight="true" outlineLevel="0" collapsed="false">
      <c r="A339" s="9" t="n">
        <v>315</v>
      </c>
      <c r="B339" s="184" t="s">
        <v>131</v>
      </c>
      <c r="C339" s="184" t="s">
        <v>2422</v>
      </c>
      <c r="D339" s="184" t="s">
        <v>973</v>
      </c>
      <c r="E339" s="184" t="s">
        <v>974</v>
      </c>
      <c r="F339" s="45" t="s">
        <v>450</v>
      </c>
      <c r="G339" s="9" t="n">
        <v>8</v>
      </c>
      <c r="H339" s="185" t="n">
        <f aca="false">'Engineering Assumptions'!$F$37*0.35*1</f>
        <v>5.6</v>
      </c>
      <c r="I339" s="185" t="n">
        <f aca="false">'Engineering Assumptions'!$F$37*1</f>
        <v>16</v>
      </c>
      <c r="J339" s="12" t="n">
        <f aca="false">'Fleet Pricing'!L339</f>
        <v>305000</v>
      </c>
      <c r="K339" s="12" t="n">
        <f aca="false">'Maintenance &amp; Repair'!J339+'Maintenance &amp; Repair'!K339</f>
        <v>62400</v>
      </c>
      <c r="L339" s="186" t="n">
        <f aca="false">IFERROR(K339/J339,0)</f>
        <v>0.204590163934426</v>
      </c>
      <c r="M339" s="9" t="n">
        <f aca="false">MAX(0,'Engineering Assumptions'!$G$37-G339)</f>
        <v>7</v>
      </c>
      <c r="N339" s="187" t="str">
        <f aca="false">IF(G339&gt;=20,"REPLACE",IF(L339&gt;0.6,"REPLACE",IF(G339&gt;=15,"REPLACE",IF(OR(G339&gt;=11,L339&gt;0.4),"MONITOR","KEEP"))))</f>
        <v>KEEP</v>
      </c>
      <c r="O339" s="188" t="str">
        <f aca="false">IF(G339&gt;=20,"End of life (age &gt; 20)",IF(L339&gt;0.6,"Repairs exceed 60% of revenue",IF(G339&gt;=15,"Age 15+ → replace",IF(OR(G339&gt;=11,L339&gt;0.4),"Watch costs; plan replacement","Healthy — continue operating"))))</f>
        <v>Healthy — continue operating</v>
      </c>
      <c r="P339" s="188" t="str">
        <f aca="false">'Engineering Assumptions'!H37</f>
        <v>TATA LPK1618 tipper ~Rs. 14–18M</v>
      </c>
    </row>
    <row r="340" customFormat="false" ht="15" hidden="false" customHeight="true" outlineLevel="0" collapsed="false">
      <c r="A340" s="9" t="n">
        <v>316</v>
      </c>
      <c r="B340" s="184" t="s">
        <v>131</v>
      </c>
      <c r="C340" s="184" t="s">
        <v>2422</v>
      </c>
      <c r="D340" s="184" t="s">
        <v>977</v>
      </c>
      <c r="E340" s="184" t="s">
        <v>978</v>
      </c>
      <c r="F340" s="45" t="s">
        <v>450</v>
      </c>
      <c r="G340" s="9" t="n">
        <v>8</v>
      </c>
      <c r="H340" s="185" t="n">
        <f aca="false">'Engineering Assumptions'!$F$37*0.35*1</f>
        <v>5.6</v>
      </c>
      <c r="I340" s="185" t="n">
        <f aca="false">'Engineering Assumptions'!$F$37*1</f>
        <v>16</v>
      </c>
      <c r="J340" s="12" t="n">
        <f aca="false">'Fleet Pricing'!L340</f>
        <v>305000</v>
      </c>
      <c r="K340" s="12" t="n">
        <f aca="false">'Maintenance &amp; Repair'!J340+'Maintenance &amp; Repair'!K340</f>
        <v>62400</v>
      </c>
      <c r="L340" s="186" t="n">
        <f aca="false">IFERROR(K340/J340,0)</f>
        <v>0.204590163934426</v>
      </c>
      <c r="M340" s="9" t="n">
        <f aca="false">MAX(0,'Engineering Assumptions'!$G$37-G340)</f>
        <v>7</v>
      </c>
      <c r="N340" s="187" t="str">
        <f aca="false">IF(G340&gt;=20,"REPLACE",IF(L340&gt;0.6,"REPLACE",IF(G340&gt;=15,"REPLACE",IF(OR(G340&gt;=11,L340&gt;0.4),"MONITOR","KEEP"))))</f>
        <v>KEEP</v>
      </c>
      <c r="O340" s="188" t="str">
        <f aca="false">IF(G340&gt;=20,"End of life (age &gt; 20)",IF(L340&gt;0.6,"Repairs exceed 60% of revenue",IF(G340&gt;=15,"Age 15+ → replace",IF(OR(G340&gt;=11,L340&gt;0.4),"Watch costs; plan replacement","Healthy — continue operating"))))</f>
        <v>Healthy — continue operating</v>
      </c>
      <c r="P340" s="188" t="str">
        <f aca="false">'Engineering Assumptions'!H37</f>
        <v>TATA LPK1618 tipper ~Rs. 14–18M</v>
      </c>
    </row>
    <row r="341" customFormat="false" ht="15" hidden="false" customHeight="true" outlineLevel="0" collapsed="false">
      <c r="A341" s="9" t="n">
        <v>317</v>
      </c>
      <c r="B341" s="184" t="s">
        <v>131</v>
      </c>
      <c r="C341" s="184" t="s">
        <v>2422</v>
      </c>
      <c r="D341" s="184" t="s">
        <v>979</v>
      </c>
      <c r="E341" s="184" t="s">
        <v>980</v>
      </c>
      <c r="F341" s="45" t="s">
        <v>450</v>
      </c>
      <c r="G341" s="9" t="n">
        <v>8</v>
      </c>
      <c r="H341" s="185" t="n">
        <f aca="false">'Engineering Assumptions'!$F$37*0.35*1</f>
        <v>5.6</v>
      </c>
      <c r="I341" s="185" t="n">
        <f aca="false">'Engineering Assumptions'!$F$37*1</f>
        <v>16</v>
      </c>
      <c r="J341" s="12" t="n">
        <f aca="false">'Fleet Pricing'!L341</f>
        <v>305000</v>
      </c>
      <c r="K341" s="12" t="n">
        <f aca="false">'Maintenance &amp; Repair'!J341+'Maintenance &amp; Repair'!K341</f>
        <v>62400</v>
      </c>
      <c r="L341" s="186" t="n">
        <f aca="false">IFERROR(K341/J341,0)</f>
        <v>0.204590163934426</v>
      </c>
      <c r="M341" s="9" t="n">
        <f aca="false">MAX(0,'Engineering Assumptions'!$G$37-G341)</f>
        <v>7</v>
      </c>
      <c r="N341" s="187" t="str">
        <f aca="false">IF(G341&gt;=20,"REPLACE",IF(L341&gt;0.6,"REPLACE",IF(G341&gt;=15,"REPLACE",IF(OR(G341&gt;=11,L341&gt;0.4),"MONITOR","KEEP"))))</f>
        <v>KEEP</v>
      </c>
      <c r="O341" s="188" t="str">
        <f aca="false">IF(G341&gt;=20,"End of life (age &gt; 20)",IF(L341&gt;0.6,"Repairs exceed 60% of revenue",IF(G341&gt;=15,"Age 15+ → replace",IF(OR(G341&gt;=11,L341&gt;0.4),"Watch costs; plan replacement","Healthy — continue operating"))))</f>
        <v>Healthy — continue operating</v>
      </c>
      <c r="P341" s="188" t="str">
        <f aca="false">'Engineering Assumptions'!H37</f>
        <v>TATA LPK1618 tipper ~Rs. 14–18M</v>
      </c>
    </row>
    <row r="342" customFormat="false" ht="15" hidden="false" customHeight="true" outlineLevel="0" collapsed="false">
      <c r="A342" s="9" t="n">
        <v>318</v>
      </c>
      <c r="B342" s="184" t="s">
        <v>131</v>
      </c>
      <c r="C342" s="184" t="s">
        <v>2422</v>
      </c>
      <c r="D342" s="184" t="s">
        <v>1032</v>
      </c>
      <c r="E342" s="184" t="s">
        <v>1033</v>
      </c>
      <c r="F342" s="45" t="s">
        <v>450</v>
      </c>
      <c r="G342" s="9" t="n">
        <v>8</v>
      </c>
      <c r="H342" s="185" t="n">
        <f aca="false">'Engineering Assumptions'!$F$37*0.35*1</f>
        <v>5.6</v>
      </c>
      <c r="I342" s="185" t="n">
        <f aca="false">'Engineering Assumptions'!$F$37*1</f>
        <v>16</v>
      </c>
      <c r="J342" s="12" t="n">
        <f aca="false">'Fleet Pricing'!L342</f>
        <v>305000</v>
      </c>
      <c r="K342" s="12" t="n">
        <f aca="false">'Maintenance &amp; Repair'!J342+'Maintenance &amp; Repair'!K342</f>
        <v>62400</v>
      </c>
      <c r="L342" s="186" t="n">
        <f aca="false">IFERROR(K342/J342,0)</f>
        <v>0.204590163934426</v>
      </c>
      <c r="M342" s="9" t="n">
        <f aca="false">MAX(0,'Engineering Assumptions'!$G$37-G342)</f>
        <v>7</v>
      </c>
      <c r="N342" s="187" t="str">
        <f aca="false">IF(G342&gt;=20,"REPLACE",IF(L342&gt;0.6,"REPLACE",IF(G342&gt;=15,"REPLACE",IF(OR(G342&gt;=11,L342&gt;0.4),"MONITOR","KEEP"))))</f>
        <v>KEEP</v>
      </c>
      <c r="O342" s="188" t="str">
        <f aca="false">IF(G342&gt;=20,"End of life (age &gt; 20)",IF(L342&gt;0.6,"Repairs exceed 60% of revenue",IF(G342&gt;=15,"Age 15+ → replace",IF(OR(G342&gt;=11,L342&gt;0.4),"Watch costs; plan replacement","Healthy — continue operating"))))</f>
        <v>Healthy — continue operating</v>
      </c>
      <c r="P342" s="188" t="str">
        <f aca="false">'Engineering Assumptions'!H37</f>
        <v>TATA LPK1618 tipper ~Rs. 14–18M</v>
      </c>
    </row>
    <row r="343" customFormat="false" ht="15" hidden="false" customHeight="true" outlineLevel="0" collapsed="false">
      <c r="A343" s="9" t="n">
        <v>319</v>
      </c>
      <c r="B343" s="184" t="s">
        <v>131</v>
      </c>
      <c r="C343" s="184" t="s">
        <v>2422</v>
      </c>
      <c r="D343" s="184" t="s">
        <v>957</v>
      </c>
      <c r="E343" s="184" t="s">
        <v>958</v>
      </c>
      <c r="F343" s="45" t="s">
        <v>450</v>
      </c>
      <c r="G343" s="9" t="n">
        <v>8</v>
      </c>
      <c r="H343" s="185" t="n">
        <f aca="false">'Engineering Assumptions'!$F$37*0.35*1</f>
        <v>5.6</v>
      </c>
      <c r="I343" s="185" t="n">
        <f aca="false">'Engineering Assumptions'!$F$37*1</f>
        <v>16</v>
      </c>
      <c r="J343" s="12" t="n">
        <f aca="false">'Fleet Pricing'!L343</f>
        <v>305000</v>
      </c>
      <c r="K343" s="12" t="n">
        <f aca="false">'Maintenance &amp; Repair'!J343+'Maintenance &amp; Repair'!K343</f>
        <v>62400</v>
      </c>
      <c r="L343" s="186" t="n">
        <f aca="false">IFERROR(K343/J343,0)</f>
        <v>0.204590163934426</v>
      </c>
      <c r="M343" s="9" t="n">
        <f aca="false">MAX(0,'Engineering Assumptions'!$G$37-G343)</f>
        <v>7</v>
      </c>
      <c r="N343" s="187" t="str">
        <f aca="false">IF(G343&gt;=20,"REPLACE",IF(L343&gt;0.6,"REPLACE",IF(G343&gt;=15,"REPLACE",IF(OR(G343&gt;=11,L343&gt;0.4),"MONITOR","KEEP"))))</f>
        <v>KEEP</v>
      </c>
      <c r="O343" s="188" t="str">
        <f aca="false">IF(G343&gt;=20,"End of life (age &gt; 20)",IF(L343&gt;0.6,"Repairs exceed 60% of revenue",IF(G343&gt;=15,"Age 15+ → replace",IF(OR(G343&gt;=11,L343&gt;0.4),"Watch costs; plan replacement","Healthy — continue operating"))))</f>
        <v>Healthy — continue operating</v>
      </c>
      <c r="P343" s="188" t="str">
        <f aca="false">'Engineering Assumptions'!H37</f>
        <v>TATA LPK1618 tipper ~Rs. 14–18M</v>
      </c>
    </row>
    <row r="344" customFormat="false" ht="15" hidden="false" customHeight="true" outlineLevel="0" collapsed="false">
      <c r="A344" s="9" t="n">
        <v>320</v>
      </c>
      <c r="B344" s="184" t="s">
        <v>131</v>
      </c>
      <c r="C344" s="184" t="s">
        <v>2422</v>
      </c>
      <c r="D344" s="184" t="s">
        <v>959</v>
      </c>
      <c r="E344" s="184" t="s">
        <v>960</v>
      </c>
      <c r="F344" s="45" t="s">
        <v>450</v>
      </c>
      <c r="G344" s="9" t="n">
        <v>8</v>
      </c>
      <c r="H344" s="185" t="n">
        <f aca="false">'Engineering Assumptions'!$F$37*0.35*1</f>
        <v>5.6</v>
      </c>
      <c r="I344" s="185" t="n">
        <f aca="false">'Engineering Assumptions'!$F$37*1</f>
        <v>16</v>
      </c>
      <c r="J344" s="12" t="n">
        <f aca="false">'Fleet Pricing'!L344</f>
        <v>305000</v>
      </c>
      <c r="K344" s="12" t="n">
        <f aca="false">'Maintenance &amp; Repair'!J344+'Maintenance &amp; Repair'!K344</f>
        <v>62400</v>
      </c>
      <c r="L344" s="186" t="n">
        <f aca="false">IFERROR(K344/J344,0)</f>
        <v>0.204590163934426</v>
      </c>
      <c r="M344" s="9" t="n">
        <f aca="false">MAX(0,'Engineering Assumptions'!$G$37-G344)</f>
        <v>7</v>
      </c>
      <c r="N344" s="187" t="str">
        <f aca="false">IF(G344&gt;=20,"REPLACE",IF(L344&gt;0.6,"REPLACE",IF(G344&gt;=15,"REPLACE",IF(OR(G344&gt;=11,L344&gt;0.4),"MONITOR","KEEP"))))</f>
        <v>KEEP</v>
      </c>
      <c r="O344" s="188" t="str">
        <f aca="false">IF(G344&gt;=20,"End of life (age &gt; 20)",IF(L344&gt;0.6,"Repairs exceed 60% of revenue",IF(G344&gt;=15,"Age 15+ → replace",IF(OR(G344&gt;=11,L344&gt;0.4),"Watch costs; plan replacement","Healthy — continue operating"))))</f>
        <v>Healthy — continue operating</v>
      </c>
      <c r="P344" s="188" t="str">
        <f aca="false">'Engineering Assumptions'!H37</f>
        <v>TATA LPK1618 tipper ~Rs. 14–18M</v>
      </c>
    </row>
    <row r="345" customFormat="false" ht="15" hidden="false" customHeight="true" outlineLevel="0" collapsed="false">
      <c r="A345" s="9" t="n">
        <v>321</v>
      </c>
      <c r="B345" s="184" t="s">
        <v>131</v>
      </c>
      <c r="C345" s="184" t="s">
        <v>2422</v>
      </c>
      <c r="D345" s="184" t="s">
        <v>1041</v>
      </c>
      <c r="E345" s="184" t="s">
        <v>1042</v>
      </c>
      <c r="F345" s="45" t="s">
        <v>450</v>
      </c>
      <c r="G345" s="9" t="n">
        <v>8</v>
      </c>
      <c r="H345" s="185" t="n">
        <f aca="false">'Engineering Assumptions'!$F$37*0.35*1</f>
        <v>5.6</v>
      </c>
      <c r="I345" s="185" t="n">
        <f aca="false">'Engineering Assumptions'!$F$37*1</f>
        <v>16</v>
      </c>
      <c r="J345" s="12" t="n">
        <f aca="false">'Fleet Pricing'!L345</f>
        <v>305000</v>
      </c>
      <c r="K345" s="12" t="n">
        <f aca="false">'Maintenance &amp; Repair'!J345+'Maintenance &amp; Repair'!K345</f>
        <v>62400</v>
      </c>
      <c r="L345" s="186" t="n">
        <f aca="false">IFERROR(K345/J345,0)</f>
        <v>0.204590163934426</v>
      </c>
      <c r="M345" s="9" t="n">
        <f aca="false">MAX(0,'Engineering Assumptions'!$G$37-G345)</f>
        <v>7</v>
      </c>
      <c r="N345" s="187" t="str">
        <f aca="false">IF(G345&gt;=20,"REPLACE",IF(L345&gt;0.6,"REPLACE",IF(G345&gt;=15,"REPLACE",IF(OR(G345&gt;=11,L345&gt;0.4),"MONITOR","KEEP"))))</f>
        <v>KEEP</v>
      </c>
      <c r="O345" s="188" t="str">
        <f aca="false">IF(G345&gt;=20,"End of life (age &gt; 20)",IF(L345&gt;0.6,"Repairs exceed 60% of revenue",IF(G345&gt;=15,"Age 15+ → replace",IF(OR(G345&gt;=11,L345&gt;0.4),"Watch costs; plan replacement","Healthy — continue operating"))))</f>
        <v>Healthy — continue operating</v>
      </c>
      <c r="P345" s="188" t="str">
        <f aca="false">'Engineering Assumptions'!H37</f>
        <v>TATA LPK1618 tipper ~Rs. 14–18M</v>
      </c>
    </row>
    <row r="346" customFormat="false" ht="15" hidden="false" customHeight="true" outlineLevel="0" collapsed="false">
      <c r="A346" s="9" t="n">
        <v>322</v>
      </c>
      <c r="B346" s="184" t="s">
        <v>131</v>
      </c>
      <c r="C346" s="184" t="s">
        <v>2423</v>
      </c>
      <c r="D346" s="184" t="s">
        <v>1008</v>
      </c>
      <c r="E346" s="184" t="s">
        <v>1010</v>
      </c>
      <c r="F346" s="45" t="s">
        <v>397</v>
      </c>
      <c r="G346" s="9" t="n">
        <v>9</v>
      </c>
      <c r="H346" s="185" t="n">
        <f aca="false">'Engineering Assumptions'!$F$37*0.22*1</f>
        <v>3.52</v>
      </c>
      <c r="I346" s="185" t="n">
        <f aca="false">'Engineering Assumptions'!$F$37*1</f>
        <v>16</v>
      </c>
      <c r="J346" s="12" t="n">
        <f aca="false">'Fleet Pricing'!L346</f>
        <v>305000</v>
      </c>
      <c r="K346" s="12" t="n">
        <f aca="false">'Maintenance &amp; Repair'!J346+'Maintenance &amp; Repair'!K346</f>
        <v>62400</v>
      </c>
      <c r="L346" s="186" t="n">
        <f aca="false">IFERROR(K346/J346,0)</f>
        <v>0.204590163934426</v>
      </c>
      <c r="M346" s="9" t="n">
        <f aca="false">MAX(0,'Engineering Assumptions'!$G$37-G346)</f>
        <v>6</v>
      </c>
      <c r="N346" s="187" t="str">
        <f aca="false">IF(G346&gt;=20,"REPLACE",IF(L346&gt;0.6,"REPLACE",IF(G346&gt;=15,"REPLACE",IF(OR(G346&gt;=11,L346&gt;0.4),"MONITOR","KEEP"))))</f>
        <v>KEEP</v>
      </c>
      <c r="O346" s="188" t="str">
        <f aca="false">IF(G346&gt;=20,"End of life (age &gt; 20)",IF(L346&gt;0.6,"Repairs exceed 60% of revenue",IF(G346&gt;=15,"Age 15+ → replace",IF(OR(G346&gt;=11,L346&gt;0.4),"Watch costs; plan replacement","Healthy — continue operating"))))</f>
        <v>Healthy — continue operating</v>
      </c>
      <c r="P346" s="188" t="str">
        <f aca="false">'Engineering Assumptions'!H37</f>
        <v>TATA LPK1618 tipper ~Rs. 14–18M</v>
      </c>
    </row>
    <row r="347" customFormat="false" ht="15" hidden="false" customHeight="true" outlineLevel="0" collapsed="false">
      <c r="A347" s="9" t="n">
        <v>323</v>
      </c>
      <c r="B347" s="184" t="s">
        <v>131</v>
      </c>
      <c r="C347" s="184" t="s">
        <v>2424</v>
      </c>
      <c r="D347" s="184" t="s">
        <v>1011</v>
      </c>
      <c r="E347" s="184" t="s">
        <v>1013</v>
      </c>
      <c r="F347" s="45" t="s">
        <v>318</v>
      </c>
      <c r="G347" s="9" t="n">
        <v>10</v>
      </c>
      <c r="H347" s="185" t="n">
        <f aca="false">'Engineering Assumptions'!$F$37*0.22*1</f>
        <v>3.52</v>
      </c>
      <c r="I347" s="185" t="n">
        <f aca="false">'Engineering Assumptions'!$F$37*1</f>
        <v>16</v>
      </c>
      <c r="J347" s="12" t="n">
        <f aca="false">'Fleet Pricing'!L347</f>
        <v>305000</v>
      </c>
      <c r="K347" s="12" t="n">
        <f aca="false">'Maintenance &amp; Repair'!J347+'Maintenance &amp; Repair'!K347</f>
        <v>62400</v>
      </c>
      <c r="L347" s="186" t="n">
        <f aca="false">IFERROR(K347/J347,0)</f>
        <v>0.204590163934426</v>
      </c>
      <c r="M347" s="9" t="n">
        <f aca="false">MAX(0,'Engineering Assumptions'!$G$37-G347)</f>
        <v>5</v>
      </c>
      <c r="N347" s="187" t="str">
        <f aca="false">IF(G347&gt;=20,"REPLACE",IF(L347&gt;0.6,"REPLACE",IF(G347&gt;=15,"REPLACE",IF(OR(G347&gt;=11,L347&gt;0.4),"MONITOR","KEEP"))))</f>
        <v>KEEP</v>
      </c>
      <c r="O347" s="188" t="str">
        <f aca="false">IF(G347&gt;=20,"End of life (age &gt; 20)",IF(L347&gt;0.6,"Repairs exceed 60% of revenue",IF(G347&gt;=15,"Age 15+ → replace",IF(OR(G347&gt;=11,L347&gt;0.4),"Watch costs; plan replacement","Healthy — continue operating"))))</f>
        <v>Healthy — continue operating</v>
      </c>
      <c r="P347" s="188" t="str">
        <f aca="false">'Engineering Assumptions'!H37</f>
        <v>TATA LPK1618 tipper ~Rs. 14–18M</v>
      </c>
    </row>
    <row r="348" customFormat="false" ht="15" hidden="false" customHeight="true" outlineLevel="0" collapsed="false">
      <c r="A348" s="9" t="n">
        <v>324</v>
      </c>
      <c r="B348" s="184" t="s">
        <v>131</v>
      </c>
      <c r="C348" s="184" t="s">
        <v>2424</v>
      </c>
      <c r="D348" s="184" t="s">
        <v>929</v>
      </c>
      <c r="E348" s="184" t="s">
        <v>930</v>
      </c>
      <c r="F348" s="45" t="s">
        <v>318</v>
      </c>
      <c r="G348" s="9" t="n">
        <v>10</v>
      </c>
      <c r="H348" s="185" t="n">
        <f aca="false">'Engineering Assumptions'!$F$37*0.22*1</f>
        <v>3.52</v>
      </c>
      <c r="I348" s="185" t="n">
        <f aca="false">'Engineering Assumptions'!$F$37*1</f>
        <v>16</v>
      </c>
      <c r="J348" s="12" t="n">
        <f aca="false">'Fleet Pricing'!L348</f>
        <v>305000</v>
      </c>
      <c r="K348" s="12" t="n">
        <f aca="false">'Maintenance &amp; Repair'!J348+'Maintenance &amp; Repair'!K348</f>
        <v>62400</v>
      </c>
      <c r="L348" s="186" t="n">
        <f aca="false">IFERROR(K348/J348,0)</f>
        <v>0.204590163934426</v>
      </c>
      <c r="M348" s="9" t="n">
        <f aca="false">MAX(0,'Engineering Assumptions'!$G$37-G348)</f>
        <v>5</v>
      </c>
      <c r="N348" s="187" t="str">
        <f aca="false">IF(G348&gt;=20,"REPLACE",IF(L348&gt;0.6,"REPLACE",IF(G348&gt;=15,"REPLACE",IF(OR(G348&gt;=11,L348&gt;0.4),"MONITOR","KEEP"))))</f>
        <v>KEEP</v>
      </c>
      <c r="O348" s="188" t="str">
        <f aca="false">IF(G348&gt;=20,"End of life (age &gt; 20)",IF(L348&gt;0.6,"Repairs exceed 60% of revenue",IF(G348&gt;=15,"Age 15+ → replace",IF(OR(G348&gt;=11,L348&gt;0.4),"Watch costs; plan replacement","Healthy — continue operating"))))</f>
        <v>Healthy — continue operating</v>
      </c>
      <c r="P348" s="188" t="str">
        <f aca="false">'Engineering Assumptions'!H37</f>
        <v>TATA LPK1618 tipper ~Rs. 14–18M</v>
      </c>
    </row>
    <row r="349" customFormat="false" ht="15" hidden="false" customHeight="true" outlineLevel="0" collapsed="false">
      <c r="A349" s="9" t="n">
        <v>325</v>
      </c>
      <c r="B349" s="184" t="s">
        <v>131</v>
      </c>
      <c r="C349" s="184" t="s">
        <v>2424</v>
      </c>
      <c r="D349" s="184" t="s">
        <v>935</v>
      </c>
      <c r="E349" s="184" t="s">
        <v>936</v>
      </c>
      <c r="F349" s="45" t="s">
        <v>318</v>
      </c>
      <c r="G349" s="9" t="n">
        <v>10</v>
      </c>
      <c r="H349" s="185" t="n">
        <f aca="false">'Engineering Assumptions'!$F$37*0.22*1</f>
        <v>3.52</v>
      </c>
      <c r="I349" s="185" t="n">
        <f aca="false">'Engineering Assumptions'!$F$37*1</f>
        <v>16</v>
      </c>
      <c r="J349" s="12" t="n">
        <f aca="false">'Fleet Pricing'!L349</f>
        <v>305000</v>
      </c>
      <c r="K349" s="12" t="n">
        <f aca="false">'Maintenance &amp; Repair'!J349+'Maintenance &amp; Repair'!K349</f>
        <v>62400</v>
      </c>
      <c r="L349" s="186" t="n">
        <f aca="false">IFERROR(K349/J349,0)</f>
        <v>0.204590163934426</v>
      </c>
      <c r="M349" s="9" t="n">
        <f aca="false">MAX(0,'Engineering Assumptions'!$G$37-G349)</f>
        <v>5</v>
      </c>
      <c r="N349" s="187" t="str">
        <f aca="false">IF(G349&gt;=20,"REPLACE",IF(L349&gt;0.6,"REPLACE",IF(G349&gt;=15,"REPLACE",IF(OR(G349&gt;=11,L349&gt;0.4),"MONITOR","KEEP"))))</f>
        <v>KEEP</v>
      </c>
      <c r="O349" s="188" t="str">
        <f aca="false">IF(G349&gt;=20,"End of life (age &gt; 20)",IF(L349&gt;0.6,"Repairs exceed 60% of revenue",IF(G349&gt;=15,"Age 15+ → replace",IF(OR(G349&gt;=11,L349&gt;0.4),"Watch costs; plan replacement","Healthy — continue operating"))))</f>
        <v>Healthy — continue operating</v>
      </c>
      <c r="P349" s="188" t="str">
        <f aca="false">'Engineering Assumptions'!H37</f>
        <v>TATA LPK1618 tipper ~Rs. 14–18M</v>
      </c>
    </row>
    <row r="350" customFormat="false" ht="15" hidden="false" customHeight="true" outlineLevel="0" collapsed="false">
      <c r="A350" s="9" t="n">
        <v>326</v>
      </c>
      <c r="B350" s="184" t="s">
        <v>131</v>
      </c>
      <c r="C350" s="184" t="s">
        <v>2424</v>
      </c>
      <c r="D350" s="184" t="s">
        <v>937</v>
      </c>
      <c r="E350" s="184" t="s">
        <v>938</v>
      </c>
      <c r="F350" s="45" t="s">
        <v>318</v>
      </c>
      <c r="G350" s="9" t="n">
        <v>10</v>
      </c>
      <c r="H350" s="185" t="n">
        <f aca="false">'Engineering Assumptions'!$F$37*0.22*1</f>
        <v>3.52</v>
      </c>
      <c r="I350" s="185" t="n">
        <f aca="false">'Engineering Assumptions'!$F$37*1</f>
        <v>16</v>
      </c>
      <c r="J350" s="12" t="n">
        <f aca="false">'Fleet Pricing'!L350</f>
        <v>305000</v>
      </c>
      <c r="K350" s="12" t="n">
        <f aca="false">'Maintenance &amp; Repair'!J350+'Maintenance &amp; Repair'!K350</f>
        <v>62400</v>
      </c>
      <c r="L350" s="186" t="n">
        <f aca="false">IFERROR(K350/J350,0)</f>
        <v>0.204590163934426</v>
      </c>
      <c r="M350" s="9" t="n">
        <f aca="false">MAX(0,'Engineering Assumptions'!$G$37-G350)</f>
        <v>5</v>
      </c>
      <c r="N350" s="187" t="str">
        <f aca="false">IF(G350&gt;=20,"REPLACE",IF(L350&gt;0.6,"REPLACE",IF(G350&gt;=15,"REPLACE",IF(OR(G350&gt;=11,L350&gt;0.4),"MONITOR","KEEP"))))</f>
        <v>KEEP</v>
      </c>
      <c r="O350" s="188" t="str">
        <f aca="false">IF(G350&gt;=20,"End of life (age &gt; 20)",IF(L350&gt;0.6,"Repairs exceed 60% of revenue",IF(G350&gt;=15,"Age 15+ → replace",IF(OR(G350&gt;=11,L350&gt;0.4),"Watch costs; plan replacement","Healthy — continue operating"))))</f>
        <v>Healthy — continue operating</v>
      </c>
      <c r="P350" s="188" t="str">
        <f aca="false">'Engineering Assumptions'!H37</f>
        <v>TATA LPK1618 tipper ~Rs. 14–18M</v>
      </c>
    </row>
    <row r="351" customFormat="false" ht="15" hidden="false" customHeight="true" outlineLevel="0" collapsed="false">
      <c r="A351" s="9" t="n">
        <v>327</v>
      </c>
      <c r="B351" s="184" t="s">
        <v>131</v>
      </c>
      <c r="C351" s="184" t="s">
        <v>2424</v>
      </c>
      <c r="D351" s="184" t="s">
        <v>939</v>
      </c>
      <c r="E351" s="184" t="s">
        <v>940</v>
      </c>
      <c r="F351" s="45" t="s">
        <v>318</v>
      </c>
      <c r="G351" s="9" t="n">
        <v>10</v>
      </c>
      <c r="H351" s="185" t="n">
        <f aca="false">'Engineering Assumptions'!$F$37*0.22*1</f>
        <v>3.52</v>
      </c>
      <c r="I351" s="185" t="n">
        <f aca="false">'Engineering Assumptions'!$F$37*1</f>
        <v>16</v>
      </c>
      <c r="J351" s="12" t="n">
        <f aca="false">'Fleet Pricing'!L351</f>
        <v>305000</v>
      </c>
      <c r="K351" s="12" t="n">
        <f aca="false">'Maintenance &amp; Repair'!J351+'Maintenance &amp; Repair'!K351</f>
        <v>62400</v>
      </c>
      <c r="L351" s="186" t="n">
        <f aca="false">IFERROR(K351/J351,0)</f>
        <v>0.204590163934426</v>
      </c>
      <c r="M351" s="9" t="n">
        <f aca="false">MAX(0,'Engineering Assumptions'!$G$37-G351)</f>
        <v>5</v>
      </c>
      <c r="N351" s="187" t="str">
        <f aca="false">IF(G351&gt;=20,"REPLACE",IF(L351&gt;0.6,"REPLACE",IF(G351&gt;=15,"REPLACE",IF(OR(G351&gt;=11,L351&gt;0.4),"MONITOR","KEEP"))))</f>
        <v>KEEP</v>
      </c>
      <c r="O351" s="188" t="str">
        <f aca="false">IF(G351&gt;=20,"End of life (age &gt; 20)",IF(L351&gt;0.6,"Repairs exceed 60% of revenue",IF(G351&gt;=15,"Age 15+ → replace",IF(OR(G351&gt;=11,L351&gt;0.4),"Watch costs; plan replacement","Healthy — continue operating"))))</f>
        <v>Healthy — continue operating</v>
      </c>
      <c r="P351" s="188" t="str">
        <f aca="false">'Engineering Assumptions'!H37</f>
        <v>TATA LPK1618 tipper ~Rs. 14–18M</v>
      </c>
    </row>
    <row r="352" customFormat="false" ht="15" hidden="false" customHeight="true" outlineLevel="0" collapsed="false">
      <c r="A352" s="9" t="n">
        <v>328</v>
      </c>
      <c r="B352" s="184" t="s">
        <v>131</v>
      </c>
      <c r="C352" s="184" t="s">
        <v>2424</v>
      </c>
      <c r="D352" s="184" t="s">
        <v>941</v>
      </c>
      <c r="E352" s="184" t="s">
        <v>942</v>
      </c>
      <c r="F352" s="45" t="s">
        <v>318</v>
      </c>
      <c r="G352" s="9" t="n">
        <v>10</v>
      </c>
      <c r="H352" s="185" t="n">
        <f aca="false">'Engineering Assumptions'!$F$37*0.22*1</f>
        <v>3.52</v>
      </c>
      <c r="I352" s="185" t="n">
        <f aca="false">'Engineering Assumptions'!$F$37*1</f>
        <v>16</v>
      </c>
      <c r="J352" s="12" t="n">
        <f aca="false">'Fleet Pricing'!L352</f>
        <v>305000</v>
      </c>
      <c r="K352" s="12" t="n">
        <f aca="false">'Maintenance &amp; Repair'!J352+'Maintenance &amp; Repair'!K352</f>
        <v>62400</v>
      </c>
      <c r="L352" s="186" t="n">
        <f aca="false">IFERROR(K352/J352,0)</f>
        <v>0.204590163934426</v>
      </c>
      <c r="M352" s="9" t="n">
        <f aca="false">MAX(0,'Engineering Assumptions'!$G$37-G352)</f>
        <v>5</v>
      </c>
      <c r="N352" s="187" t="str">
        <f aca="false">IF(G352&gt;=20,"REPLACE",IF(L352&gt;0.6,"REPLACE",IF(G352&gt;=15,"REPLACE",IF(OR(G352&gt;=11,L352&gt;0.4),"MONITOR","KEEP"))))</f>
        <v>KEEP</v>
      </c>
      <c r="O352" s="188" t="str">
        <f aca="false">IF(G352&gt;=20,"End of life (age &gt; 20)",IF(L352&gt;0.6,"Repairs exceed 60% of revenue",IF(G352&gt;=15,"Age 15+ → replace",IF(OR(G352&gt;=11,L352&gt;0.4),"Watch costs; plan replacement","Healthy — continue operating"))))</f>
        <v>Healthy — continue operating</v>
      </c>
      <c r="P352" s="188" t="str">
        <f aca="false">'Engineering Assumptions'!H37</f>
        <v>TATA LPK1618 tipper ~Rs. 14–18M</v>
      </c>
    </row>
    <row r="353" customFormat="false" ht="15" hidden="false" customHeight="true" outlineLevel="0" collapsed="false">
      <c r="A353" s="9" t="n">
        <v>329</v>
      </c>
      <c r="B353" s="184" t="s">
        <v>131</v>
      </c>
      <c r="C353" s="184" t="s">
        <v>2424</v>
      </c>
      <c r="D353" s="184" t="s">
        <v>943</v>
      </c>
      <c r="E353" s="184" t="s">
        <v>944</v>
      </c>
      <c r="F353" s="45" t="s">
        <v>318</v>
      </c>
      <c r="G353" s="9" t="n">
        <v>10</v>
      </c>
      <c r="H353" s="185" t="n">
        <f aca="false">'Engineering Assumptions'!$F$37*0.22*1</f>
        <v>3.52</v>
      </c>
      <c r="I353" s="185" t="n">
        <f aca="false">'Engineering Assumptions'!$F$37*1</f>
        <v>16</v>
      </c>
      <c r="J353" s="12" t="n">
        <f aca="false">'Fleet Pricing'!L353</f>
        <v>305000</v>
      </c>
      <c r="K353" s="12" t="n">
        <f aca="false">'Maintenance &amp; Repair'!J353+'Maintenance &amp; Repair'!K353</f>
        <v>62400</v>
      </c>
      <c r="L353" s="186" t="n">
        <f aca="false">IFERROR(K353/J353,0)</f>
        <v>0.204590163934426</v>
      </c>
      <c r="M353" s="9" t="n">
        <f aca="false">MAX(0,'Engineering Assumptions'!$G$37-G353)</f>
        <v>5</v>
      </c>
      <c r="N353" s="187" t="str">
        <f aca="false">IF(G353&gt;=20,"REPLACE",IF(L353&gt;0.6,"REPLACE",IF(G353&gt;=15,"REPLACE",IF(OR(G353&gt;=11,L353&gt;0.4),"MONITOR","KEEP"))))</f>
        <v>KEEP</v>
      </c>
      <c r="O353" s="188" t="str">
        <f aca="false">IF(G353&gt;=20,"End of life (age &gt; 20)",IF(L353&gt;0.6,"Repairs exceed 60% of revenue",IF(G353&gt;=15,"Age 15+ → replace",IF(OR(G353&gt;=11,L353&gt;0.4),"Watch costs; plan replacement","Healthy — continue operating"))))</f>
        <v>Healthy — continue operating</v>
      </c>
      <c r="P353" s="188" t="str">
        <f aca="false">'Engineering Assumptions'!H37</f>
        <v>TATA LPK1618 tipper ~Rs. 14–18M</v>
      </c>
    </row>
    <row r="354" customFormat="false" ht="15" hidden="false" customHeight="true" outlineLevel="0" collapsed="false">
      <c r="A354" s="9" t="n">
        <v>330</v>
      </c>
      <c r="B354" s="184" t="s">
        <v>131</v>
      </c>
      <c r="C354" s="184" t="s">
        <v>2424</v>
      </c>
      <c r="D354" s="184" t="s">
        <v>945</v>
      </c>
      <c r="E354" s="184" t="s">
        <v>946</v>
      </c>
      <c r="F354" s="45" t="s">
        <v>318</v>
      </c>
      <c r="G354" s="9" t="n">
        <v>10</v>
      </c>
      <c r="H354" s="185" t="n">
        <f aca="false">'Engineering Assumptions'!$F$37*0.22*1</f>
        <v>3.52</v>
      </c>
      <c r="I354" s="185" t="n">
        <f aca="false">'Engineering Assumptions'!$F$37*1</f>
        <v>16</v>
      </c>
      <c r="J354" s="12" t="n">
        <f aca="false">'Fleet Pricing'!L354</f>
        <v>305000</v>
      </c>
      <c r="K354" s="12" t="n">
        <f aca="false">'Maintenance &amp; Repair'!J354+'Maintenance &amp; Repair'!K354</f>
        <v>62400</v>
      </c>
      <c r="L354" s="186" t="n">
        <f aca="false">IFERROR(K354/J354,0)</f>
        <v>0.204590163934426</v>
      </c>
      <c r="M354" s="9" t="n">
        <f aca="false">MAX(0,'Engineering Assumptions'!$G$37-G354)</f>
        <v>5</v>
      </c>
      <c r="N354" s="187" t="str">
        <f aca="false">IF(G354&gt;=20,"REPLACE",IF(L354&gt;0.6,"REPLACE",IF(G354&gt;=15,"REPLACE",IF(OR(G354&gt;=11,L354&gt;0.4),"MONITOR","KEEP"))))</f>
        <v>KEEP</v>
      </c>
      <c r="O354" s="188" t="str">
        <f aca="false">IF(G354&gt;=20,"End of life (age &gt; 20)",IF(L354&gt;0.6,"Repairs exceed 60% of revenue",IF(G354&gt;=15,"Age 15+ → replace",IF(OR(G354&gt;=11,L354&gt;0.4),"Watch costs; plan replacement","Healthy — continue operating"))))</f>
        <v>Healthy — continue operating</v>
      </c>
      <c r="P354" s="188" t="str">
        <f aca="false">'Engineering Assumptions'!H37</f>
        <v>TATA LPK1618 tipper ~Rs. 14–18M</v>
      </c>
    </row>
    <row r="355" customFormat="false" ht="15" hidden="false" customHeight="true" outlineLevel="0" collapsed="false">
      <c r="A355" s="9" t="n">
        <v>331</v>
      </c>
      <c r="B355" s="184" t="s">
        <v>131</v>
      </c>
      <c r="C355" s="184" t="s">
        <v>2424</v>
      </c>
      <c r="D355" s="184" t="s">
        <v>947</v>
      </c>
      <c r="E355" s="184" t="s">
        <v>948</v>
      </c>
      <c r="F355" s="45" t="s">
        <v>318</v>
      </c>
      <c r="G355" s="9" t="n">
        <v>10</v>
      </c>
      <c r="H355" s="185" t="n">
        <f aca="false">'Engineering Assumptions'!$F$37*0.22*1</f>
        <v>3.52</v>
      </c>
      <c r="I355" s="185" t="n">
        <f aca="false">'Engineering Assumptions'!$F$37*1</f>
        <v>16</v>
      </c>
      <c r="J355" s="12" t="n">
        <f aca="false">'Fleet Pricing'!L355</f>
        <v>305000</v>
      </c>
      <c r="K355" s="12" t="n">
        <f aca="false">'Maintenance &amp; Repair'!J355+'Maintenance &amp; Repair'!K355</f>
        <v>62400</v>
      </c>
      <c r="L355" s="186" t="n">
        <f aca="false">IFERROR(K355/J355,0)</f>
        <v>0.204590163934426</v>
      </c>
      <c r="M355" s="9" t="n">
        <f aca="false">MAX(0,'Engineering Assumptions'!$G$37-G355)</f>
        <v>5</v>
      </c>
      <c r="N355" s="187" t="str">
        <f aca="false">IF(G355&gt;=20,"REPLACE",IF(L355&gt;0.6,"REPLACE",IF(G355&gt;=15,"REPLACE",IF(OR(G355&gt;=11,L355&gt;0.4),"MONITOR","KEEP"))))</f>
        <v>KEEP</v>
      </c>
      <c r="O355" s="188" t="str">
        <f aca="false">IF(G355&gt;=20,"End of life (age &gt; 20)",IF(L355&gt;0.6,"Repairs exceed 60% of revenue",IF(G355&gt;=15,"Age 15+ → replace",IF(OR(G355&gt;=11,L355&gt;0.4),"Watch costs; plan replacement","Healthy — continue operating"))))</f>
        <v>Healthy — continue operating</v>
      </c>
      <c r="P355" s="188" t="str">
        <f aca="false">'Engineering Assumptions'!H37</f>
        <v>TATA LPK1618 tipper ~Rs. 14–18M</v>
      </c>
    </row>
    <row r="356" customFormat="false" ht="15" hidden="false" customHeight="true" outlineLevel="0" collapsed="false">
      <c r="A356" s="9" t="n">
        <v>332</v>
      </c>
      <c r="B356" s="184" t="s">
        <v>131</v>
      </c>
      <c r="C356" s="184" t="s">
        <v>2424</v>
      </c>
      <c r="D356" s="184" t="s">
        <v>949</v>
      </c>
      <c r="E356" s="184" t="s">
        <v>950</v>
      </c>
      <c r="F356" s="45" t="s">
        <v>318</v>
      </c>
      <c r="G356" s="9" t="n">
        <v>10</v>
      </c>
      <c r="H356" s="185" t="n">
        <f aca="false">'Engineering Assumptions'!$F$37*0.22*1</f>
        <v>3.52</v>
      </c>
      <c r="I356" s="185" t="n">
        <f aca="false">'Engineering Assumptions'!$F$37*1</f>
        <v>16</v>
      </c>
      <c r="J356" s="12" t="n">
        <f aca="false">'Fleet Pricing'!L356</f>
        <v>305000</v>
      </c>
      <c r="K356" s="12" t="n">
        <f aca="false">'Maintenance &amp; Repair'!J356+'Maintenance &amp; Repair'!K356</f>
        <v>62400</v>
      </c>
      <c r="L356" s="186" t="n">
        <f aca="false">IFERROR(K356/J356,0)</f>
        <v>0.204590163934426</v>
      </c>
      <c r="M356" s="9" t="n">
        <f aca="false">MAX(0,'Engineering Assumptions'!$G$37-G356)</f>
        <v>5</v>
      </c>
      <c r="N356" s="187" t="str">
        <f aca="false">IF(G356&gt;=20,"REPLACE",IF(L356&gt;0.6,"REPLACE",IF(G356&gt;=15,"REPLACE",IF(OR(G356&gt;=11,L356&gt;0.4),"MONITOR","KEEP"))))</f>
        <v>KEEP</v>
      </c>
      <c r="O356" s="188" t="str">
        <f aca="false">IF(G356&gt;=20,"End of life (age &gt; 20)",IF(L356&gt;0.6,"Repairs exceed 60% of revenue",IF(G356&gt;=15,"Age 15+ → replace",IF(OR(G356&gt;=11,L356&gt;0.4),"Watch costs; plan replacement","Healthy — continue operating"))))</f>
        <v>Healthy — continue operating</v>
      </c>
      <c r="P356" s="188" t="str">
        <f aca="false">'Engineering Assumptions'!H37</f>
        <v>TATA LPK1618 tipper ~Rs. 14–18M</v>
      </c>
    </row>
    <row r="357" customFormat="false" ht="15" hidden="false" customHeight="true" outlineLevel="0" collapsed="false">
      <c r="A357" s="9" t="n">
        <v>333</v>
      </c>
      <c r="B357" s="184" t="s">
        <v>131</v>
      </c>
      <c r="C357" s="184" t="s">
        <v>2422</v>
      </c>
      <c r="D357" s="184" t="s">
        <v>1077</v>
      </c>
      <c r="E357" s="184" t="s">
        <v>1078</v>
      </c>
      <c r="F357" s="45" t="s">
        <v>318</v>
      </c>
      <c r="G357" s="9" t="n">
        <v>10</v>
      </c>
      <c r="H357" s="185" t="n">
        <f aca="false">'Engineering Assumptions'!$F$37*0.22*1</f>
        <v>3.52</v>
      </c>
      <c r="I357" s="185" t="n">
        <f aca="false">'Engineering Assumptions'!$F$37*1</f>
        <v>16</v>
      </c>
      <c r="J357" s="12" t="n">
        <f aca="false">'Fleet Pricing'!L357</f>
        <v>305000</v>
      </c>
      <c r="K357" s="12" t="n">
        <f aca="false">'Maintenance &amp; Repair'!J357+'Maintenance &amp; Repair'!K357</f>
        <v>62400</v>
      </c>
      <c r="L357" s="186" t="n">
        <f aca="false">IFERROR(K357/J357,0)</f>
        <v>0.204590163934426</v>
      </c>
      <c r="M357" s="9" t="n">
        <f aca="false">MAX(0,'Engineering Assumptions'!$G$37-G357)</f>
        <v>5</v>
      </c>
      <c r="N357" s="187" t="str">
        <f aca="false">IF(G357&gt;=20,"REPLACE",IF(L357&gt;0.6,"REPLACE",IF(G357&gt;=15,"REPLACE",IF(OR(G357&gt;=11,L357&gt;0.4),"MONITOR","KEEP"))))</f>
        <v>KEEP</v>
      </c>
      <c r="O357" s="188" t="str">
        <f aca="false">IF(G357&gt;=20,"End of life (age &gt; 20)",IF(L357&gt;0.6,"Repairs exceed 60% of revenue",IF(G357&gt;=15,"Age 15+ → replace",IF(OR(G357&gt;=11,L357&gt;0.4),"Watch costs; plan replacement","Healthy — continue operating"))))</f>
        <v>Healthy — continue operating</v>
      </c>
      <c r="P357" s="188" t="str">
        <f aca="false">'Engineering Assumptions'!H37</f>
        <v>TATA LPK1618 tipper ~Rs. 14–18M</v>
      </c>
    </row>
    <row r="358" customFormat="false" ht="15" hidden="false" customHeight="true" outlineLevel="0" collapsed="false">
      <c r="A358" s="9" t="n">
        <v>334</v>
      </c>
      <c r="B358" s="184" t="s">
        <v>131</v>
      </c>
      <c r="C358" s="184" t="s">
        <v>2422</v>
      </c>
      <c r="D358" s="184" t="s">
        <v>921</v>
      </c>
      <c r="E358" s="184" t="s">
        <v>922</v>
      </c>
      <c r="F358" s="45" t="s">
        <v>318</v>
      </c>
      <c r="G358" s="9" t="n">
        <v>10</v>
      </c>
      <c r="H358" s="185" t="n">
        <f aca="false">'Engineering Assumptions'!$F$37*0.22*1</f>
        <v>3.52</v>
      </c>
      <c r="I358" s="185" t="n">
        <f aca="false">'Engineering Assumptions'!$F$37*1</f>
        <v>16</v>
      </c>
      <c r="J358" s="12" t="n">
        <f aca="false">'Fleet Pricing'!L358</f>
        <v>305000</v>
      </c>
      <c r="K358" s="12" t="n">
        <f aca="false">'Maintenance &amp; Repair'!J358+'Maintenance &amp; Repair'!K358</f>
        <v>62400</v>
      </c>
      <c r="L358" s="186" t="n">
        <f aca="false">IFERROR(K358/J358,0)</f>
        <v>0.204590163934426</v>
      </c>
      <c r="M358" s="9" t="n">
        <f aca="false">MAX(0,'Engineering Assumptions'!$G$37-G358)</f>
        <v>5</v>
      </c>
      <c r="N358" s="187" t="str">
        <f aca="false">IF(G358&gt;=20,"REPLACE",IF(L358&gt;0.6,"REPLACE",IF(G358&gt;=15,"REPLACE",IF(OR(G358&gt;=11,L358&gt;0.4),"MONITOR","KEEP"))))</f>
        <v>KEEP</v>
      </c>
      <c r="O358" s="188" t="str">
        <f aca="false">IF(G358&gt;=20,"End of life (age &gt; 20)",IF(L358&gt;0.6,"Repairs exceed 60% of revenue",IF(G358&gt;=15,"Age 15+ → replace",IF(OR(G358&gt;=11,L358&gt;0.4),"Watch costs; plan replacement","Healthy — continue operating"))))</f>
        <v>Healthy — continue operating</v>
      </c>
      <c r="P358" s="188" t="str">
        <f aca="false">'Engineering Assumptions'!H37</f>
        <v>TATA LPK1618 tipper ~Rs. 14–18M</v>
      </c>
    </row>
    <row r="359" customFormat="false" ht="15" hidden="false" customHeight="true" outlineLevel="0" collapsed="false">
      <c r="A359" s="9" t="n">
        <v>335</v>
      </c>
      <c r="B359" s="184" t="s">
        <v>131</v>
      </c>
      <c r="C359" s="184" t="s">
        <v>2422</v>
      </c>
      <c r="D359" s="184" t="s">
        <v>923</v>
      </c>
      <c r="E359" s="184" t="s">
        <v>924</v>
      </c>
      <c r="F359" s="45" t="s">
        <v>318</v>
      </c>
      <c r="G359" s="9" t="n">
        <v>10</v>
      </c>
      <c r="H359" s="185" t="n">
        <f aca="false">'Engineering Assumptions'!$F$37*0.22*1</f>
        <v>3.52</v>
      </c>
      <c r="I359" s="185" t="n">
        <f aca="false">'Engineering Assumptions'!$F$37*1</f>
        <v>16</v>
      </c>
      <c r="J359" s="12" t="n">
        <f aca="false">'Fleet Pricing'!L359</f>
        <v>305000</v>
      </c>
      <c r="K359" s="12" t="n">
        <f aca="false">'Maintenance &amp; Repair'!J359+'Maintenance &amp; Repair'!K359</f>
        <v>62400</v>
      </c>
      <c r="L359" s="186" t="n">
        <f aca="false">IFERROR(K359/J359,0)</f>
        <v>0.204590163934426</v>
      </c>
      <c r="M359" s="9" t="n">
        <f aca="false">MAX(0,'Engineering Assumptions'!$G$37-G359)</f>
        <v>5</v>
      </c>
      <c r="N359" s="187" t="str">
        <f aca="false">IF(G359&gt;=20,"REPLACE",IF(L359&gt;0.6,"REPLACE",IF(G359&gt;=15,"REPLACE",IF(OR(G359&gt;=11,L359&gt;0.4),"MONITOR","KEEP"))))</f>
        <v>KEEP</v>
      </c>
      <c r="O359" s="188" t="str">
        <f aca="false">IF(G359&gt;=20,"End of life (age &gt; 20)",IF(L359&gt;0.6,"Repairs exceed 60% of revenue",IF(G359&gt;=15,"Age 15+ → replace",IF(OR(G359&gt;=11,L359&gt;0.4),"Watch costs; plan replacement","Healthy — continue operating"))))</f>
        <v>Healthy — continue operating</v>
      </c>
      <c r="P359" s="188" t="str">
        <f aca="false">'Engineering Assumptions'!H37</f>
        <v>TATA LPK1618 tipper ~Rs. 14–18M</v>
      </c>
    </row>
    <row r="360" customFormat="false" ht="15" hidden="false" customHeight="true" outlineLevel="0" collapsed="false">
      <c r="A360" s="9" t="n">
        <v>336</v>
      </c>
      <c r="B360" s="184" t="s">
        <v>131</v>
      </c>
      <c r="C360" s="184" t="s">
        <v>2425</v>
      </c>
      <c r="D360" s="184" t="s">
        <v>1038</v>
      </c>
      <c r="E360" s="184" t="s">
        <v>1040</v>
      </c>
      <c r="F360" s="45" t="s">
        <v>380</v>
      </c>
      <c r="G360" s="9" t="n">
        <v>13</v>
      </c>
      <c r="H360" s="185" t="n">
        <f aca="false">'Engineering Assumptions'!$F$37*0.12*1</f>
        <v>1.92</v>
      </c>
      <c r="I360" s="185" t="n">
        <f aca="false">'Engineering Assumptions'!$F$37*1</f>
        <v>16</v>
      </c>
      <c r="J360" s="12" t="n">
        <f aca="false">'Fleet Pricing'!L360</f>
        <v>272500</v>
      </c>
      <c r="K360" s="12" t="n">
        <f aca="false">'Maintenance &amp; Repair'!J360+'Maintenance &amp; Repair'!K360</f>
        <v>93000</v>
      </c>
      <c r="L360" s="186" t="n">
        <f aca="false">IFERROR(K360/J360,0)</f>
        <v>0.341284403669725</v>
      </c>
      <c r="M360" s="9" t="n">
        <f aca="false">MAX(0,'Engineering Assumptions'!$G$37-G360)</f>
        <v>2</v>
      </c>
      <c r="N360" s="187" t="str">
        <f aca="false">IF(G360&gt;=20,"REPLACE",IF(L360&gt;0.6,"REPLACE",IF(G360&gt;=15,"REPLACE",IF(OR(G360&gt;=11,L360&gt;0.4),"MONITOR","KEEP"))))</f>
        <v>MONITOR</v>
      </c>
      <c r="O360" s="188" t="str">
        <f aca="false">IF(G360&gt;=20,"End of life (age &gt; 20)",IF(L360&gt;0.6,"Repairs exceed 60% of revenue",IF(G360&gt;=15,"Age 15+ → replace",IF(OR(G360&gt;=11,L360&gt;0.4),"Watch costs; plan replacement","Healthy — continue operating"))))</f>
        <v>Watch costs; plan replacement</v>
      </c>
      <c r="P360" s="188" t="str">
        <f aca="false">'Engineering Assumptions'!H37</f>
        <v>TATA LPK1618 tipper ~Rs. 14–18M</v>
      </c>
    </row>
    <row r="361" customFormat="false" ht="15" hidden="false" customHeight="true" outlineLevel="0" collapsed="false">
      <c r="A361" s="9" t="n">
        <v>337</v>
      </c>
      <c r="B361" s="184" t="s">
        <v>131</v>
      </c>
      <c r="C361" s="184" t="s">
        <v>2426</v>
      </c>
      <c r="D361" s="184" t="s">
        <v>1055</v>
      </c>
      <c r="E361" s="184" t="s">
        <v>1056</v>
      </c>
      <c r="F361" s="45" t="s">
        <v>380</v>
      </c>
      <c r="G361" s="9" t="n">
        <v>13</v>
      </c>
      <c r="H361" s="185" t="n">
        <f aca="false">'Engineering Assumptions'!$F$37*0.12*1</f>
        <v>1.92</v>
      </c>
      <c r="I361" s="185" t="n">
        <f aca="false">'Engineering Assumptions'!$F$37*1</f>
        <v>16</v>
      </c>
      <c r="J361" s="12" t="n">
        <f aca="false">'Fleet Pricing'!L361</f>
        <v>272500</v>
      </c>
      <c r="K361" s="12" t="n">
        <f aca="false">'Maintenance &amp; Repair'!J361+'Maintenance &amp; Repair'!K361</f>
        <v>93000</v>
      </c>
      <c r="L361" s="186" t="n">
        <f aca="false">IFERROR(K361/J361,0)</f>
        <v>0.341284403669725</v>
      </c>
      <c r="M361" s="9" t="n">
        <f aca="false">MAX(0,'Engineering Assumptions'!$G$37-G361)</f>
        <v>2</v>
      </c>
      <c r="N361" s="187" t="str">
        <f aca="false">IF(G361&gt;=20,"REPLACE",IF(L361&gt;0.6,"REPLACE",IF(G361&gt;=15,"REPLACE",IF(OR(G361&gt;=11,L361&gt;0.4),"MONITOR","KEEP"))))</f>
        <v>MONITOR</v>
      </c>
      <c r="O361" s="188" t="str">
        <f aca="false">IF(G361&gt;=20,"End of life (age &gt; 20)",IF(L361&gt;0.6,"Repairs exceed 60% of revenue",IF(G361&gt;=15,"Age 15+ → replace",IF(OR(G361&gt;=11,L361&gt;0.4),"Watch costs; plan replacement","Healthy — continue operating"))))</f>
        <v>Watch costs; plan replacement</v>
      </c>
      <c r="P361" s="188" t="str">
        <f aca="false">'Engineering Assumptions'!H37</f>
        <v>TATA LPK1618 tipper ~Rs. 14–18M</v>
      </c>
    </row>
    <row r="362" customFormat="false" ht="15" hidden="false" customHeight="true" outlineLevel="0" collapsed="false">
      <c r="A362" s="9" t="n">
        <v>338</v>
      </c>
      <c r="B362" s="184" t="s">
        <v>131</v>
      </c>
      <c r="C362" s="184" t="s">
        <v>2427</v>
      </c>
      <c r="D362" s="184" t="s">
        <v>1043</v>
      </c>
      <c r="E362" s="184" t="s">
        <v>1045</v>
      </c>
      <c r="F362" s="45" t="s">
        <v>310</v>
      </c>
      <c r="G362" s="9" t="n">
        <v>14</v>
      </c>
      <c r="H362" s="185" t="n">
        <f aca="false">'Engineering Assumptions'!$F$37*0.12*1</f>
        <v>1.92</v>
      </c>
      <c r="I362" s="185" t="n">
        <f aca="false">'Engineering Assumptions'!$F$37*1</f>
        <v>16</v>
      </c>
      <c r="J362" s="12" t="n">
        <f aca="false">'Fleet Pricing'!L362</f>
        <v>272500</v>
      </c>
      <c r="K362" s="12" t="n">
        <f aca="false">'Maintenance &amp; Repair'!J362+'Maintenance &amp; Repair'!K362</f>
        <v>93000</v>
      </c>
      <c r="L362" s="186" t="n">
        <f aca="false">IFERROR(K362/J362,0)</f>
        <v>0.341284403669725</v>
      </c>
      <c r="M362" s="9" t="n">
        <f aca="false">MAX(0,'Engineering Assumptions'!$G$37-G362)</f>
        <v>1</v>
      </c>
      <c r="N362" s="187" t="str">
        <f aca="false">IF(G362&gt;=20,"REPLACE",IF(L362&gt;0.6,"REPLACE",IF(G362&gt;=15,"REPLACE",IF(OR(G362&gt;=11,L362&gt;0.4),"MONITOR","KEEP"))))</f>
        <v>MONITOR</v>
      </c>
      <c r="O362" s="188" t="str">
        <f aca="false">IF(G362&gt;=20,"End of life (age &gt; 20)",IF(L362&gt;0.6,"Repairs exceed 60% of revenue",IF(G362&gt;=15,"Age 15+ → replace",IF(OR(G362&gt;=11,L362&gt;0.4),"Watch costs; plan replacement","Healthy — continue operating"))))</f>
        <v>Watch costs; plan replacement</v>
      </c>
      <c r="P362" s="188" t="str">
        <f aca="false">'Engineering Assumptions'!H37</f>
        <v>TATA LPK1618 tipper ~Rs. 14–18M</v>
      </c>
    </row>
    <row r="363" customFormat="false" ht="15" hidden="false" customHeight="true" outlineLevel="0" collapsed="false">
      <c r="A363" s="9" t="n">
        <v>339</v>
      </c>
      <c r="B363" s="184" t="s">
        <v>131</v>
      </c>
      <c r="C363" s="184" t="s">
        <v>2427</v>
      </c>
      <c r="D363" s="184" t="s">
        <v>1048</v>
      </c>
      <c r="E363" s="184" t="s">
        <v>1049</v>
      </c>
      <c r="F363" s="45" t="s">
        <v>310</v>
      </c>
      <c r="G363" s="9" t="n">
        <v>14</v>
      </c>
      <c r="H363" s="185" t="n">
        <f aca="false">'Engineering Assumptions'!$F$37*0.12*1</f>
        <v>1.92</v>
      </c>
      <c r="I363" s="185" t="n">
        <f aca="false">'Engineering Assumptions'!$F$37*1</f>
        <v>16</v>
      </c>
      <c r="J363" s="12" t="n">
        <f aca="false">'Fleet Pricing'!L363</f>
        <v>272500</v>
      </c>
      <c r="K363" s="12" t="n">
        <f aca="false">'Maintenance &amp; Repair'!J363+'Maintenance &amp; Repair'!K363</f>
        <v>93000</v>
      </c>
      <c r="L363" s="186" t="n">
        <f aca="false">IFERROR(K363/J363,0)</f>
        <v>0.341284403669725</v>
      </c>
      <c r="M363" s="9" t="n">
        <f aca="false">MAX(0,'Engineering Assumptions'!$G$37-G363)</f>
        <v>1</v>
      </c>
      <c r="N363" s="187" t="str">
        <f aca="false">IF(G363&gt;=20,"REPLACE",IF(L363&gt;0.6,"REPLACE",IF(G363&gt;=15,"REPLACE",IF(OR(G363&gt;=11,L363&gt;0.4),"MONITOR","KEEP"))))</f>
        <v>MONITOR</v>
      </c>
      <c r="O363" s="188" t="str">
        <f aca="false">IF(G363&gt;=20,"End of life (age &gt; 20)",IF(L363&gt;0.6,"Repairs exceed 60% of revenue",IF(G363&gt;=15,"Age 15+ → replace",IF(OR(G363&gt;=11,L363&gt;0.4),"Watch costs; plan replacement","Healthy — continue operating"))))</f>
        <v>Watch costs; plan replacement</v>
      </c>
      <c r="P363" s="188" t="str">
        <f aca="false">'Engineering Assumptions'!H37</f>
        <v>TATA LPK1618 tipper ~Rs. 14–18M</v>
      </c>
    </row>
    <row r="364" customFormat="false" ht="15" hidden="false" customHeight="true" outlineLevel="0" collapsed="false">
      <c r="A364" s="9" t="n">
        <v>340</v>
      </c>
      <c r="B364" s="184" t="s">
        <v>131</v>
      </c>
      <c r="C364" s="184" t="s">
        <v>2427</v>
      </c>
      <c r="D364" s="184" t="s">
        <v>1053</v>
      </c>
      <c r="E364" s="184" t="s">
        <v>1054</v>
      </c>
      <c r="F364" s="45" t="s">
        <v>310</v>
      </c>
      <c r="G364" s="9" t="n">
        <v>14</v>
      </c>
      <c r="H364" s="185" t="n">
        <f aca="false">'Engineering Assumptions'!$F$37*0.12*1</f>
        <v>1.92</v>
      </c>
      <c r="I364" s="185" t="n">
        <f aca="false">'Engineering Assumptions'!$F$37*1</f>
        <v>16</v>
      </c>
      <c r="J364" s="12" t="n">
        <f aca="false">'Fleet Pricing'!L364</f>
        <v>272500</v>
      </c>
      <c r="K364" s="12" t="n">
        <f aca="false">'Maintenance &amp; Repair'!J364+'Maintenance &amp; Repair'!K364</f>
        <v>93000</v>
      </c>
      <c r="L364" s="186" t="n">
        <f aca="false">IFERROR(K364/J364,0)</f>
        <v>0.341284403669725</v>
      </c>
      <c r="M364" s="9" t="n">
        <f aca="false">MAX(0,'Engineering Assumptions'!$G$37-G364)</f>
        <v>1</v>
      </c>
      <c r="N364" s="187" t="str">
        <f aca="false">IF(G364&gt;=20,"REPLACE",IF(L364&gt;0.6,"REPLACE",IF(G364&gt;=15,"REPLACE",IF(OR(G364&gt;=11,L364&gt;0.4),"MONITOR","KEEP"))))</f>
        <v>MONITOR</v>
      </c>
      <c r="O364" s="188" t="str">
        <f aca="false">IF(G364&gt;=20,"End of life (age &gt; 20)",IF(L364&gt;0.6,"Repairs exceed 60% of revenue",IF(G364&gt;=15,"Age 15+ → replace",IF(OR(G364&gt;=11,L364&gt;0.4),"Watch costs; plan replacement","Healthy — continue operating"))))</f>
        <v>Watch costs; plan replacement</v>
      </c>
      <c r="P364" s="188" t="str">
        <f aca="false">'Engineering Assumptions'!H37</f>
        <v>TATA LPK1618 tipper ~Rs. 14–18M</v>
      </c>
    </row>
    <row r="365" customFormat="false" ht="15" hidden="false" customHeight="true" outlineLevel="0" collapsed="false">
      <c r="A365" s="9" t="n">
        <v>341</v>
      </c>
      <c r="B365" s="184" t="s">
        <v>131</v>
      </c>
      <c r="C365" s="184" t="s">
        <v>2428</v>
      </c>
      <c r="D365" s="184" t="s">
        <v>1050</v>
      </c>
      <c r="E365" s="184" t="s">
        <v>1052</v>
      </c>
      <c r="F365" s="45" t="s">
        <v>310</v>
      </c>
      <c r="G365" s="9" t="n">
        <v>14</v>
      </c>
      <c r="H365" s="185" t="n">
        <f aca="false">'Engineering Assumptions'!$F$37*0.12*1</f>
        <v>1.92</v>
      </c>
      <c r="I365" s="185" t="n">
        <f aca="false">'Engineering Assumptions'!$F$37*1</f>
        <v>16</v>
      </c>
      <c r="J365" s="12" t="n">
        <f aca="false">'Fleet Pricing'!L365</f>
        <v>272500</v>
      </c>
      <c r="K365" s="12" t="n">
        <f aca="false">'Maintenance &amp; Repair'!J365+'Maintenance &amp; Repair'!K365</f>
        <v>93000</v>
      </c>
      <c r="L365" s="186" t="n">
        <f aca="false">IFERROR(K365/J365,0)</f>
        <v>0.341284403669725</v>
      </c>
      <c r="M365" s="9" t="n">
        <f aca="false">MAX(0,'Engineering Assumptions'!$G$37-G365)</f>
        <v>1</v>
      </c>
      <c r="N365" s="187" t="str">
        <f aca="false">IF(G365&gt;=20,"REPLACE",IF(L365&gt;0.6,"REPLACE",IF(G365&gt;=15,"REPLACE",IF(OR(G365&gt;=11,L365&gt;0.4),"MONITOR","KEEP"))))</f>
        <v>MONITOR</v>
      </c>
      <c r="O365" s="188" t="str">
        <f aca="false">IF(G365&gt;=20,"End of life (age &gt; 20)",IF(L365&gt;0.6,"Repairs exceed 60% of revenue",IF(G365&gt;=15,"Age 15+ → replace",IF(OR(G365&gt;=11,L365&gt;0.4),"Watch costs; plan replacement","Healthy — continue operating"))))</f>
        <v>Watch costs; plan replacement</v>
      </c>
      <c r="P365" s="188" t="str">
        <f aca="false">'Engineering Assumptions'!H37</f>
        <v>TATA LPK1618 tipper ~Rs. 14–18M</v>
      </c>
    </row>
    <row r="366" customFormat="false" ht="15" hidden="false" customHeight="true" outlineLevel="0" collapsed="false">
      <c r="A366" s="9" t="n">
        <v>342</v>
      </c>
      <c r="B366" s="184" t="s">
        <v>131</v>
      </c>
      <c r="C366" s="184" t="s">
        <v>2428</v>
      </c>
      <c r="D366" s="184" t="s">
        <v>1094</v>
      </c>
      <c r="E366" s="184" t="s">
        <v>1095</v>
      </c>
      <c r="F366" s="45" t="s">
        <v>310</v>
      </c>
      <c r="G366" s="9" t="n">
        <v>14</v>
      </c>
      <c r="H366" s="185" t="n">
        <f aca="false">'Engineering Assumptions'!$F$37*0.12*1</f>
        <v>1.92</v>
      </c>
      <c r="I366" s="185" t="n">
        <f aca="false">'Engineering Assumptions'!$F$37*1</f>
        <v>16</v>
      </c>
      <c r="J366" s="12" t="n">
        <f aca="false">'Fleet Pricing'!L366</f>
        <v>272500</v>
      </c>
      <c r="K366" s="12" t="n">
        <f aca="false">'Maintenance &amp; Repair'!J366+'Maintenance &amp; Repair'!K366</f>
        <v>93000</v>
      </c>
      <c r="L366" s="186" t="n">
        <f aca="false">IFERROR(K366/J366,0)</f>
        <v>0.341284403669725</v>
      </c>
      <c r="M366" s="9" t="n">
        <f aca="false">MAX(0,'Engineering Assumptions'!$G$37-G366)</f>
        <v>1</v>
      </c>
      <c r="N366" s="187" t="str">
        <f aca="false">IF(G366&gt;=20,"REPLACE",IF(L366&gt;0.6,"REPLACE",IF(G366&gt;=15,"REPLACE",IF(OR(G366&gt;=11,L366&gt;0.4),"MONITOR","KEEP"))))</f>
        <v>MONITOR</v>
      </c>
      <c r="O366" s="188" t="str">
        <f aca="false">IF(G366&gt;=20,"End of life (age &gt; 20)",IF(L366&gt;0.6,"Repairs exceed 60% of revenue",IF(G366&gt;=15,"Age 15+ → replace",IF(OR(G366&gt;=11,L366&gt;0.4),"Watch costs; plan replacement","Healthy — continue operating"))))</f>
        <v>Watch costs; plan replacement</v>
      </c>
      <c r="P366" s="188" t="str">
        <f aca="false">'Engineering Assumptions'!H37</f>
        <v>TATA LPK1618 tipper ~Rs. 14–18M</v>
      </c>
    </row>
    <row r="367" customFormat="false" ht="15" hidden="false" customHeight="true" outlineLevel="0" collapsed="false">
      <c r="A367" s="9" t="n">
        <v>343</v>
      </c>
      <c r="B367" s="184" t="s">
        <v>131</v>
      </c>
      <c r="C367" s="184" t="s">
        <v>2426</v>
      </c>
      <c r="D367" s="184" t="s">
        <v>925</v>
      </c>
      <c r="E367" s="184" t="s">
        <v>926</v>
      </c>
      <c r="F367" s="45" t="s">
        <v>310</v>
      </c>
      <c r="G367" s="9" t="n">
        <v>14</v>
      </c>
      <c r="H367" s="185" t="n">
        <f aca="false">'Engineering Assumptions'!$F$37*0.12*1</f>
        <v>1.92</v>
      </c>
      <c r="I367" s="185" t="n">
        <f aca="false">'Engineering Assumptions'!$F$37*1</f>
        <v>16</v>
      </c>
      <c r="J367" s="12" t="n">
        <f aca="false">'Fleet Pricing'!L367</f>
        <v>272500</v>
      </c>
      <c r="K367" s="12" t="n">
        <f aca="false">'Maintenance &amp; Repair'!J367+'Maintenance &amp; Repair'!K367</f>
        <v>93000</v>
      </c>
      <c r="L367" s="186" t="n">
        <f aca="false">IFERROR(K367/J367,0)</f>
        <v>0.341284403669725</v>
      </c>
      <c r="M367" s="9" t="n">
        <f aca="false">MAX(0,'Engineering Assumptions'!$G$37-G367)</f>
        <v>1</v>
      </c>
      <c r="N367" s="187" t="str">
        <f aca="false">IF(G367&gt;=20,"REPLACE",IF(L367&gt;0.6,"REPLACE",IF(G367&gt;=15,"REPLACE",IF(OR(G367&gt;=11,L367&gt;0.4),"MONITOR","KEEP"))))</f>
        <v>MONITOR</v>
      </c>
      <c r="O367" s="188" t="str">
        <f aca="false">IF(G367&gt;=20,"End of life (age &gt; 20)",IF(L367&gt;0.6,"Repairs exceed 60% of revenue",IF(G367&gt;=15,"Age 15+ → replace",IF(OR(G367&gt;=11,L367&gt;0.4),"Watch costs; plan replacement","Healthy — continue operating"))))</f>
        <v>Watch costs; plan replacement</v>
      </c>
      <c r="P367" s="188" t="str">
        <f aca="false">'Engineering Assumptions'!H37</f>
        <v>TATA LPK1618 tipper ~Rs. 14–18M</v>
      </c>
    </row>
    <row r="368" customFormat="false" ht="15" hidden="false" customHeight="true" outlineLevel="0" collapsed="false">
      <c r="A368" s="9" t="n">
        <v>344</v>
      </c>
      <c r="B368" s="184" t="s">
        <v>131</v>
      </c>
      <c r="C368" s="184" t="s">
        <v>2426</v>
      </c>
      <c r="D368" s="184" t="s">
        <v>1059</v>
      </c>
      <c r="E368" s="184" t="s">
        <v>1061</v>
      </c>
      <c r="F368" s="45" t="s">
        <v>310</v>
      </c>
      <c r="G368" s="9" t="n">
        <v>14</v>
      </c>
      <c r="H368" s="185" t="n">
        <f aca="false">'Engineering Assumptions'!$F$37*0.12*1</f>
        <v>1.92</v>
      </c>
      <c r="I368" s="185" t="n">
        <f aca="false">'Engineering Assumptions'!$F$37*1</f>
        <v>16</v>
      </c>
      <c r="J368" s="12" t="n">
        <f aca="false">'Fleet Pricing'!L368</f>
        <v>272500</v>
      </c>
      <c r="K368" s="12" t="n">
        <f aca="false">'Maintenance &amp; Repair'!J368+'Maintenance &amp; Repair'!K368</f>
        <v>93000</v>
      </c>
      <c r="L368" s="186" t="n">
        <f aca="false">IFERROR(K368/J368,0)</f>
        <v>0.341284403669725</v>
      </c>
      <c r="M368" s="9" t="n">
        <f aca="false">MAX(0,'Engineering Assumptions'!$G$37-G368)</f>
        <v>1</v>
      </c>
      <c r="N368" s="187" t="str">
        <f aca="false">IF(G368&gt;=20,"REPLACE",IF(L368&gt;0.6,"REPLACE",IF(G368&gt;=15,"REPLACE",IF(OR(G368&gt;=11,L368&gt;0.4),"MONITOR","KEEP"))))</f>
        <v>MONITOR</v>
      </c>
      <c r="O368" s="188" t="str">
        <f aca="false">IF(G368&gt;=20,"End of life (age &gt; 20)",IF(L368&gt;0.6,"Repairs exceed 60% of revenue",IF(G368&gt;=15,"Age 15+ → replace",IF(OR(G368&gt;=11,L368&gt;0.4),"Watch costs; plan replacement","Healthy — continue operating"))))</f>
        <v>Watch costs; plan replacement</v>
      </c>
      <c r="P368" s="188" t="str">
        <f aca="false">'Engineering Assumptions'!H37</f>
        <v>TATA LPK1618 tipper ~Rs. 14–18M</v>
      </c>
    </row>
    <row r="369" customFormat="false" ht="15" hidden="false" customHeight="true" outlineLevel="0" collapsed="false">
      <c r="A369" s="9" t="n">
        <v>345</v>
      </c>
      <c r="B369" s="184" t="s">
        <v>131</v>
      </c>
      <c r="C369" s="184" t="s">
        <v>2429</v>
      </c>
      <c r="D369" s="184" t="s">
        <v>927</v>
      </c>
      <c r="E369" s="184" t="s">
        <v>928</v>
      </c>
      <c r="F369" s="45" t="s">
        <v>310</v>
      </c>
      <c r="G369" s="9" t="n">
        <v>14</v>
      </c>
      <c r="H369" s="185" t="n">
        <f aca="false">'Engineering Assumptions'!$F$37*0.12*1</f>
        <v>1.92</v>
      </c>
      <c r="I369" s="185" t="n">
        <f aca="false">'Engineering Assumptions'!$F$37*1</f>
        <v>16</v>
      </c>
      <c r="J369" s="12" t="n">
        <f aca="false">'Fleet Pricing'!L369</f>
        <v>272500</v>
      </c>
      <c r="K369" s="12" t="n">
        <f aca="false">'Maintenance &amp; Repair'!J369+'Maintenance &amp; Repair'!K369</f>
        <v>93000</v>
      </c>
      <c r="L369" s="186" t="n">
        <f aca="false">IFERROR(K369/J369,0)</f>
        <v>0.341284403669725</v>
      </c>
      <c r="M369" s="9" t="n">
        <f aca="false">MAX(0,'Engineering Assumptions'!$G$37-G369)</f>
        <v>1</v>
      </c>
      <c r="N369" s="187" t="str">
        <f aca="false">IF(G369&gt;=20,"REPLACE",IF(L369&gt;0.6,"REPLACE",IF(G369&gt;=15,"REPLACE",IF(OR(G369&gt;=11,L369&gt;0.4),"MONITOR","KEEP"))))</f>
        <v>MONITOR</v>
      </c>
      <c r="O369" s="188" t="str">
        <f aca="false">IF(G369&gt;=20,"End of life (age &gt; 20)",IF(L369&gt;0.6,"Repairs exceed 60% of revenue",IF(G369&gt;=15,"Age 15+ → replace",IF(OR(G369&gt;=11,L369&gt;0.4),"Watch costs; plan replacement","Healthy — continue operating"))))</f>
        <v>Watch costs; plan replacement</v>
      </c>
      <c r="P369" s="188" t="str">
        <f aca="false">'Engineering Assumptions'!H37</f>
        <v>TATA LPK1618 tipper ~Rs. 14–18M</v>
      </c>
    </row>
    <row r="370" customFormat="false" ht="15" hidden="false" customHeight="true" outlineLevel="0" collapsed="false">
      <c r="A370" s="9" t="n">
        <v>346</v>
      </c>
      <c r="B370" s="184" t="s">
        <v>131</v>
      </c>
      <c r="C370" s="184" t="s">
        <v>2429</v>
      </c>
      <c r="D370" s="184" t="s">
        <v>1064</v>
      </c>
      <c r="E370" s="184" t="s">
        <v>1065</v>
      </c>
      <c r="F370" s="45" t="s">
        <v>310</v>
      </c>
      <c r="G370" s="9" t="n">
        <v>14</v>
      </c>
      <c r="H370" s="185" t="n">
        <f aca="false">'Engineering Assumptions'!$F$37*0.12*1</f>
        <v>1.92</v>
      </c>
      <c r="I370" s="185" t="n">
        <f aca="false">'Engineering Assumptions'!$F$37*1</f>
        <v>16</v>
      </c>
      <c r="J370" s="12" t="n">
        <f aca="false">'Fleet Pricing'!L370</f>
        <v>272500</v>
      </c>
      <c r="K370" s="12" t="n">
        <f aca="false">'Maintenance &amp; Repair'!J370+'Maintenance &amp; Repair'!K370</f>
        <v>93000</v>
      </c>
      <c r="L370" s="186" t="n">
        <f aca="false">IFERROR(K370/J370,0)</f>
        <v>0.341284403669725</v>
      </c>
      <c r="M370" s="9" t="n">
        <f aca="false">MAX(0,'Engineering Assumptions'!$G$37-G370)</f>
        <v>1</v>
      </c>
      <c r="N370" s="187" t="str">
        <f aca="false">IF(G370&gt;=20,"REPLACE",IF(L370&gt;0.6,"REPLACE",IF(G370&gt;=15,"REPLACE",IF(OR(G370&gt;=11,L370&gt;0.4),"MONITOR","KEEP"))))</f>
        <v>MONITOR</v>
      </c>
      <c r="O370" s="188" t="str">
        <f aca="false">IF(G370&gt;=20,"End of life (age &gt; 20)",IF(L370&gt;0.6,"Repairs exceed 60% of revenue",IF(G370&gt;=15,"Age 15+ → replace",IF(OR(G370&gt;=11,L370&gt;0.4),"Watch costs; plan replacement","Healthy — continue operating"))))</f>
        <v>Watch costs; plan replacement</v>
      </c>
      <c r="P370" s="188" t="str">
        <f aca="false">'Engineering Assumptions'!H37</f>
        <v>TATA LPK1618 tipper ~Rs. 14–18M</v>
      </c>
    </row>
    <row r="371" customFormat="false" ht="15" hidden="false" customHeight="true" outlineLevel="0" collapsed="false">
      <c r="A371" s="9" t="n">
        <v>347</v>
      </c>
      <c r="B371" s="184" t="s">
        <v>131</v>
      </c>
      <c r="C371" s="184" t="s">
        <v>2424</v>
      </c>
      <c r="D371" s="184" t="s">
        <v>931</v>
      </c>
      <c r="E371" s="184" t="s">
        <v>932</v>
      </c>
      <c r="F371" s="45" t="s">
        <v>310</v>
      </c>
      <c r="G371" s="9" t="n">
        <v>14</v>
      </c>
      <c r="H371" s="185" t="n">
        <f aca="false">'Engineering Assumptions'!$F$37*0.12*1</f>
        <v>1.92</v>
      </c>
      <c r="I371" s="185" t="n">
        <f aca="false">'Engineering Assumptions'!$F$37*1</f>
        <v>16</v>
      </c>
      <c r="J371" s="12" t="n">
        <f aca="false">'Fleet Pricing'!L371</f>
        <v>272500</v>
      </c>
      <c r="K371" s="12" t="n">
        <f aca="false">'Maintenance &amp; Repair'!J371+'Maintenance &amp; Repair'!K371</f>
        <v>93000</v>
      </c>
      <c r="L371" s="186" t="n">
        <f aca="false">IFERROR(K371/J371,0)</f>
        <v>0.341284403669725</v>
      </c>
      <c r="M371" s="9" t="n">
        <f aca="false">MAX(0,'Engineering Assumptions'!$G$37-G371)</f>
        <v>1</v>
      </c>
      <c r="N371" s="187" t="str">
        <f aca="false">IF(G371&gt;=20,"REPLACE",IF(L371&gt;0.6,"REPLACE",IF(G371&gt;=15,"REPLACE",IF(OR(G371&gt;=11,L371&gt;0.4),"MONITOR","KEEP"))))</f>
        <v>MONITOR</v>
      </c>
      <c r="O371" s="188" t="str">
        <f aca="false">IF(G371&gt;=20,"End of life (age &gt; 20)",IF(L371&gt;0.6,"Repairs exceed 60% of revenue",IF(G371&gt;=15,"Age 15+ → replace",IF(OR(G371&gt;=11,L371&gt;0.4),"Watch costs; plan replacement","Healthy — continue operating"))))</f>
        <v>Watch costs; plan replacement</v>
      </c>
      <c r="P371" s="188" t="str">
        <f aca="false">'Engineering Assumptions'!H37</f>
        <v>TATA LPK1618 tipper ~Rs. 14–18M</v>
      </c>
    </row>
    <row r="372" customFormat="false" ht="15" hidden="false" customHeight="true" outlineLevel="0" collapsed="false">
      <c r="A372" s="9" t="n">
        <v>348</v>
      </c>
      <c r="B372" s="184" t="s">
        <v>131</v>
      </c>
      <c r="C372" s="184" t="s">
        <v>2424</v>
      </c>
      <c r="D372" s="184" t="s">
        <v>933</v>
      </c>
      <c r="E372" s="184" t="s">
        <v>934</v>
      </c>
      <c r="F372" s="45" t="s">
        <v>310</v>
      </c>
      <c r="G372" s="9" t="n">
        <v>14</v>
      </c>
      <c r="H372" s="185" t="n">
        <f aca="false">'Engineering Assumptions'!$F$37*0.12*1</f>
        <v>1.92</v>
      </c>
      <c r="I372" s="185" t="n">
        <f aca="false">'Engineering Assumptions'!$F$37*1</f>
        <v>16</v>
      </c>
      <c r="J372" s="12" t="n">
        <f aca="false">'Fleet Pricing'!L372</f>
        <v>272500</v>
      </c>
      <c r="K372" s="12" t="n">
        <f aca="false">'Maintenance &amp; Repair'!J372+'Maintenance &amp; Repair'!K372</f>
        <v>93000</v>
      </c>
      <c r="L372" s="186" t="n">
        <f aca="false">IFERROR(K372/J372,0)</f>
        <v>0.341284403669725</v>
      </c>
      <c r="M372" s="9" t="n">
        <f aca="false">MAX(0,'Engineering Assumptions'!$G$37-G372)</f>
        <v>1</v>
      </c>
      <c r="N372" s="187" t="str">
        <f aca="false">IF(G372&gt;=20,"REPLACE",IF(L372&gt;0.6,"REPLACE",IF(G372&gt;=15,"REPLACE",IF(OR(G372&gt;=11,L372&gt;0.4),"MONITOR","KEEP"))))</f>
        <v>MONITOR</v>
      </c>
      <c r="O372" s="188" t="str">
        <f aca="false">IF(G372&gt;=20,"End of life (age &gt; 20)",IF(L372&gt;0.6,"Repairs exceed 60% of revenue",IF(G372&gt;=15,"Age 15+ → replace",IF(OR(G372&gt;=11,L372&gt;0.4),"Watch costs; plan replacement","Healthy — continue operating"))))</f>
        <v>Watch costs; plan replacement</v>
      </c>
      <c r="P372" s="188" t="str">
        <f aca="false">'Engineering Assumptions'!H37</f>
        <v>TATA LPK1618 tipper ~Rs. 14–18M</v>
      </c>
    </row>
    <row r="373" customFormat="false" ht="15" hidden="false" customHeight="true" outlineLevel="0" collapsed="false">
      <c r="A373" s="9" t="n">
        <v>349</v>
      </c>
      <c r="B373" s="184" t="s">
        <v>131</v>
      </c>
      <c r="C373" s="184" t="s">
        <v>2428</v>
      </c>
      <c r="D373" s="184" t="s">
        <v>1066</v>
      </c>
      <c r="E373" s="184" t="s">
        <v>1067</v>
      </c>
      <c r="F373" s="45" t="s">
        <v>748</v>
      </c>
      <c r="G373" s="9" t="n">
        <v>15</v>
      </c>
      <c r="H373" s="185" t="n">
        <f aca="false">'Engineering Assumptions'!$F$37*0.12*1</f>
        <v>1.92</v>
      </c>
      <c r="I373" s="185" t="n">
        <f aca="false">'Engineering Assumptions'!$F$37*1</f>
        <v>16</v>
      </c>
      <c r="J373" s="12" t="n">
        <f aca="false">'Fleet Pricing'!L373</f>
        <v>272500</v>
      </c>
      <c r="K373" s="12" t="n">
        <f aca="false">'Maintenance &amp; Repair'!J373+'Maintenance &amp; Repair'!K373</f>
        <v>93000</v>
      </c>
      <c r="L373" s="186" t="n">
        <f aca="false">IFERROR(K373/J373,0)</f>
        <v>0.341284403669725</v>
      </c>
      <c r="M373" s="9" t="n">
        <f aca="false">MAX(0,'Engineering Assumptions'!$G$37-G373)</f>
        <v>0</v>
      </c>
      <c r="N373" s="187" t="str">
        <f aca="false">IF(G373&gt;=20,"REPLACE",IF(L373&gt;0.6,"REPLACE",IF(G373&gt;=15,"REPLACE",IF(OR(G373&gt;=11,L373&gt;0.4),"MONITOR","KEEP"))))</f>
        <v>REPLACE</v>
      </c>
      <c r="O373" s="188" t="str">
        <f aca="false">IF(G373&gt;=20,"End of life (age &gt; 20)",IF(L373&gt;0.6,"Repairs exceed 60% of revenue",IF(G373&gt;=15,"Age 15+ → replace",IF(OR(G373&gt;=11,L373&gt;0.4),"Watch costs; plan replacement","Healthy — continue operating"))))</f>
        <v>Age 15+ → replace</v>
      </c>
      <c r="P373" s="188" t="str">
        <f aca="false">'Engineering Assumptions'!H37</f>
        <v>TATA LPK1618 tipper ~Rs. 14–18M</v>
      </c>
    </row>
    <row r="374" customFormat="false" ht="15" hidden="false" customHeight="true" outlineLevel="0" collapsed="false">
      <c r="A374" s="9" t="n">
        <v>350</v>
      </c>
      <c r="B374" s="184" t="s">
        <v>131</v>
      </c>
      <c r="C374" s="184" t="s">
        <v>2430</v>
      </c>
      <c r="D374" s="184" t="s">
        <v>1068</v>
      </c>
      <c r="E374" s="184" t="s">
        <v>1070</v>
      </c>
      <c r="F374" s="45" t="s">
        <v>748</v>
      </c>
      <c r="G374" s="9" t="n">
        <v>15</v>
      </c>
      <c r="H374" s="185" t="n">
        <f aca="false">'Engineering Assumptions'!$F$37*0.12*1</f>
        <v>1.92</v>
      </c>
      <c r="I374" s="185" t="n">
        <f aca="false">'Engineering Assumptions'!$F$37*1</f>
        <v>16</v>
      </c>
      <c r="J374" s="12" t="n">
        <f aca="false">'Fleet Pricing'!L374</f>
        <v>272500</v>
      </c>
      <c r="K374" s="12" t="n">
        <f aca="false">'Maintenance &amp; Repair'!J374+'Maintenance &amp; Repair'!K374</f>
        <v>93000</v>
      </c>
      <c r="L374" s="186" t="n">
        <f aca="false">IFERROR(K374/J374,0)</f>
        <v>0.341284403669725</v>
      </c>
      <c r="M374" s="9" t="n">
        <f aca="false">MAX(0,'Engineering Assumptions'!$G$37-G374)</f>
        <v>0</v>
      </c>
      <c r="N374" s="187" t="str">
        <f aca="false">IF(G374&gt;=20,"REPLACE",IF(L374&gt;0.6,"REPLACE",IF(G374&gt;=15,"REPLACE",IF(OR(G374&gt;=11,L374&gt;0.4),"MONITOR","KEEP"))))</f>
        <v>REPLACE</v>
      </c>
      <c r="O374" s="188" t="str">
        <f aca="false">IF(G374&gt;=20,"End of life (age &gt; 20)",IF(L374&gt;0.6,"Repairs exceed 60% of revenue",IF(G374&gt;=15,"Age 15+ → replace",IF(OR(G374&gt;=11,L374&gt;0.4),"Watch costs; plan replacement","Healthy — continue operating"))))</f>
        <v>Age 15+ → replace</v>
      </c>
      <c r="P374" s="188" t="str">
        <f aca="false">'Engineering Assumptions'!H37</f>
        <v>TATA LPK1618 tipper ~Rs. 14–18M</v>
      </c>
    </row>
    <row r="375" customFormat="false" ht="15" hidden="false" customHeight="true" outlineLevel="0" collapsed="false">
      <c r="A375" s="9" t="n">
        <v>351</v>
      </c>
      <c r="B375" s="184" t="s">
        <v>131</v>
      </c>
      <c r="C375" s="184" t="s">
        <v>2430</v>
      </c>
      <c r="D375" s="184" t="s">
        <v>1071</v>
      </c>
      <c r="E375" s="184" t="s">
        <v>1072</v>
      </c>
      <c r="F375" s="45" t="s">
        <v>748</v>
      </c>
      <c r="G375" s="9" t="n">
        <v>15</v>
      </c>
      <c r="H375" s="185" t="n">
        <f aca="false">'Engineering Assumptions'!$F$37*0.12*1</f>
        <v>1.92</v>
      </c>
      <c r="I375" s="185" t="n">
        <f aca="false">'Engineering Assumptions'!$F$37*1</f>
        <v>16</v>
      </c>
      <c r="J375" s="12" t="n">
        <f aca="false">'Fleet Pricing'!L375</f>
        <v>272500</v>
      </c>
      <c r="K375" s="12" t="n">
        <f aca="false">'Maintenance &amp; Repair'!J375+'Maintenance &amp; Repair'!K375</f>
        <v>93000</v>
      </c>
      <c r="L375" s="186" t="n">
        <f aca="false">IFERROR(K375/J375,0)</f>
        <v>0.341284403669725</v>
      </c>
      <c r="M375" s="9" t="n">
        <f aca="false">MAX(0,'Engineering Assumptions'!$G$37-G375)</f>
        <v>0</v>
      </c>
      <c r="N375" s="187" t="str">
        <f aca="false">IF(G375&gt;=20,"REPLACE",IF(L375&gt;0.6,"REPLACE",IF(G375&gt;=15,"REPLACE",IF(OR(G375&gt;=11,L375&gt;0.4),"MONITOR","KEEP"))))</f>
        <v>REPLACE</v>
      </c>
      <c r="O375" s="188" t="str">
        <f aca="false">IF(G375&gt;=20,"End of life (age &gt; 20)",IF(L375&gt;0.6,"Repairs exceed 60% of revenue",IF(G375&gt;=15,"Age 15+ → replace",IF(OR(G375&gt;=11,L375&gt;0.4),"Watch costs; plan replacement","Healthy — continue operating"))))</f>
        <v>Age 15+ → replace</v>
      </c>
      <c r="P375" s="188" t="str">
        <f aca="false">'Engineering Assumptions'!H37</f>
        <v>TATA LPK1618 tipper ~Rs. 14–18M</v>
      </c>
    </row>
    <row r="376" customFormat="false" ht="15" hidden="false" customHeight="true" outlineLevel="0" collapsed="false">
      <c r="A376" s="9" t="n">
        <v>352</v>
      </c>
      <c r="B376" s="184" t="s">
        <v>131</v>
      </c>
      <c r="C376" s="184" t="s">
        <v>2430</v>
      </c>
      <c r="D376" s="184" t="s">
        <v>1073</v>
      </c>
      <c r="E376" s="184" t="s">
        <v>1074</v>
      </c>
      <c r="F376" s="45" t="s">
        <v>748</v>
      </c>
      <c r="G376" s="9" t="n">
        <v>15</v>
      </c>
      <c r="H376" s="185" t="n">
        <f aca="false">'Engineering Assumptions'!$F$37*0.12*1</f>
        <v>1.92</v>
      </c>
      <c r="I376" s="185" t="n">
        <f aca="false">'Engineering Assumptions'!$F$37*1</f>
        <v>16</v>
      </c>
      <c r="J376" s="12" t="n">
        <f aca="false">'Fleet Pricing'!L376</f>
        <v>272500</v>
      </c>
      <c r="K376" s="12" t="n">
        <f aca="false">'Maintenance &amp; Repair'!J376+'Maintenance &amp; Repair'!K376</f>
        <v>93000</v>
      </c>
      <c r="L376" s="186" t="n">
        <f aca="false">IFERROR(K376/J376,0)</f>
        <v>0.341284403669725</v>
      </c>
      <c r="M376" s="9" t="n">
        <f aca="false">MAX(0,'Engineering Assumptions'!$G$37-G376)</f>
        <v>0</v>
      </c>
      <c r="N376" s="187" t="str">
        <f aca="false">IF(G376&gt;=20,"REPLACE",IF(L376&gt;0.6,"REPLACE",IF(G376&gt;=15,"REPLACE",IF(OR(G376&gt;=11,L376&gt;0.4),"MONITOR","KEEP"))))</f>
        <v>REPLACE</v>
      </c>
      <c r="O376" s="188" t="str">
        <f aca="false">IF(G376&gt;=20,"End of life (age &gt; 20)",IF(L376&gt;0.6,"Repairs exceed 60% of revenue",IF(G376&gt;=15,"Age 15+ → replace",IF(OR(G376&gt;=11,L376&gt;0.4),"Watch costs; plan replacement","Healthy — continue operating"))))</f>
        <v>Age 15+ → replace</v>
      </c>
      <c r="P376" s="188" t="str">
        <f aca="false">'Engineering Assumptions'!H37</f>
        <v>TATA LPK1618 tipper ~Rs. 14–18M</v>
      </c>
    </row>
    <row r="377" customFormat="false" ht="15" hidden="false" customHeight="true" outlineLevel="0" collapsed="false">
      <c r="A377" s="9" t="n">
        <v>353</v>
      </c>
      <c r="B377" s="184" t="s">
        <v>131</v>
      </c>
      <c r="C377" s="184" t="s">
        <v>2430</v>
      </c>
      <c r="D377" s="184" t="s">
        <v>1075</v>
      </c>
      <c r="E377" s="184" t="s">
        <v>1076</v>
      </c>
      <c r="F377" s="45" t="s">
        <v>748</v>
      </c>
      <c r="G377" s="9" t="n">
        <v>15</v>
      </c>
      <c r="H377" s="185" t="n">
        <f aca="false">'Engineering Assumptions'!$F$37*0.12*1</f>
        <v>1.92</v>
      </c>
      <c r="I377" s="185" t="n">
        <f aca="false">'Engineering Assumptions'!$F$37*1</f>
        <v>16</v>
      </c>
      <c r="J377" s="12" t="n">
        <f aca="false">'Fleet Pricing'!L377</f>
        <v>272500</v>
      </c>
      <c r="K377" s="12" t="n">
        <f aca="false">'Maintenance &amp; Repair'!J377+'Maintenance &amp; Repair'!K377</f>
        <v>93000</v>
      </c>
      <c r="L377" s="186" t="n">
        <f aca="false">IFERROR(K377/J377,0)</f>
        <v>0.341284403669725</v>
      </c>
      <c r="M377" s="9" t="n">
        <f aca="false">MAX(0,'Engineering Assumptions'!$G$37-G377)</f>
        <v>0</v>
      </c>
      <c r="N377" s="187" t="str">
        <f aca="false">IF(G377&gt;=20,"REPLACE",IF(L377&gt;0.6,"REPLACE",IF(G377&gt;=15,"REPLACE",IF(OR(G377&gt;=11,L377&gt;0.4),"MONITOR","KEEP"))))</f>
        <v>REPLACE</v>
      </c>
      <c r="O377" s="188" t="str">
        <f aca="false">IF(G377&gt;=20,"End of life (age &gt; 20)",IF(L377&gt;0.6,"Repairs exceed 60% of revenue",IF(G377&gt;=15,"Age 15+ → replace",IF(OR(G377&gt;=11,L377&gt;0.4),"Watch costs; plan replacement","Healthy — continue operating"))))</f>
        <v>Age 15+ → replace</v>
      </c>
      <c r="P377" s="188" t="str">
        <f aca="false">'Engineering Assumptions'!H37</f>
        <v>TATA LPK1618 tipper ~Rs. 14–18M</v>
      </c>
    </row>
    <row r="378" customFormat="false" ht="15" hidden="false" customHeight="true" outlineLevel="0" collapsed="false">
      <c r="A378" s="9" t="n">
        <v>354</v>
      </c>
      <c r="B378" s="184" t="s">
        <v>131</v>
      </c>
      <c r="C378" s="184" t="s">
        <v>2424</v>
      </c>
      <c r="D378" s="184" t="s">
        <v>1090</v>
      </c>
      <c r="E378" s="184" t="s">
        <v>1091</v>
      </c>
      <c r="F378" s="45" t="s">
        <v>748</v>
      </c>
      <c r="G378" s="9" t="n">
        <v>15</v>
      </c>
      <c r="H378" s="185" t="n">
        <f aca="false">'Engineering Assumptions'!$F$37*0.12*1</f>
        <v>1.92</v>
      </c>
      <c r="I378" s="185" t="n">
        <f aca="false">'Engineering Assumptions'!$F$37*1</f>
        <v>16</v>
      </c>
      <c r="J378" s="12" t="n">
        <f aca="false">'Fleet Pricing'!L378</f>
        <v>272500</v>
      </c>
      <c r="K378" s="12" t="n">
        <f aca="false">'Maintenance &amp; Repair'!J378+'Maintenance &amp; Repair'!K378</f>
        <v>93000</v>
      </c>
      <c r="L378" s="186" t="n">
        <f aca="false">IFERROR(K378/J378,0)</f>
        <v>0.341284403669725</v>
      </c>
      <c r="M378" s="9" t="n">
        <f aca="false">MAX(0,'Engineering Assumptions'!$G$37-G378)</f>
        <v>0</v>
      </c>
      <c r="N378" s="187" t="str">
        <f aca="false">IF(G378&gt;=20,"REPLACE",IF(L378&gt;0.6,"REPLACE",IF(G378&gt;=15,"REPLACE",IF(OR(G378&gt;=11,L378&gt;0.4),"MONITOR","KEEP"))))</f>
        <v>REPLACE</v>
      </c>
      <c r="O378" s="188" t="str">
        <f aca="false">IF(G378&gt;=20,"End of life (age &gt; 20)",IF(L378&gt;0.6,"Repairs exceed 60% of revenue",IF(G378&gt;=15,"Age 15+ → replace",IF(OR(G378&gt;=11,L378&gt;0.4),"Watch costs; plan replacement","Healthy — continue operating"))))</f>
        <v>Age 15+ → replace</v>
      </c>
      <c r="P378" s="188" t="str">
        <f aca="false">'Engineering Assumptions'!H37</f>
        <v>TATA LPK1618 tipper ~Rs. 14–18M</v>
      </c>
    </row>
    <row r="379" customFormat="false" ht="15" hidden="false" customHeight="true" outlineLevel="0" collapsed="false">
      <c r="A379" s="9" t="n">
        <v>355</v>
      </c>
      <c r="B379" s="184" t="s">
        <v>131</v>
      </c>
      <c r="C379" s="184" t="s">
        <v>2424</v>
      </c>
      <c r="D379" s="184"/>
      <c r="E379" s="184"/>
      <c r="F379" s="45" t="s">
        <v>748</v>
      </c>
      <c r="G379" s="9" t="n">
        <v>15</v>
      </c>
      <c r="H379" s="185" t="n">
        <f aca="false">'Engineering Assumptions'!$F$37*0.12*1</f>
        <v>1.92</v>
      </c>
      <c r="I379" s="185" t="n">
        <f aca="false">'Engineering Assumptions'!$F$37*1</f>
        <v>16</v>
      </c>
      <c r="J379" s="12" t="n">
        <f aca="false">'Fleet Pricing'!L379</f>
        <v>272500</v>
      </c>
      <c r="K379" s="12" t="n">
        <f aca="false">'Maintenance &amp; Repair'!J379+'Maintenance &amp; Repair'!K379</f>
        <v>93000</v>
      </c>
      <c r="L379" s="186" t="n">
        <f aca="false">IFERROR(K379/J379,0)</f>
        <v>0.341284403669725</v>
      </c>
      <c r="M379" s="9" t="n">
        <f aca="false">MAX(0,'Engineering Assumptions'!$G$37-G379)</f>
        <v>0</v>
      </c>
      <c r="N379" s="187" t="str">
        <f aca="false">IF(G379&gt;=20,"REPLACE",IF(L379&gt;0.6,"REPLACE",IF(G379&gt;=15,"REPLACE",IF(OR(G379&gt;=11,L379&gt;0.4),"MONITOR","KEEP"))))</f>
        <v>REPLACE</v>
      </c>
      <c r="O379" s="188" t="str">
        <f aca="false">IF(G379&gt;=20,"End of life (age &gt; 20)",IF(L379&gt;0.6,"Repairs exceed 60% of revenue",IF(G379&gt;=15,"Age 15+ → replace",IF(OR(G379&gt;=11,L379&gt;0.4),"Watch costs; plan replacement","Healthy — continue operating"))))</f>
        <v>Age 15+ → replace</v>
      </c>
      <c r="P379" s="188" t="str">
        <f aca="false">'Engineering Assumptions'!H37</f>
        <v>TATA LPK1618 tipper ~Rs. 14–18M</v>
      </c>
    </row>
    <row r="380" customFormat="false" ht="15" hidden="false" customHeight="true" outlineLevel="0" collapsed="false">
      <c r="A380" s="9" t="n">
        <v>356</v>
      </c>
      <c r="B380" s="184" t="s">
        <v>131</v>
      </c>
      <c r="C380" s="184" t="s">
        <v>2424</v>
      </c>
      <c r="D380" s="184"/>
      <c r="E380" s="184"/>
      <c r="F380" s="45" t="s">
        <v>748</v>
      </c>
      <c r="G380" s="9" t="n">
        <v>15</v>
      </c>
      <c r="H380" s="185" t="n">
        <f aca="false">'Engineering Assumptions'!$F$37*0.12*1</f>
        <v>1.92</v>
      </c>
      <c r="I380" s="185" t="n">
        <f aca="false">'Engineering Assumptions'!$F$37*1</f>
        <v>16</v>
      </c>
      <c r="J380" s="12" t="n">
        <f aca="false">'Fleet Pricing'!L380</f>
        <v>272500</v>
      </c>
      <c r="K380" s="12" t="n">
        <f aca="false">'Maintenance &amp; Repair'!J380+'Maintenance &amp; Repair'!K380</f>
        <v>93000</v>
      </c>
      <c r="L380" s="186" t="n">
        <f aca="false">IFERROR(K380/J380,0)</f>
        <v>0.341284403669725</v>
      </c>
      <c r="M380" s="9" t="n">
        <f aca="false">MAX(0,'Engineering Assumptions'!$G$37-G380)</f>
        <v>0</v>
      </c>
      <c r="N380" s="187" t="str">
        <f aca="false">IF(G380&gt;=20,"REPLACE",IF(L380&gt;0.6,"REPLACE",IF(G380&gt;=15,"REPLACE",IF(OR(G380&gt;=11,L380&gt;0.4),"MONITOR","KEEP"))))</f>
        <v>REPLACE</v>
      </c>
      <c r="O380" s="188" t="str">
        <f aca="false">IF(G380&gt;=20,"End of life (age &gt; 20)",IF(L380&gt;0.6,"Repairs exceed 60% of revenue",IF(G380&gt;=15,"Age 15+ → replace",IF(OR(G380&gt;=11,L380&gt;0.4),"Watch costs; plan replacement","Healthy — continue operating"))))</f>
        <v>Age 15+ → replace</v>
      </c>
      <c r="P380" s="188" t="str">
        <f aca="false">'Engineering Assumptions'!H37</f>
        <v>TATA LPK1618 tipper ~Rs. 14–18M</v>
      </c>
    </row>
    <row r="381" customFormat="false" ht="15" hidden="false" customHeight="true" outlineLevel="0" collapsed="false">
      <c r="A381" s="9" t="n">
        <v>357</v>
      </c>
      <c r="B381" s="184" t="s">
        <v>131</v>
      </c>
      <c r="C381" s="184" t="s">
        <v>2424</v>
      </c>
      <c r="D381" s="184"/>
      <c r="E381" s="184"/>
      <c r="F381" s="45" t="s">
        <v>748</v>
      </c>
      <c r="G381" s="9" t="n">
        <v>15</v>
      </c>
      <c r="H381" s="185" t="n">
        <f aca="false">'Engineering Assumptions'!$F$37*0.12*1</f>
        <v>1.92</v>
      </c>
      <c r="I381" s="185" t="n">
        <f aca="false">'Engineering Assumptions'!$F$37*1</f>
        <v>16</v>
      </c>
      <c r="J381" s="12" t="n">
        <f aca="false">'Fleet Pricing'!L381</f>
        <v>272500</v>
      </c>
      <c r="K381" s="12" t="n">
        <f aca="false">'Maintenance &amp; Repair'!J381+'Maintenance &amp; Repair'!K381</f>
        <v>93000</v>
      </c>
      <c r="L381" s="186" t="n">
        <f aca="false">IFERROR(K381/J381,0)</f>
        <v>0.341284403669725</v>
      </c>
      <c r="M381" s="9" t="n">
        <f aca="false">MAX(0,'Engineering Assumptions'!$G$37-G381)</f>
        <v>0</v>
      </c>
      <c r="N381" s="187" t="str">
        <f aca="false">IF(G381&gt;=20,"REPLACE",IF(L381&gt;0.6,"REPLACE",IF(G381&gt;=15,"REPLACE",IF(OR(G381&gt;=11,L381&gt;0.4),"MONITOR","KEEP"))))</f>
        <v>REPLACE</v>
      </c>
      <c r="O381" s="188" t="str">
        <f aca="false">IF(G381&gt;=20,"End of life (age &gt; 20)",IF(L381&gt;0.6,"Repairs exceed 60% of revenue",IF(G381&gt;=15,"Age 15+ → replace",IF(OR(G381&gt;=11,L381&gt;0.4),"Watch costs; plan replacement","Healthy — continue operating"))))</f>
        <v>Age 15+ → replace</v>
      </c>
      <c r="P381" s="188" t="str">
        <f aca="false">'Engineering Assumptions'!H37</f>
        <v>TATA LPK1618 tipper ~Rs. 14–18M</v>
      </c>
    </row>
    <row r="382" customFormat="false" ht="15" hidden="false" customHeight="true" outlineLevel="0" collapsed="false">
      <c r="A382" s="9" t="n">
        <v>358</v>
      </c>
      <c r="B382" s="184" t="s">
        <v>131</v>
      </c>
      <c r="C382" s="184" t="s">
        <v>2431</v>
      </c>
      <c r="D382" s="184" t="s">
        <v>1079</v>
      </c>
      <c r="E382" s="184" t="s">
        <v>1081</v>
      </c>
      <c r="F382" s="45" t="s">
        <v>389</v>
      </c>
      <c r="G382" s="9" t="n">
        <v>16</v>
      </c>
      <c r="H382" s="185" t="n">
        <f aca="false">'Engineering Assumptions'!$F$37*0.12*1</f>
        <v>1.92</v>
      </c>
      <c r="I382" s="185" t="n">
        <f aca="false">'Engineering Assumptions'!$F$37*1</f>
        <v>16</v>
      </c>
      <c r="J382" s="12" t="n">
        <f aca="false">'Fleet Pricing'!L382</f>
        <v>272500</v>
      </c>
      <c r="K382" s="12" t="n">
        <f aca="false">'Maintenance &amp; Repair'!J382+'Maintenance &amp; Repair'!K382</f>
        <v>131940</v>
      </c>
      <c r="L382" s="186" t="n">
        <f aca="false">IFERROR(K382/J382,0)</f>
        <v>0.484183486238532</v>
      </c>
      <c r="M382" s="9" t="n">
        <f aca="false">MAX(0,'Engineering Assumptions'!$G$37-G382)</f>
        <v>0</v>
      </c>
      <c r="N382" s="187" t="str">
        <f aca="false">IF(G382&gt;=20,"REPLACE",IF(L382&gt;0.6,"REPLACE",IF(G382&gt;=15,"REPLACE",IF(OR(G382&gt;=11,L382&gt;0.4),"MONITOR","KEEP"))))</f>
        <v>REPLACE</v>
      </c>
      <c r="O382" s="188" t="str">
        <f aca="false">IF(G382&gt;=20,"End of life (age &gt; 20)",IF(L382&gt;0.6,"Repairs exceed 60% of revenue",IF(G382&gt;=15,"Age 15+ → replace",IF(OR(G382&gt;=11,L382&gt;0.4),"Watch costs; plan replacement","Healthy — continue operating"))))</f>
        <v>Age 15+ → replace</v>
      </c>
      <c r="P382" s="188" t="str">
        <f aca="false">'Engineering Assumptions'!H37</f>
        <v>TATA LPK1618 tipper ~Rs. 14–18M</v>
      </c>
    </row>
    <row r="383" customFormat="false" ht="15" hidden="false" customHeight="true" outlineLevel="0" collapsed="false">
      <c r="A383" s="9" t="n">
        <v>359</v>
      </c>
      <c r="B383" s="184" t="s">
        <v>131</v>
      </c>
      <c r="C383" s="184" t="s">
        <v>2428</v>
      </c>
      <c r="D383" s="184" t="s">
        <v>1082</v>
      </c>
      <c r="E383" s="184" t="s">
        <v>1083</v>
      </c>
      <c r="F383" s="45" t="s">
        <v>389</v>
      </c>
      <c r="G383" s="9" t="n">
        <v>16</v>
      </c>
      <c r="H383" s="185" t="n">
        <f aca="false">'Engineering Assumptions'!$F$37*0.12*1</f>
        <v>1.92</v>
      </c>
      <c r="I383" s="185" t="n">
        <f aca="false">'Engineering Assumptions'!$F$37*1</f>
        <v>16</v>
      </c>
      <c r="J383" s="12" t="n">
        <f aca="false">'Fleet Pricing'!L383</f>
        <v>272500</v>
      </c>
      <c r="K383" s="12" t="n">
        <f aca="false">'Maintenance &amp; Repair'!J383+'Maintenance &amp; Repair'!K383</f>
        <v>131940</v>
      </c>
      <c r="L383" s="186" t="n">
        <f aca="false">IFERROR(K383/J383,0)</f>
        <v>0.484183486238532</v>
      </c>
      <c r="M383" s="9" t="n">
        <f aca="false">MAX(0,'Engineering Assumptions'!$G$37-G383)</f>
        <v>0</v>
      </c>
      <c r="N383" s="187" t="str">
        <f aca="false">IF(G383&gt;=20,"REPLACE",IF(L383&gt;0.6,"REPLACE",IF(G383&gt;=15,"REPLACE",IF(OR(G383&gt;=11,L383&gt;0.4),"MONITOR","KEEP"))))</f>
        <v>REPLACE</v>
      </c>
      <c r="O383" s="188" t="str">
        <f aca="false">IF(G383&gt;=20,"End of life (age &gt; 20)",IF(L383&gt;0.6,"Repairs exceed 60% of revenue",IF(G383&gt;=15,"Age 15+ → replace",IF(OR(G383&gt;=11,L383&gt;0.4),"Watch costs; plan replacement","Healthy — continue operating"))))</f>
        <v>Age 15+ → replace</v>
      </c>
      <c r="P383" s="188" t="str">
        <f aca="false">'Engineering Assumptions'!H37</f>
        <v>TATA LPK1618 tipper ~Rs. 14–18M</v>
      </c>
    </row>
    <row r="384" customFormat="false" ht="15" hidden="false" customHeight="true" outlineLevel="0" collapsed="false">
      <c r="A384" s="9" t="n">
        <v>360</v>
      </c>
      <c r="B384" s="184" t="s">
        <v>131</v>
      </c>
      <c r="C384" s="184" t="s">
        <v>2432</v>
      </c>
      <c r="D384" s="184" t="s">
        <v>1084</v>
      </c>
      <c r="E384" s="184" t="s">
        <v>1086</v>
      </c>
      <c r="F384" s="45" t="s">
        <v>810</v>
      </c>
      <c r="G384" s="9" t="n">
        <v>19</v>
      </c>
      <c r="H384" s="185" t="n">
        <f aca="false">'Engineering Assumptions'!$F$37*0.06*1</f>
        <v>0.96</v>
      </c>
      <c r="I384" s="185" t="n">
        <f aca="false">'Engineering Assumptions'!$F$37*1</f>
        <v>16</v>
      </c>
      <c r="J384" s="12" t="n">
        <f aca="false">'Fleet Pricing'!L384</f>
        <v>238500</v>
      </c>
      <c r="K384" s="12" t="n">
        <f aca="false">'Maintenance &amp; Repair'!J384+'Maintenance &amp; Repair'!K384</f>
        <v>131940</v>
      </c>
      <c r="L384" s="186" t="n">
        <f aca="false">IFERROR(K384/J384,0)</f>
        <v>0.553207547169811</v>
      </c>
      <c r="M384" s="9" t="n">
        <f aca="false">MAX(0,'Engineering Assumptions'!$G$37-G384)</f>
        <v>0</v>
      </c>
      <c r="N384" s="187" t="str">
        <f aca="false">IF(G384&gt;=20,"REPLACE",IF(L384&gt;0.6,"REPLACE",IF(G384&gt;=15,"REPLACE",IF(OR(G384&gt;=11,L384&gt;0.4),"MONITOR","KEEP"))))</f>
        <v>REPLACE</v>
      </c>
      <c r="O384" s="188" t="str">
        <f aca="false">IF(G384&gt;=20,"End of life (age &gt; 20)",IF(L384&gt;0.6,"Repairs exceed 60% of revenue",IF(G384&gt;=15,"Age 15+ → replace",IF(OR(G384&gt;=11,L384&gt;0.4),"Watch costs; plan replacement","Healthy — continue operating"))))</f>
        <v>Age 15+ → replace</v>
      </c>
      <c r="P384" s="188" t="str">
        <f aca="false">'Engineering Assumptions'!H37</f>
        <v>TATA LPK1618 tipper ~Rs. 14–18M</v>
      </c>
    </row>
    <row r="385" customFormat="false" ht="15" hidden="false" customHeight="true" outlineLevel="0" collapsed="false">
      <c r="A385" s="9" t="n">
        <v>361</v>
      </c>
      <c r="B385" s="184" t="s">
        <v>131</v>
      </c>
      <c r="C385" s="184" t="s">
        <v>2433</v>
      </c>
      <c r="D385" s="184" t="s">
        <v>1087</v>
      </c>
      <c r="E385" s="184" t="s">
        <v>1089</v>
      </c>
      <c r="F385" s="45" t="s">
        <v>348</v>
      </c>
      <c r="G385" s="9" t="n">
        <v>20</v>
      </c>
      <c r="H385" s="185" t="n">
        <f aca="false">'Engineering Assumptions'!$F$37*0.06*1</f>
        <v>0.96</v>
      </c>
      <c r="I385" s="185" t="n">
        <f aca="false">'Engineering Assumptions'!$F$37*1</f>
        <v>16</v>
      </c>
      <c r="J385" s="12" t="n">
        <f aca="false">'Fleet Pricing'!L385</f>
        <v>238500</v>
      </c>
      <c r="K385" s="12" t="n">
        <f aca="false">'Maintenance &amp; Repair'!J385+'Maintenance &amp; Repair'!K385</f>
        <v>131940</v>
      </c>
      <c r="L385" s="186" t="n">
        <f aca="false">IFERROR(K385/J385,0)</f>
        <v>0.553207547169811</v>
      </c>
      <c r="M385" s="9" t="n">
        <f aca="false">MAX(0,'Engineering Assumptions'!$G$37-G385)</f>
        <v>0</v>
      </c>
      <c r="N385" s="187" t="str">
        <f aca="false">IF(G385&gt;=20,"REPLACE",IF(L385&gt;0.6,"REPLACE",IF(G385&gt;=15,"REPLACE",IF(OR(G385&gt;=11,L385&gt;0.4),"MONITOR","KEEP"))))</f>
        <v>REPLACE</v>
      </c>
      <c r="O385" s="188" t="str">
        <f aca="false">IF(G385&gt;=20,"End of life (age &gt; 20)",IF(L385&gt;0.6,"Repairs exceed 60% of revenue",IF(G385&gt;=15,"Age 15+ → replace",IF(OR(G385&gt;=11,L385&gt;0.4),"Watch costs; plan replacement","Healthy — continue operating"))))</f>
        <v>End of life (age &gt; 20)</v>
      </c>
      <c r="P385" s="188" t="str">
        <f aca="false">'Engineering Assumptions'!H37</f>
        <v>TATA LPK1618 tipper ~Rs. 14–18M</v>
      </c>
    </row>
    <row r="386" customFormat="false" ht="15" hidden="false" customHeight="true" outlineLevel="0" collapsed="false">
      <c r="A386" s="9" t="n">
        <v>362</v>
      </c>
      <c r="B386" s="184" t="s">
        <v>131</v>
      </c>
      <c r="C386" s="184" t="s">
        <v>2434</v>
      </c>
      <c r="D386" s="184"/>
      <c r="E386" s="184"/>
      <c r="F386" s="45" t="s">
        <v>729</v>
      </c>
      <c r="G386" s="9" t="n">
        <v>21</v>
      </c>
      <c r="H386" s="185" t="n">
        <f aca="false">'Engineering Assumptions'!$F$37*0.06*1</f>
        <v>0.96</v>
      </c>
      <c r="I386" s="185" t="n">
        <f aca="false">'Engineering Assumptions'!$F$37*1</f>
        <v>16</v>
      </c>
      <c r="J386" s="12" t="n">
        <f aca="false">'Fleet Pricing'!L386</f>
        <v>238500</v>
      </c>
      <c r="K386" s="12" t="n">
        <f aca="false">'Maintenance &amp; Repair'!J386+'Maintenance &amp; Repair'!K386</f>
        <v>177840</v>
      </c>
      <c r="L386" s="186" t="n">
        <f aca="false">IFERROR(K386/J386,0)</f>
        <v>0.745660377358491</v>
      </c>
      <c r="M386" s="9" t="n">
        <f aca="false">MAX(0,'Engineering Assumptions'!$G$37-G386)</f>
        <v>0</v>
      </c>
      <c r="N386" s="187" t="str">
        <f aca="false">IF(G386&gt;=20,"REPLACE",IF(L386&gt;0.6,"REPLACE",IF(G386&gt;=15,"REPLACE",IF(OR(G386&gt;=11,L386&gt;0.4),"MONITOR","KEEP"))))</f>
        <v>REPLACE</v>
      </c>
      <c r="O386" s="188" t="str">
        <f aca="false">IF(G386&gt;=20,"End of life (age &gt; 20)",IF(L386&gt;0.6,"Repairs exceed 60% of revenue",IF(G386&gt;=15,"Age 15+ → replace",IF(OR(G386&gt;=11,L386&gt;0.4),"Watch costs; plan replacement","Healthy — continue operating"))))</f>
        <v>End of life (age &gt; 20)</v>
      </c>
      <c r="P386" s="188" t="str">
        <f aca="false">'Engineering Assumptions'!H37</f>
        <v>TATA LPK1618 tipper ~Rs. 14–18M</v>
      </c>
    </row>
    <row r="387" customFormat="false" ht="15" hidden="false" customHeight="true" outlineLevel="0" collapsed="false">
      <c r="A387" s="9" t="n">
        <v>363</v>
      </c>
      <c r="B387" s="184" t="s">
        <v>131</v>
      </c>
      <c r="C387" s="184" t="s">
        <v>2433</v>
      </c>
      <c r="D387" s="184" t="s">
        <v>1092</v>
      </c>
      <c r="E387" s="184" t="s">
        <v>1093</v>
      </c>
      <c r="F387" s="45" t="s">
        <v>423</v>
      </c>
      <c r="G387" s="9" t="n">
        <v>23</v>
      </c>
      <c r="H387" s="185" t="n">
        <f aca="false">'Engineering Assumptions'!$F$37*0.06*1</f>
        <v>0.96</v>
      </c>
      <c r="I387" s="185" t="n">
        <f aca="false">'Engineering Assumptions'!$F$37*1</f>
        <v>16</v>
      </c>
      <c r="J387" s="12" t="n">
        <f aca="false">'Fleet Pricing'!L387</f>
        <v>215000</v>
      </c>
      <c r="K387" s="12" t="n">
        <f aca="false">'Maintenance &amp; Repair'!J387+'Maintenance &amp; Repair'!K387</f>
        <v>177840</v>
      </c>
      <c r="L387" s="186" t="n">
        <f aca="false">IFERROR(K387/J387,0)</f>
        <v>0.827162790697674</v>
      </c>
      <c r="M387" s="9" t="n">
        <f aca="false">MAX(0,'Engineering Assumptions'!$G$37-G387)</f>
        <v>0</v>
      </c>
      <c r="N387" s="187" t="str">
        <f aca="false">IF(G387&gt;=20,"REPLACE",IF(L387&gt;0.6,"REPLACE",IF(G387&gt;=15,"REPLACE",IF(OR(G387&gt;=11,L387&gt;0.4),"MONITOR","KEEP"))))</f>
        <v>REPLACE</v>
      </c>
      <c r="O387" s="188" t="str">
        <f aca="false">IF(G387&gt;=20,"End of life (age &gt; 20)",IF(L387&gt;0.6,"Repairs exceed 60% of revenue",IF(G387&gt;=15,"Age 15+ → replace",IF(OR(G387&gt;=11,L387&gt;0.4),"Watch costs; plan replacement","Healthy — continue operating"))))</f>
        <v>End of life (age &gt; 20)</v>
      </c>
      <c r="P387" s="188" t="str">
        <f aca="false">'Engineering Assumptions'!H37</f>
        <v>TATA LPK1618 tipper ~Rs. 14–18M</v>
      </c>
    </row>
    <row r="388" customFormat="false" ht="15" hidden="false" customHeight="true" outlineLevel="0" collapsed="false">
      <c r="A388" s="9" t="n">
        <v>364</v>
      </c>
      <c r="B388" s="184" t="s">
        <v>131</v>
      </c>
      <c r="C388" s="184" t="s">
        <v>2433</v>
      </c>
      <c r="D388" s="184" t="s">
        <v>1046</v>
      </c>
      <c r="E388" s="184" t="s">
        <v>1047</v>
      </c>
      <c r="F388" s="45" t="s">
        <v>423</v>
      </c>
      <c r="G388" s="9" t="n">
        <v>23</v>
      </c>
      <c r="H388" s="185" t="n">
        <f aca="false">'Engineering Assumptions'!$F$37*0.06*1</f>
        <v>0.96</v>
      </c>
      <c r="I388" s="185" t="n">
        <f aca="false">'Engineering Assumptions'!$F$37*1</f>
        <v>16</v>
      </c>
      <c r="J388" s="12" t="n">
        <f aca="false">'Fleet Pricing'!L388</f>
        <v>215000</v>
      </c>
      <c r="K388" s="12" t="n">
        <f aca="false">'Maintenance &amp; Repair'!J388+'Maintenance &amp; Repair'!K388</f>
        <v>177840</v>
      </c>
      <c r="L388" s="186" t="n">
        <f aca="false">IFERROR(K388/J388,0)</f>
        <v>0.827162790697674</v>
      </c>
      <c r="M388" s="9" t="n">
        <f aca="false">MAX(0,'Engineering Assumptions'!$G$37-G388)</f>
        <v>0</v>
      </c>
      <c r="N388" s="187" t="str">
        <f aca="false">IF(G388&gt;=20,"REPLACE",IF(L388&gt;0.6,"REPLACE",IF(G388&gt;=15,"REPLACE",IF(OR(G388&gt;=11,L388&gt;0.4),"MONITOR","KEEP"))))</f>
        <v>REPLACE</v>
      </c>
      <c r="O388" s="188" t="str">
        <f aca="false">IF(G388&gt;=20,"End of life (age &gt; 20)",IF(L388&gt;0.6,"Repairs exceed 60% of revenue",IF(G388&gt;=15,"Age 15+ → replace",IF(OR(G388&gt;=11,L388&gt;0.4),"Watch costs; plan replacement","Healthy — continue operating"))))</f>
        <v>End of life (age &gt; 20)</v>
      </c>
      <c r="P388" s="188" t="str">
        <f aca="false">'Engineering Assumptions'!H37</f>
        <v>TATA LPK1618 tipper ~Rs. 14–18M</v>
      </c>
    </row>
    <row r="389" customFormat="false" ht="15" hidden="false" customHeight="true" outlineLevel="0" collapsed="false">
      <c r="A389" s="9" t="n">
        <v>365</v>
      </c>
      <c r="B389" s="184" t="s">
        <v>131</v>
      </c>
      <c r="C389" s="184" t="s">
        <v>2427</v>
      </c>
      <c r="D389" s="184" t="s">
        <v>1096</v>
      </c>
      <c r="E389" s="184" t="s">
        <v>1097</v>
      </c>
      <c r="F389" s="45" t="s">
        <v>423</v>
      </c>
      <c r="G389" s="9" t="n">
        <v>23</v>
      </c>
      <c r="H389" s="185" t="n">
        <f aca="false">'Engineering Assumptions'!$F$37*0.06*1</f>
        <v>0.96</v>
      </c>
      <c r="I389" s="185" t="n">
        <f aca="false">'Engineering Assumptions'!$F$37*1</f>
        <v>16</v>
      </c>
      <c r="J389" s="12" t="n">
        <f aca="false">'Fleet Pricing'!L389</f>
        <v>215000</v>
      </c>
      <c r="K389" s="12" t="n">
        <f aca="false">'Maintenance &amp; Repair'!J389+'Maintenance &amp; Repair'!K389</f>
        <v>177840</v>
      </c>
      <c r="L389" s="186" t="n">
        <f aca="false">IFERROR(K389/J389,0)</f>
        <v>0.827162790697674</v>
      </c>
      <c r="M389" s="9" t="n">
        <f aca="false">MAX(0,'Engineering Assumptions'!$G$37-G389)</f>
        <v>0</v>
      </c>
      <c r="N389" s="187" t="str">
        <f aca="false">IF(G389&gt;=20,"REPLACE",IF(L389&gt;0.6,"REPLACE",IF(G389&gt;=15,"REPLACE",IF(OR(G389&gt;=11,L389&gt;0.4),"MONITOR","KEEP"))))</f>
        <v>REPLACE</v>
      </c>
      <c r="O389" s="188" t="str">
        <f aca="false">IF(G389&gt;=20,"End of life (age &gt; 20)",IF(L389&gt;0.6,"Repairs exceed 60% of revenue",IF(G389&gt;=15,"Age 15+ → replace",IF(OR(G389&gt;=11,L389&gt;0.4),"Watch costs; plan replacement","Healthy — continue operating"))))</f>
        <v>End of life (age &gt; 20)</v>
      </c>
      <c r="P389" s="188" t="str">
        <f aca="false">'Engineering Assumptions'!H37</f>
        <v>TATA LPK1618 tipper ~Rs. 14–18M</v>
      </c>
    </row>
    <row r="390" customFormat="false" ht="15" hidden="false" customHeight="true" outlineLevel="0" collapsed="false">
      <c r="A390" s="42" t="s">
        <v>1098</v>
      </c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</row>
    <row r="391" customFormat="false" ht="15" hidden="false" customHeight="true" outlineLevel="0" collapsed="false">
      <c r="A391" s="9" t="n">
        <v>366</v>
      </c>
      <c r="B391" s="184" t="s">
        <v>133</v>
      </c>
      <c r="C391" s="184" t="s">
        <v>2435</v>
      </c>
      <c r="D391" s="184"/>
      <c r="E391" s="184"/>
      <c r="F391" s="45" t="s">
        <v>397</v>
      </c>
      <c r="G391" s="9" t="n">
        <v>9</v>
      </c>
      <c r="H391" s="185" t="n">
        <f aca="false">'Engineering Assumptions'!$F$38*0.22*1</f>
        <v>0.55</v>
      </c>
      <c r="I391" s="185" t="n">
        <f aca="false">'Engineering Assumptions'!$F$38*1</f>
        <v>2.5</v>
      </c>
      <c r="J391" s="12" t="n">
        <f aca="false">'Fleet Pricing'!L391</f>
        <v>122500</v>
      </c>
      <c r="K391" s="12" t="n">
        <f aca="false">'Maintenance &amp; Repair'!J391+'Maintenance &amp; Repair'!K391</f>
        <v>13800</v>
      </c>
      <c r="L391" s="186" t="n">
        <f aca="false">IFERROR(K391/J391,0)</f>
        <v>0.11265306122449</v>
      </c>
      <c r="M391" s="9" t="n">
        <f aca="false">MAX(0,'Engineering Assumptions'!$G$38-G391)</f>
        <v>11</v>
      </c>
      <c r="N391" s="187" t="str">
        <f aca="false">IF(G391&gt;=20,"REPLACE",IF(L391&gt;0.6,"REPLACE",IF(G391&gt;=15,"REPLACE",IF(OR(G391&gt;=11,L391&gt;0.4),"MONITOR","KEEP"))))</f>
        <v>KEEP</v>
      </c>
      <c r="O391" s="188" t="str">
        <f aca="false">IF(G391&gt;=20,"End of life (age &gt; 20)",IF(L391&gt;0.6,"Repairs exceed 60% of revenue",IF(G391&gt;=15,"Age 15+ → replace",IF(OR(G391&gt;=11,L391&gt;0.4),"Watch costs; plan replacement","Healthy — continue operating"))))</f>
        <v>Healthy — continue operating</v>
      </c>
      <c r="P391" s="188" t="str">
        <f aca="false">'Engineering Assumptions'!H38</f>
        <v>Locally built/Wimalaoro trailer ~Rs. 2–3M (no engine)</v>
      </c>
    </row>
    <row r="392" customFormat="false" ht="15" hidden="false" customHeight="true" outlineLevel="0" collapsed="false">
      <c r="A392" s="9" t="n">
        <v>367</v>
      </c>
      <c r="B392" s="184" t="s">
        <v>133</v>
      </c>
      <c r="C392" s="184" t="s">
        <v>2436</v>
      </c>
      <c r="D392" s="184"/>
      <c r="E392" s="184"/>
      <c r="F392" s="45" t="s">
        <v>397</v>
      </c>
      <c r="G392" s="9" t="n">
        <v>9</v>
      </c>
      <c r="H392" s="185" t="n">
        <f aca="false">'Engineering Assumptions'!$F$38*0.22*1</f>
        <v>0.55</v>
      </c>
      <c r="I392" s="185" t="n">
        <f aca="false">'Engineering Assumptions'!$F$38*1</f>
        <v>2.5</v>
      </c>
      <c r="J392" s="12" t="n">
        <f aca="false">'Fleet Pricing'!L392</f>
        <v>122500</v>
      </c>
      <c r="K392" s="12" t="n">
        <f aca="false">'Maintenance &amp; Repair'!J392+'Maintenance &amp; Repair'!K392</f>
        <v>13800</v>
      </c>
      <c r="L392" s="186" t="n">
        <f aca="false">IFERROR(K392/J392,0)</f>
        <v>0.11265306122449</v>
      </c>
      <c r="M392" s="9" t="n">
        <f aca="false">MAX(0,'Engineering Assumptions'!$G$38-G392)</f>
        <v>11</v>
      </c>
      <c r="N392" s="187" t="str">
        <f aca="false">IF(G392&gt;=20,"REPLACE",IF(L392&gt;0.6,"REPLACE",IF(G392&gt;=15,"REPLACE",IF(OR(G392&gt;=11,L392&gt;0.4),"MONITOR","KEEP"))))</f>
        <v>KEEP</v>
      </c>
      <c r="O392" s="188" t="str">
        <f aca="false">IF(G392&gt;=20,"End of life (age &gt; 20)",IF(L392&gt;0.6,"Repairs exceed 60% of revenue",IF(G392&gt;=15,"Age 15+ → replace",IF(OR(G392&gt;=11,L392&gt;0.4),"Watch costs; plan replacement","Healthy — continue operating"))))</f>
        <v>Healthy — continue operating</v>
      </c>
      <c r="P392" s="188" t="str">
        <f aca="false">'Engineering Assumptions'!H38</f>
        <v>Locally built/Wimalaoro trailer ~Rs. 2–3M (no engine)</v>
      </c>
    </row>
    <row r="393" customFormat="false" ht="15" hidden="false" customHeight="true" outlineLevel="0" collapsed="false">
      <c r="A393" s="9" t="n">
        <v>368</v>
      </c>
      <c r="B393" s="184" t="s">
        <v>133</v>
      </c>
      <c r="C393" s="184" t="s">
        <v>2436</v>
      </c>
      <c r="D393" s="184"/>
      <c r="E393" s="184"/>
      <c r="F393" s="45" t="s">
        <v>397</v>
      </c>
      <c r="G393" s="9" t="n">
        <v>9</v>
      </c>
      <c r="H393" s="185" t="n">
        <f aca="false">'Engineering Assumptions'!$F$38*0.22*1</f>
        <v>0.55</v>
      </c>
      <c r="I393" s="185" t="n">
        <f aca="false">'Engineering Assumptions'!$F$38*1</f>
        <v>2.5</v>
      </c>
      <c r="J393" s="12" t="n">
        <f aca="false">'Fleet Pricing'!L393</f>
        <v>122500</v>
      </c>
      <c r="K393" s="12" t="n">
        <f aca="false">'Maintenance &amp; Repair'!J393+'Maintenance &amp; Repair'!K393</f>
        <v>13800</v>
      </c>
      <c r="L393" s="186" t="n">
        <f aca="false">IFERROR(K393/J393,0)</f>
        <v>0.11265306122449</v>
      </c>
      <c r="M393" s="9" t="n">
        <f aca="false">MAX(0,'Engineering Assumptions'!$G$38-G393)</f>
        <v>11</v>
      </c>
      <c r="N393" s="187" t="str">
        <f aca="false">IF(G393&gt;=20,"REPLACE",IF(L393&gt;0.6,"REPLACE",IF(G393&gt;=15,"REPLACE",IF(OR(G393&gt;=11,L393&gt;0.4),"MONITOR","KEEP"))))</f>
        <v>KEEP</v>
      </c>
      <c r="O393" s="188" t="str">
        <f aca="false">IF(G393&gt;=20,"End of life (age &gt; 20)",IF(L393&gt;0.6,"Repairs exceed 60% of revenue",IF(G393&gt;=15,"Age 15+ → replace",IF(OR(G393&gt;=11,L393&gt;0.4),"Watch costs; plan replacement","Healthy — continue operating"))))</f>
        <v>Healthy — continue operating</v>
      </c>
      <c r="P393" s="188" t="str">
        <f aca="false">'Engineering Assumptions'!H38</f>
        <v>Locally built/Wimalaoro trailer ~Rs. 2–3M (no engine)</v>
      </c>
    </row>
    <row r="394" customFormat="false" ht="15" hidden="false" customHeight="true" outlineLevel="0" collapsed="false">
      <c r="A394" s="9" t="n">
        <v>369</v>
      </c>
      <c r="B394" s="184" t="s">
        <v>133</v>
      </c>
      <c r="C394" s="184" t="s">
        <v>2437</v>
      </c>
      <c r="D394" s="184"/>
      <c r="E394" s="184"/>
      <c r="F394" s="45" t="s">
        <v>397</v>
      </c>
      <c r="G394" s="9" t="n">
        <v>9</v>
      </c>
      <c r="H394" s="185" t="n">
        <f aca="false">'Engineering Assumptions'!$F$38*0.22*1</f>
        <v>0.55</v>
      </c>
      <c r="I394" s="185" t="n">
        <f aca="false">'Engineering Assumptions'!$F$38*1</f>
        <v>2.5</v>
      </c>
      <c r="J394" s="12" t="n">
        <f aca="false">'Fleet Pricing'!L394</f>
        <v>122500</v>
      </c>
      <c r="K394" s="12" t="n">
        <f aca="false">'Maintenance &amp; Repair'!J394+'Maintenance &amp; Repair'!K394</f>
        <v>13800</v>
      </c>
      <c r="L394" s="186" t="n">
        <f aca="false">IFERROR(K394/J394,0)</f>
        <v>0.11265306122449</v>
      </c>
      <c r="M394" s="9" t="n">
        <f aca="false">MAX(0,'Engineering Assumptions'!$G$38-G394)</f>
        <v>11</v>
      </c>
      <c r="N394" s="187" t="str">
        <f aca="false">IF(G394&gt;=20,"REPLACE",IF(L394&gt;0.6,"REPLACE",IF(G394&gt;=15,"REPLACE",IF(OR(G394&gt;=11,L394&gt;0.4),"MONITOR","KEEP"))))</f>
        <v>KEEP</v>
      </c>
      <c r="O394" s="188" t="str">
        <f aca="false">IF(G394&gt;=20,"End of life (age &gt; 20)",IF(L394&gt;0.6,"Repairs exceed 60% of revenue",IF(G394&gt;=15,"Age 15+ → replace",IF(OR(G394&gt;=11,L394&gt;0.4),"Watch costs; plan replacement","Healthy — continue operating"))))</f>
        <v>Healthy — continue operating</v>
      </c>
      <c r="P394" s="188" t="str">
        <f aca="false">'Engineering Assumptions'!H38</f>
        <v>Locally built/Wimalaoro trailer ~Rs. 2–3M (no engine)</v>
      </c>
    </row>
    <row r="395" customFormat="false" ht="15" hidden="false" customHeight="true" outlineLevel="0" collapsed="false">
      <c r="A395" s="9" t="n">
        <v>370</v>
      </c>
      <c r="B395" s="184" t="s">
        <v>133</v>
      </c>
      <c r="C395" s="184" t="s">
        <v>2435</v>
      </c>
      <c r="D395" s="184"/>
      <c r="E395" s="184"/>
      <c r="F395" s="45" t="s">
        <v>348</v>
      </c>
      <c r="G395" s="9" t="n">
        <v>20</v>
      </c>
      <c r="H395" s="185" t="n">
        <f aca="false">'Engineering Assumptions'!$F$38*0.06*1</f>
        <v>0.15</v>
      </c>
      <c r="I395" s="185" t="n">
        <f aca="false">'Engineering Assumptions'!$F$38*1</f>
        <v>2.5</v>
      </c>
      <c r="J395" s="12" t="n">
        <f aca="false">'Fleet Pricing'!L395</f>
        <v>96000</v>
      </c>
      <c r="K395" s="12" t="n">
        <f aca="false">'Maintenance &amp; Repair'!J395+'Maintenance &amp; Repair'!K395</f>
        <v>29340</v>
      </c>
      <c r="L395" s="186" t="n">
        <f aca="false">IFERROR(K395/J395,0)</f>
        <v>0.305625</v>
      </c>
      <c r="M395" s="9" t="n">
        <f aca="false">MAX(0,'Engineering Assumptions'!$G$38-G395)</f>
        <v>0</v>
      </c>
      <c r="N395" s="187" t="str">
        <f aca="false">IF(G395&gt;=20,"REPLACE",IF(L395&gt;0.6,"REPLACE",IF(G395&gt;=15,"REPLACE",IF(OR(G395&gt;=11,L395&gt;0.4),"MONITOR","KEEP"))))</f>
        <v>REPLACE</v>
      </c>
      <c r="O395" s="188" t="str">
        <f aca="false">IF(G395&gt;=20,"End of life (age &gt; 20)",IF(L395&gt;0.6,"Repairs exceed 60% of revenue",IF(G395&gt;=15,"Age 15+ → replace",IF(OR(G395&gt;=11,L395&gt;0.4),"Watch costs; plan replacement","Healthy — continue operating"))))</f>
        <v>End of life (age &gt; 20)</v>
      </c>
      <c r="P395" s="188" t="str">
        <f aca="false">'Engineering Assumptions'!H38</f>
        <v>Locally built/Wimalaoro trailer ~Rs. 2–3M (no engine)</v>
      </c>
    </row>
    <row r="396" customFormat="false" ht="15" hidden="false" customHeight="true" outlineLevel="0" collapsed="false">
      <c r="A396" s="9" t="n">
        <v>371</v>
      </c>
      <c r="B396" s="184" t="s">
        <v>133</v>
      </c>
      <c r="C396" s="184" t="s">
        <v>2435</v>
      </c>
      <c r="D396" s="184"/>
      <c r="E396" s="184"/>
      <c r="F396" s="45" t="s">
        <v>348</v>
      </c>
      <c r="G396" s="9" t="n">
        <v>20</v>
      </c>
      <c r="H396" s="185" t="n">
        <f aca="false">'Engineering Assumptions'!$F$38*0.06*1</f>
        <v>0.15</v>
      </c>
      <c r="I396" s="185" t="n">
        <f aca="false">'Engineering Assumptions'!$F$38*1</f>
        <v>2.5</v>
      </c>
      <c r="J396" s="12" t="n">
        <f aca="false">'Fleet Pricing'!L396</f>
        <v>96000</v>
      </c>
      <c r="K396" s="12" t="n">
        <f aca="false">'Maintenance &amp; Repair'!J396+'Maintenance &amp; Repair'!K396</f>
        <v>29340</v>
      </c>
      <c r="L396" s="186" t="n">
        <f aca="false">IFERROR(K396/J396,0)</f>
        <v>0.305625</v>
      </c>
      <c r="M396" s="9" t="n">
        <f aca="false">MAX(0,'Engineering Assumptions'!$G$38-G396)</f>
        <v>0</v>
      </c>
      <c r="N396" s="187" t="str">
        <f aca="false">IF(G396&gt;=20,"REPLACE",IF(L396&gt;0.6,"REPLACE",IF(G396&gt;=15,"REPLACE",IF(OR(G396&gt;=11,L396&gt;0.4),"MONITOR","KEEP"))))</f>
        <v>REPLACE</v>
      </c>
      <c r="O396" s="188" t="str">
        <f aca="false">IF(G396&gt;=20,"End of life (age &gt; 20)",IF(L396&gt;0.6,"Repairs exceed 60% of revenue",IF(G396&gt;=15,"Age 15+ → replace",IF(OR(G396&gt;=11,L396&gt;0.4),"Watch costs; plan replacement","Healthy — continue operating"))))</f>
        <v>End of life (age &gt; 20)</v>
      </c>
      <c r="P396" s="188" t="str">
        <f aca="false">'Engineering Assumptions'!H38</f>
        <v>Locally built/Wimalaoro trailer ~Rs. 2–3M (no engine)</v>
      </c>
    </row>
    <row r="397" customFormat="false" ht="15" hidden="false" customHeight="true" outlineLevel="0" collapsed="false">
      <c r="A397" s="42" t="s">
        <v>1106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</row>
    <row r="398" customFormat="false" ht="15" hidden="false" customHeight="true" outlineLevel="0" collapsed="false">
      <c r="A398" s="9" t="n">
        <v>372</v>
      </c>
      <c r="B398" s="184" t="s">
        <v>135</v>
      </c>
      <c r="C398" s="184" t="s">
        <v>2438</v>
      </c>
      <c r="D398" s="184"/>
      <c r="E398" s="184"/>
      <c r="F398" s="45" t="s">
        <v>748</v>
      </c>
      <c r="G398" s="9" t="n">
        <v>15</v>
      </c>
      <c r="H398" s="185" t="n">
        <f aca="false">'Engineering Assumptions'!$F$39*0.12*1</f>
        <v>0.54</v>
      </c>
      <c r="I398" s="185" t="n">
        <f aca="false">'Engineering Assumptions'!$F$39*1</f>
        <v>4.5</v>
      </c>
      <c r="J398" s="12" t="n">
        <f aca="false">'Fleet Pricing'!L398</f>
        <v>183500</v>
      </c>
      <c r="K398" s="12" t="n">
        <f aca="false">'Maintenance &amp; Repair'!J398+'Maintenance &amp; Repair'!K398</f>
        <v>24120</v>
      </c>
      <c r="L398" s="186" t="n">
        <f aca="false">IFERROR(K398/J398,0)</f>
        <v>0.131444141689373</v>
      </c>
      <c r="M398" s="9" t="n">
        <f aca="false">MAX(0,'Engineering Assumptions'!$G$39-G398)</f>
        <v>5</v>
      </c>
      <c r="N398" s="187" t="str">
        <f aca="false">IF(G398&gt;=20,"REPLACE",IF(L398&gt;0.6,"REPLACE",IF(G398&gt;=15,"REPLACE",IF(OR(G398&gt;=11,L398&gt;0.4),"MONITOR","KEEP"))))</f>
        <v>REPLACE</v>
      </c>
      <c r="O398" s="188" t="str">
        <f aca="false">IF(G398&gt;=20,"End of life (age &gt; 20)",IF(L398&gt;0.6,"Repairs exceed 60% of revenue",IF(G398&gt;=15,"Age 15+ → replace",IF(OR(G398&gt;=11,L398&gt;0.4),"Watch costs; plan replacement","Healthy — continue operating"))))</f>
        <v>Age 15+ → replace</v>
      </c>
      <c r="P398" s="188" t="str">
        <f aca="false">'Engineering Assumptions'!H39</f>
        <v>Tantri TFB40 ~Rs. 4–5M (no engine)</v>
      </c>
    </row>
    <row r="399" customFormat="false" ht="15" hidden="false" customHeight="true" outlineLevel="0" collapsed="false">
      <c r="A399" s="9" t="n">
        <v>373</v>
      </c>
      <c r="B399" s="184" t="s">
        <v>135</v>
      </c>
      <c r="C399" s="184" t="s">
        <v>2439</v>
      </c>
      <c r="D399" s="184"/>
      <c r="E399" s="184"/>
      <c r="F399" s="45" t="s">
        <v>423</v>
      </c>
      <c r="G399" s="9" t="n">
        <v>23</v>
      </c>
      <c r="H399" s="185" t="n">
        <f aca="false">'Engineering Assumptions'!$F$39*0.06*1</f>
        <v>0.27</v>
      </c>
      <c r="I399" s="185" t="n">
        <f aca="false">'Engineering Assumptions'!$F$39*1</f>
        <v>4.5</v>
      </c>
      <c r="J399" s="12" t="n">
        <f aca="false">'Fleet Pricing'!L399</f>
        <v>146000</v>
      </c>
      <c r="K399" s="12" t="n">
        <f aca="false">'Maintenance &amp; Repair'!J399+'Maintenance &amp; Repair'!K399</f>
        <v>46080</v>
      </c>
      <c r="L399" s="186" t="n">
        <f aca="false">IFERROR(K399/J399,0)</f>
        <v>0.315616438356164</v>
      </c>
      <c r="M399" s="9" t="n">
        <f aca="false">MAX(0,'Engineering Assumptions'!$G$39-G399)</f>
        <v>0</v>
      </c>
      <c r="N399" s="187" t="str">
        <f aca="false">IF(G399&gt;=20,"REPLACE",IF(L399&gt;0.6,"REPLACE",IF(G399&gt;=15,"REPLACE",IF(OR(G399&gt;=11,L399&gt;0.4),"MONITOR","KEEP"))))</f>
        <v>REPLACE</v>
      </c>
      <c r="O399" s="188" t="str">
        <f aca="false">IF(G399&gt;=20,"End of life (age &gt; 20)",IF(L399&gt;0.6,"Repairs exceed 60% of revenue",IF(G399&gt;=15,"Age 15+ → replace",IF(OR(G399&gt;=11,L399&gt;0.4),"Watch costs; plan replacement","Healthy — continue operating"))))</f>
        <v>End of life (age &gt; 20)</v>
      </c>
      <c r="P399" s="188" t="str">
        <f aca="false">'Engineering Assumptions'!H39</f>
        <v>Tantri TFB40 ~Rs. 4–5M (no engine)</v>
      </c>
    </row>
    <row r="400" customFormat="false" ht="15" hidden="false" customHeight="true" outlineLevel="0" collapsed="false">
      <c r="A400" s="9" t="n">
        <v>374</v>
      </c>
      <c r="B400" s="184" t="s">
        <v>135</v>
      </c>
      <c r="C400" s="184" t="s">
        <v>2313</v>
      </c>
      <c r="D400" s="184"/>
      <c r="E400" s="184"/>
      <c r="F400" s="45" t="s">
        <v>472</v>
      </c>
      <c r="G400" s="9" t="n">
        <v>30</v>
      </c>
      <c r="H400" s="185" t="n">
        <f aca="false">'Engineering Assumptions'!$F$39*0.03*1</f>
        <v>0.135</v>
      </c>
      <c r="I400" s="185" t="n">
        <f aca="false">'Engineering Assumptions'!$F$39*1</f>
        <v>4.5</v>
      </c>
      <c r="J400" s="12" t="n">
        <f aca="false">'Fleet Pricing'!L400</f>
        <v>130500</v>
      </c>
      <c r="K400" s="12" t="n">
        <f aca="false">'Maintenance &amp; Repair'!J400+'Maintenance &amp; Repair'!K400</f>
        <v>46080</v>
      </c>
      <c r="L400" s="186" t="n">
        <f aca="false">IFERROR(K400/J400,0)</f>
        <v>0.353103448275862</v>
      </c>
      <c r="M400" s="9" t="n">
        <f aca="false">MAX(0,'Engineering Assumptions'!$G$39-G400)</f>
        <v>0</v>
      </c>
      <c r="N400" s="187" t="str">
        <f aca="false">IF(G400&gt;=20,"REPLACE",IF(L400&gt;0.6,"REPLACE",IF(G400&gt;=15,"REPLACE",IF(OR(G400&gt;=11,L400&gt;0.4),"MONITOR","KEEP"))))</f>
        <v>REPLACE</v>
      </c>
      <c r="O400" s="188" t="str">
        <f aca="false">IF(G400&gt;=20,"End of life (age &gt; 20)",IF(L400&gt;0.6,"Repairs exceed 60% of revenue",IF(G400&gt;=15,"Age 15+ → replace",IF(OR(G400&gt;=11,L400&gt;0.4),"Watch costs; plan replacement","Healthy — continue operating"))))</f>
        <v>End of life (age &gt; 20)</v>
      </c>
      <c r="P400" s="188" t="str">
        <f aca="false">'Engineering Assumptions'!H39</f>
        <v>Tantri TFB40 ~Rs. 4–5M (no engine)</v>
      </c>
    </row>
    <row r="401" customFormat="false" ht="15" hidden="false" customHeight="true" outlineLevel="0" collapsed="false">
      <c r="A401" s="42" t="s">
        <v>1113</v>
      </c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</row>
    <row r="402" customFormat="false" ht="15" hidden="false" customHeight="true" outlineLevel="0" collapsed="false">
      <c r="A402" s="9" t="n">
        <v>375</v>
      </c>
      <c r="B402" s="184" t="s">
        <v>137</v>
      </c>
      <c r="C402" s="184" t="s">
        <v>2440</v>
      </c>
      <c r="D402" s="184" t="s">
        <v>1114</v>
      </c>
      <c r="E402" s="184" t="s">
        <v>1115</v>
      </c>
      <c r="F402" s="45" t="s">
        <v>729</v>
      </c>
      <c r="G402" s="9" t="n">
        <v>21</v>
      </c>
      <c r="H402" s="185" t="n">
        <f aca="false">'Engineering Assumptions'!$F$40*0.06*1</f>
        <v>0.54</v>
      </c>
      <c r="I402" s="185" t="n">
        <f aca="false">'Engineering Assumptions'!$F$40*1</f>
        <v>9</v>
      </c>
      <c r="J402" s="12" t="n">
        <f aca="false">'Fleet Pricing'!L402</f>
        <v>179500</v>
      </c>
      <c r="K402" s="12" t="n">
        <f aca="false">'Maintenance &amp; Repair'!J402+'Maintenance &amp; Repair'!K402</f>
        <v>82080</v>
      </c>
      <c r="L402" s="186" t="n">
        <f aca="false">IFERROR(K402/J402,0)</f>
        <v>0.457270194986072</v>
      </c>
      <c r="M402" s="9" t="n">
        <f aca="false">MAX(0,'Engineering Assumptions'!$G$40-G402)</f>
        <v>0</v>
      </c>
      <c r="N402" s="187" t="str">
        <f aca="false">IF(G402&gt;=20,"REPLACE",IF(L402&gt;0.6,"REPLACE",IF(G402&gt;=15,"REPLACE",IF(OR(G402&gt;=11,L402&gt;0.4),"MONITOR","KEEP"))))</f>
        <v>REPLACE</v>
      </c>
      <c r="O402" s="188" t="str">
        <f aca="false">IF(G402&gt;=20,"End of life (age &gt; 20)",IF(L402&gt;0.6,"Repairs exceed 60% of revenue",IF(G402&gt;=15,"Age 15+ → replace",IF(OR(G402&gt;=11,L402&gt;0.4),"Watch costs; plan replacement","Healthy — continue operating"))))</f>
        <v>End of life (age &gt; 20)</v>
      </c>
      <c r="P402" s="188" t="str">
        <f aca="false">'Engineering Assumptions'!H40</f>
        <v>TATA 207 + bowser ~Rs. 8–10M</v>
      </c>
    </row>
    <row r="403" customFormat="false" ht="15" hidden="false" customHeight="true" outlineLevel="0" collapsed="false">
      <c r="A403" s="9" t="n">
        <v>376</v>
      </c>
      <c r="B403" s="184" t="s">
        <v>137</v>
      </c>
      <c r="C403" s="184" t="s">
        <v>2419</v>
      </c>
      <c r="D403" s="184" t="s">
        <v>1116</v>
      </c>
      <c r="E403" s="184" t="s">
        <v>1117</v>
      </c>
      <c r="F403" s="45" t="s">
        <v>729</v>
      </c>
      <c r="G403" s="9" t="n">
        <v>21</v>
      </c>
      <c r="H403" s="185" t="n">
        <f aca="false">'Engineering Assumptions'!$F$40*0.06*1</f>
        <v>0.54</v>
      </c>
      <c r="I403" s="185" t="n">
        <f aca="false">'Engineering Assumptions'!$F$40*1</f>
        <v>9</v>
      </c>
      <c r="J403" s="12" t="n">
        <f aca="false">'Fleet Pricing'!L403</f>
        <v>179500</v>
      </c>
      <c r="K403" s="12" t="n">
        <f aca="false">'Maintenance &amp; Repair'!J403+'Maintenance &amp; Repair'!K403</f>
        <v>82080</v>
      </c>
      <c r="L403" s="186" t="n">
        <f aca="false">IFERROR(K403/J403,0)</f>
        <v>0.457270194986072</v>
      </c>
      <c r="M403" s="9" t="n">
        <f aca="false">MAX(0,'Engineering Assumptions'!$G$40-G403)</f>
        <v>0</v>
      </c>
      <c r="N403" s="187" t="str">
        <f aca="false">IF(G403&gt;=20,"REPLACE",IF(L403&gt;0.6,"REPLACE",IF(G403&gt;=15,"REPLACE",IF(OR(G403&gt;=11,L403&gt;0.4),"MONITOR","KEEP"))))</f>
        <v>REPLACE</v>
      </c>
      <c r="O403" s="188" t="str">
        <f aca="false">IF(G403&gt;=20,"End of life (age &gt; 20)",IF(L403&gt;0.6,"Repairs exceed 60% of revenue",IF(G403&gt;=15,"Age 15+ → replace",IF(OR(G403&gt;=11,L403&gt;0.4),"Watch costs; plan replacement","Healthy — continue operating"))))</f>
        <v>End of life (age &gt; 20)</v>
      </c>
      <c r="P403" s="188" t="str">
        <f aca="false">'Engineering Assumptions'!H40</f>
        <v>TATA 207 + bowser ~Rs. 8–10M</v>
      </c>
    </row>
    <row r="404" customFormat="false" ht="15" hidden="false" customHeight="true" outlineLevel="0" collapsed="false">
      <c r="A404" s="9" t="n">
        <v>377</v>
      </c>
      <c r="B404" s="184" t="s">
        <v>137</v>
      </c>
      <c r="C404" s="184" t="s">
        <v>2440</v>
      </c>
      <c r="D404" s="184" t="s">
        <v>1120</v>
      </c>
      <c r="E404" s="184" t="s">
        <v>1121</v>
      </c>
      <c r="F404" s="45" t="s">
        <v>602</v>
      </c>
      <c r="G404" s="9" t="n">
        <v>36</v>
      </c>
      <c r="H404" s="185" t="n">
        <f aca="false">'Engineering Assumptions'!$F$40*0.03*1</f>
        <v>0.27</v>
      </c>
      <c r="I404" s="185" t="n">
        <f aca="false">'Engineering Assumptions'!$F$40*1</f>
        <v>9</v>
      </c>
      <c r="J404" s="12" t="n">
        <f aca="false">'Fleet Pricing'!L404</f>
        <v>145000</v>
      </c>
      <c r="K404" s="12" t="n">
        <f aca="false">'Maintenance &amp; Repair'!J404+'Maintenance &amp; Repair'!K404</f>
        <v>82080</v>
      </c>
      <c r="L404" s="186" t="n">
        <f aca="false">IFERROR(K404/J404,0)</f>
        <v>0.566068965517241</v>
      </c>
      <c r="M404" s="9" t="n">
        <f aca="false">MAX(0,'Engineering Assumptions'!$G$40-G404)</f>
        <v>0</v>
      </c>
      <c r="N404" s="187" t="str">
        <f aca="false">IF(G404&gt;=20,"REPLACE",IF(L404&gt;0.6,"REPLACE",IF(G404&gt;=15,"REPLACE",IF(OR(G404&gt;=11,L404&gt;0.4),"MONITOR","KEEP"))))</f>
        <v>REPLACE</v>
      </c>
      <c r="O404" s="188" t="str">
        <f aca="false">IF(G404&gt;=20,"End of life (age &gt; 20)",IF(L404&gt;0.6,"Repairs exceed 60% of revenue",IF(G404&gt;=15,"Age 15+ → replace",IF(OR(G404&gt;=11,L404&gt;0.4),"Watch costs; plan replacement","Healthy — continue operating"))))</f>
        <v>End of life (age &gt; 20)</v>
      </c>
      <c r="P404" s="188" t="str">
        <f aca="false">'Engineering Assumptions'!H40</f>
        <v>TATA 207 + bowser ~Rs. 8–10M</v>
      </c>
    </row>
    <row r="405" customFormat="false" ht="15" hidden="false" customHeight="true" outlineLevel="0" collapsed="false">
      <c r="A405" s="9" t="n">
        <v>378</v>
      </c>
      <c r="B405" s="184" t="s">
        <v>137</v>
      </c>
      <c r="C405" s="184" t="s">
        <v>2441</v>
      </c>
      <c r="D405" s="184"/>
      <c r="E405" s="184"/>
      <c r="F405" s="45" t="s">
        <v>602</v>
      </c>
      <c r="G405" s="9" t="n">
        <v>36</v>
      </c>
      <c r="H405" s="185" t="n">
        <f aca="false">'Engineering Assumptions'!$F$40*0.03*1</f>
        <v>0.27</v>
      </c>
      <c r="I405" s="185" t="n">
        <f aca="false">'Engineering Assumptions'!$F$40*1</f>
        <v>9</v>
      </c>
      <c r="J405" s="12" t="n">
        <f aca="false">'Fleet Pricing'!L405</f>
        <v>145000</v>
      </c>
      <c r="K405" s="12" t="n">
        <f aca="false">'Maintenance &amp; Repair'!J405+'Maintenance &amp; Repair'!K405</f>
        <v>82080</v>
      </c>
      <c r="L405" s="186" t="n">
        <f aca="false">IFERROR(K405/J405,0)</f>
        <v>0.566068965517241</v>
      </c>
      <c r="M405" s="9" t="n">
        <f aca="false">MAX(0,'Engineering Assumptions'!$G$40-G405)</f>
        <v>0</v>
      </c>
      <c r="N405" s="187" t="str">
        <f aca="false">IF(G405&gt;=20,"REPLACE",IF(L405&gt;0.6,"REPLACE",IF(G405&gt;=15,"REPLACE",IF(OR(G405&gt;=11,L405&gt;0.4),"MONITOR","KEEP"))))</f>
        <v>REPLACE</v>
      </c>
      <c r="O405" s="188" t="str">
        <f aca="false">IF(G405&gt;=20,"End of life (age &gt; 20)",IF(L405&gt;0.6,"Repairs exceed 60% of revenue",IF(G405&gt;=15,"Age 15+ → replace",IF(OR(G405&gt;=11,L405&gt;0.4),"Watch costs; plan replacement","Healthy — continue operating"))))</f>
        <v>End of life (age &gt; 20)</v>
      </c>
      <c r="P405" s="188" t="str">
        <f aca="false">'Engineering Assumptions'!H40</f>
        <v>TATA 207 + bowser ~Rs. 8–10M</v>
      </c>
    </row>
    <row r="406" customFormat="false" ht="15" hidden="false" customHeight="true" outlineLevel="0" collapsed="false">
      <c r="A406" s="9" t="n">
        <v>379</v>
      </c>
      <c r="B406" s="184" t="s">
        <v>137</v>
      </c>
      <c r="C406" s="184" t="s">
        <v>2442</v>
      </c>
      <c r="D406" s="184" t="s">
        <v>1123</v>
      </c>
      <c r="E406" s="184" t="s">
        <v>1124</v>
      </c>
      <c r="F406" s="45" t="s">
        <v>472</v>
      </c>
      <c r="G406" s="9" t="n">
        <v>30</v>
      </c>
      <c r="H406" s="185" t="n">
        <f aca="false">'Engineering Assumptions'!$F$40*0.03*1</f>
        <v>0.27</v>
      </c>
      <c r="I406" s="185" t="n">
        <f aca="false">'Engineering Assumptions'!$F$40*1</f>
        <v>9</v>
      </c>
      <c r="J406" s="12" t="n">
        <f aca="false">'Fleet Pricing'!L406</f>
        <v>145000</v>
      </c>
      <c r="K406" s="12" t="n">
        <f aca="false">'Maintenance &amp; Repair'!J406+'Maintenance &amp; Repair'!K406</f>
        <v>82080</v>
      </c>
      <c r="L406" s="186" t="n">
        <f aca="false">IFERROR(K406/J406,0)</f>
        <v>0.566068965517241</v>
      </c>
      <c r="M406" s="9" t="n">
        <f aca="false">MAX(0,'Engineering Assumptions'!$G$40-G406)</f>
        <v>0</v>
      </c>
      <c r="N406" s="187" t="str">
        <f aca="false">IF(G406&gt;=20,"REPLACE",IF(L406&gt;0.6,"REPLACE",IF(G406&gt;=15,"REPLACE",IF(OR(G406&gt;=11,L406&gt;0.4),"MONITOR","KEEP"))))</f>
        <v>REPLACE</v>
      </c>
      <c r="O406" s="188" t="str">
        <f aca="false">IF(G406&gt;=20,"End of life (age &gt; 20)",IF(L406&gt;0.6,"Repairs exceed 60% of revenue",IF(G406&gt;=15,"Age 15+ → replace",IF(OR(G406&gt;=11,L406&gt;0.4),"Watch costs; plan replacement","Healthy — continue operating"))))</f>
        <v>End of life (age &gt; 20)</v>
      </c>
      <c r="P406" s="188" t="str">
        <f aca="false">'Engineering Assumptions'!H40</f>
        <v>TATA 207 + bowser ~Rs. 8–10M</v>
      </c>
    </row>
    <row r="407" customFormat="false" ht="15" hidden="false" customHeight="true" outlineLevel="0" collapsed="false">
      <c r="A407" s="9" t="n">
        <v>380</v>
      </c>
      <c r="B407" s="184" t="s">
        <v>137</v>
      </c>
      <c r="C407" s="184" t="s">
        <v>2443</v>
      </c>
      <c r="D407" s="184" t="s">
        <v>1118</v>
      </c>
      <c r="E407" s="184" t="s">
        <v>1119</v>
      </c>
      <c r="F407" s="45" t="s">
        <v>472</v>
      </c>
      <c r="G407" s="9" t="n">
        <v>30</v>
      </c>
      <c r="H407" s="185" t="n">
        <f aca="false">'Engineering Assumptions'!$F$40*0.03*1</f>
        <v>0.27</v>
      </c>
      <c r="I407" s="185" t="n">
        <f aca="false">'Engineering Assumptions'!$F$40*1</f>
        <v>9</v>
      </c>
      <c r="J407" s="12" t="n">
        <f aca="false">'Fleet Pricing'!L407</f>
        <v>145000</v>
      </c>
      <c r="K407" s="12" t="n">
        <f aca="false">'Maintenance &amp; Repair'!J407+'Maintenance &amp; Repair'!K407</f>
        <v>82080</v>
      </c>
      <c r="L407" s="186" t="n">
        <f aca="false">IFERROR(K407/J407,0)</f>
        <v>0.566068965517241</v>
      </c>
      <c r="M407" s="9" t="n">
        <f aca="false">MAX(0,'Engineering Assumptions'!$G$40-G407)</f>
        <v>0</v>
      </c>
      <c r="N407" s="187" t="str">
        <f aca="false">IF(G407&gt;=20,"REPLACE",IF(L407&gt;0.6,"REPLACE",IF(G407&gt;=15,"REPLACE",IF(OR(G407&gt;=11,L407&gt;0.4),"MONITOR","KEEP"))))</f>
        <v>REPLACE</v>
      </c>
      <c r="O407" s="188" t="str">
        <f aca="false">IF(G407&gt;=20,"End of life (age &gt; 20)",IF(L407&gt;0.6,"Repairs exceed 60% of revenue",IF(G407&gt;=15,"Age 15+ → replace",IF(OR(G407&gt;=11,L407&gt;0.4),"Watch costs; plan replacement","Healthy — continue operating"))))</f>
        <v>End of life (age &gt; 20)</v>
      </c>
      <c r="P407" s="188" t="str">
        <f aca="false">'Engineering Assumptions'!H40</f>
        <v>TATA 207 + bowser ~Rs. 8–10M</v>
      </c>
    </row>
    <row r="408" customFormat="false" ht="15" hidden="false" customHeight="true" outlineLevel="0" collapsed="false">
      <c r="A408" s="42" t="s">
        <v>1125</v>
      </c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</row>
    <row r="409" customFormat="false" ht="15" hidden="false" customHeight="true" outlineLevel="0" collapsed="false">
      <c r="A409" s="9" t="n">
        <v>381</v>
      </c>
      <c r="B409" s="184" t="s">
        <v>139</v>
      </c>
      <c r="C409" s="184" t="s">
        <v>2444</v>
      </c>
      <c r="D409" s="184" t="s">
        <v>1126</v>
      </c>
      <c r="E409" s="184"/>
      <c r="F409" s="45" t="s">
        <v>297</v>
      </c>
      <c r="G409" s="9" t="n">
        <v>5</v>
      </c>
      <c r="H409" s="185" t="n">
        <f aca="false">'Engineering Assumptions'!$F$41*0.5*1.1</f>
        <v>23.1</v>
      </c>
      <c r="I409" s="185" t="n">
        <f aca="false">'Engineering Assumptions'!$F$41*1.1</f>
        <v>46.2</v>
      </c>
      <c r="J409" s="12" t="n">
        <f aca="false">'Fleet Pricing'!L409</f>
        <v>1072000</v>
      </c>
      <c r="K409" s="12" t="n">
        <f aca="false">'Maintenance &amp; Repair'!J409+'Maintenance &amp; Repair'!K409</f>
        <v>70752</v>
      </c>
      <c r="L409" s="186" t="n">
        <f aca="false">IFERROR(K409/J409,0)</f>
        <v>0.066</v>
      </c>
      <c r="M409" s="9" t="n">
        <f aca="false">MAX(0,'Engineering Assumptions'!$G$41-G409)</f>
        <v>10</v>
      </c>
      <c r="N409" s="187" t="str">
        <f aca="false">IF(G409&gt;=20,"REPLACE",IF(L409&gt;0.6,"REPLACE",IF(G409&gt;=15,"REPLACE",IF(OR(G409&gt;=11,L409&gt;0.4),"MONITOR","KEEP"))))</f>
        <v>KEEP</v>
      </c>
      <c r="O409" s="188" t="str">
        <f aca="false">IF(G409&gt;=20,"End of life (age &gt; 20)",IF(L409&gt;0.6,"Repairs exceed 60% of revenue",IF(G409&gt;=15,"Age 15+ → replace",IF(OR(G409&gt;=11,L409&gt;0.4),"Watch costs; plan replacement","Healthy — continue operating"))))</f>
        <v>Healthy — continue operating</v>
      </c>
      <c r="P409" s="188" t="str">
        <f aca="false">'Engineering Assumptions'!H41</f>
        <v>20T class HYUNDAI R220 / CAT 320 ~Rs. 38–48M</v>
      </c>
    </row>
    <row r="410" customFormat="false" ht="15" hidden="false" customHeight="true" outlineLevel="0" collapsed="false">
      <c r="A410" s="9" t="n">
        <v>382</v>
      </c>
      <c r="B410" s="184" t="s">
        <v>139</v>
      </c>
      <c r="C410" s="184" t="s">
        <v>2444</v>
      </c>
      <c r="D410" s="184" t="s">
        <v>1129</v>
      </c>
      <c r="E410" s="184"/>
      <c r="F410" s="45" t="s">
        <v>297</v>
      </c>
      <c r="G410" s="9" t="n">
        <v>5</v>
      </c>
      <c r="H410" s="185" t="n">
        <f aca="false">'Engineering Assumptions'!$F$41*0.5*1.1</f>
        <v>23.1</v>
      </c>
      <c r="I410" s="185" t="n">
        <f aca="false">'Engineering Assumptions'!$F$41*1.1</f>
        <v>46.2</v>
      </c>
      <c r="J410" s="12" t="n">
        <f aca="false">'Fleet Pricing'!L410</f>
        <v>1072000</v>
      </c>
      <c r="K410" s="12" t="n">
        <f aca="false">'Maintenance &amp; Repair'!J410+'Maintenance &amp; Repair'!K410</f>
        <v>70752</v>
      </c>
      <c r="L410" s="186" t="n">
        <f aca="false">IFERROR(K410/J410,0)</f>
        <v>0.066</v>
      </c>
      <c r="M410" s="9" t="n">
        <f aca="false">MAX(0,'Engineering Assumptions'!$G$41-G410)</f>
        <v>10</v>
      </c>
      <c r="N410" s="187" t="str">
        <f aca="false">IF(G410&gt;=20,"REPLACE",IF(L410&gt;0.6,"REPLACE",IF(G410&gt;=15,"REPLACE",IF(OR(G410&gt;=11,L410&gt;0.4),"MONITOR","KEEP"))))</f>
        <v>KEEP</v>
      </c>
      <c r="O410" s="188" t="str">
        <f aca="false">IF(G410&gt;=20,"End of life (age &gt; 20)",IF(L410&gt;0.6,"Repairs exceed 60% of revenue",IF(G410&gt;=15,"Age 15+ → replace",IF(OR(G410&gt;=11,L410&gt;0.4),"Watch costs; plan replacement","Healthy — continue operating"))))</f>
        <v>Healthy — continue operating</v>
      </c>
      <c r="P410" s="188" t="str">
        <f aca="false">'Engineering Assumptions'!H41</f>
        <v>20T class HYUNDAI R220 / CAT 320 ~Rs. 38–48M</v>
      </c>
    </row>
    <row r="411" customFormat="false" ht="15" hidden="false" customHeight="true" outlineLevel="0" collapsed="false">
      <c r="A411" s="9" t="n">
        <v>383</v>
      </c>
      <c r="B411" s="184" t="s">
        <v>139</v>
      </c>
      <c r="C411" s="184" t="s">
        <v>2444</v>
      </c>
      <c r="D411" s="184" t="s">
        <v>1130</v>
      </c>
      <c r="E411" s="184"/>
      <c r="F411" s="45" t="s">
        <v>297</v>
      </c>
      <c r="G411" s="9" t="n">
        <v>5</v>
      </c>
      <c r="H411" s="185" t="n">
        <f aca="false">'Engineering Assumptions'!$F$41*0.5*1.1</f>
        <v>23.1</v>
      </c>
      <c r="I411" s="185" t="n">
        <f aca="false">'Engineering Assumptions'!$F$41*1.1</f>
        <v>46.2</v>
      </c>
      <c r="J411" s="12" t="n">
        <f aca="false">'Fleet Pricing'!L411</f>
        <v>1072000</v>
      </c>
      <c r="K411" s="12" t="n">
        <f aca="false">'Maintenance &amp; Repair'!J411+'Maintenance &amp; Repair'!K411</f>
        <v>70752</v>
      </c>
      <c r="L411" s="186" t="n">
        <f aca="false">IFERROR(K411/J411,0)</f>
        <v>0.066</v>
      </c>
      <c r="M411" s="9" t="n">
        <f aca="false">MAX(0,'Engineering Assumptions'!$G$41-G411)</f>
        <v>10</v>
      </c>
      <c r="N411" s="187" t="str">
        <f aca="false">IF(G411&gt;=20,"REPLACE",IF(L411&gt;0.6,"REPLACE",IF(G411&gt;=15,"REPLACE",IF(OR(G411&gt;=11,L411&gt;0.4),"MONITOR","KEEP"))))</f>
        <v>KEEP</v>
      </c>
      <c r="O411" s="188" t="str">
        <f aca="false">IF(G411&gt;=20,"End of life (age &gt; 20)",IF(L411&gt;0.6,"Repairs exceed 60% of revenue",IF(G411&gt;=15,"Age 15+ → replace",IF(OR(G411&gt;=11,L411&gt;0.4),"Watch costs; plan replacement","Healthy — continue operating"))))</f>
        <v>Healthy — continue operating</v>
      </c>
      <c r="P411" s="188" t="str">
        <f aca="false">'Engineering Assumptions'!H41</f>
        <v>20T class HYUNDAI R220 / CAT 320 ~Rs. 38–48M</v>
      </c>
    </row>
    <row r="412" customFormat="false" ht="15" hidden="false" customHeight="true" outlineLevel="0" collapsed="false">
      <c r="A412" s="9" t="n">
        <v>384</v>
      </c>
      <c r="B412" s="184" t="s">
        <v>139</v>
      </c>
      <c r="C412" s="184" t="s">
        <v>2444</v>
      </c>
      <c r="D412" s="184" t="s">
        <v>1131</v>
      </c>
      <c r="E412" s="184"/>
      <c r="F412" s="45" t="s">
        <v>297</v>
      </c>
      <c r="G412" s="9" t="n">
        <v>5</v>
      </c>
      <c r="H412" s="185" t="n">
        <f aca="false">'Engineering Assumptions'!$F$41*0.5*1.1</f>
        <v>23.1</v>
      </c>
      <c r="I412" s="185" t="n">
        <f aca="false">'Engineering Assumptions'!$F$41*1.1</f>
        <v>46.2</v>
      </c>
      <c r="J412" s="12" t="n">
        <f aca="false">'Fleet Pricing'!L412</f>
        <v>1072000</v>
      </c>
      <c r="K412" s="12" t="n">
        <f aca="false">'Maintenance &amp; Repair'!J412+'Maintenance &amp; Repair'!K412</f>
        <v>70752</v>
      </c>
      <c r="L412" s="186" t="n">
        <f aca="false">IFERROR(K412/J412,0)</f>
        <v>0.066</v>
      </c>
      <c r="M412" s="9" t="n">
        <f aca="false">MAX(0,'Engineering Assumptions'!$G$41-G412)</f>
        <v>10</v>
      </c>
      <c r="N412" s="187" t="str">
        <f aca="false">IF(G412&gt;=20,"REPLACE",IF(L412&gt;0.6,"REPLACE",IF(G412&gt;=15,"REPLACE",IF(OR(G412&gt;=11,L412&gt;0.4),"MONITOR","KEEP"))))</f>
        <v>KEEP</v>
      </c>
      <c r="O412" s="188" t="str">
        <f aca="false">IF(G412&gt;=20,"End of life (age &gt; 20)",IF(L412&gt;0.6,"Repairs exceed 60% of revenue",IF(G412&gt;=15,"Age 15+ → replace",IF(OR(G412&gt;=11,L412&gt;0.4),"Watch costs; plan replacement","Healthy — continue operating"))))</f>
        <v>Healthy — continue operating</v>
      </c>
      <c r="P412" s="188" t="str">
        <f aca="false">'Engineering Assumptions'!H41</f>
        <v>20T class HYUNDAI R220 / CAT 320 ~Rs. 38–48M</v>
      </c>
    </row>
    <row r="413" customFormat="false" ht="15" hidden="false" customHeight="true" outlineLevel="0" collapsed="false">
      <c r="A413" s="9" t="n">
        <v>385</v>
      </c>
      <c r="B413" s="184" t="s">
        <v>139</v>
      </c>
      <c r="C413" s="184" t="s">
        <v>2445</v>
      </c>
      <c r="D413" s="184" t="s">
        <v>1133</v>
      </c>
      <c r="E413" s="184"/>
      <c r="F413" s="45" t="s">
        <v>450</v>
      </c>
      <c r="G413" s="9" t="n">
        <v>8</v>
      </c>
      <c r="H413" s="185" t="n">
        <f aca="false">'Engineering Assumptions'!$F$41*0.35*0.65</f>
        <v>9.555</v>
      </c>
      <c r="I413" s="185" t="n">
        <f aca="false">'Engineering Assumptions'!$F$41*0.65</f>
        <v>27.3</v>
      </c>
      <c r="J413" s="12" t="n">
        <f aca="false">'Fleet Pricing'!L413</f>
        <v>582500</v>
      </c>
      <c r="K413" s="12" t="n">
        <f aca="false">'Maintenance &amp; Repair'!J413+'Maintenance &amp; Repair'!K413</f>
        <v>67470</v>
      </c>
      <c r="L413" s="186" t="n">
        <f aca="false">IFERROR(K413/J413,0)</f>
        <v>0.115828326180258</v>
      </c>
      <c r="M413" s="9" t="n">
        <f aca="false">MAX(0,'Engineering Assumptions'!$G$41-G413)</f>
        <v>7</v>
      </c>
      <c r="N413" s="187" t="str">
        <f aca="false">IF(G413&gt;=20,"REPLACE",IF(L413&gt;0.6,"REPLACE",IF(G413&gt;=15,"REPLACE",IF(OR(G413&gt;=11,L413&gt;0.4),"MONITOR","KEEP"))))</f>
        <v>KEEP</v>
      </c>
      <c r="O413" s="188" t="str">
        <f aca="false">IF(G413&gt;=20,"End of life (age &gt; 20)",IF(L413&gt;0.6,"Repairs exceed 60% of revenue",IF(G413&gt;=15,"Age 15+ → replace",IF(OR(G413&gt;=11,L413&gt;0.4),"Watch costs; plan replacement","Healthy — continue operating"))))</f>
        <v>Healthy — continue operating</v>
      </c>
      <c r="P413" s="188" t="str">
        <f aca="false">'Engineering Assumptions'!H41</f>
        <v>20T class HYUNDAI R220 / CAT 320 ~Rs. 38–48M</v>
      </c>
    </row>
    <row r="414" customFormat="false" ht="15" hidden="false" customHeight="true" outlineLevel="0" collapsed="false">
      <c r="A414" s="9" t="n">
        <v>386</v>
      </c>
      <c r="B414" s="184" t="s">
        <v>139</v>
      </c>
      <c r="C414" s="184" t="s">
        <v>2446</v>
      </c>
      <c r="D414" s="184" t="s">
        <v>1136</v>
      </c>
      <c r="E414" s="184" t="n">
        <v>14160</v>
      </c>
      <c r="F414" s="45" t="s">
        <v>397</v>
      </c>
      <c r="G414" s="9" t="n">
        <v>9</v>
      </c>
      <c r="H414" s="185" t="n">
        <f aca="false">'Engineering Assumptions'!$F$41*0.22*1.15</f>
        <v>10.626</v>
      </c>
      <c r="I414" s="185" t="n">
        <f aca="false">'Engineering Assumptions'!$F$41*1.15</f>
        <v>48.3</v>
      </c>
      <c r="J414" s="12" t="n">
        <f aca="false">'Fleet Pricing'!L414</f>
        <v>1030000</v>
      </c>
      <c r="K414" s="12" t="n">
        <f aca="false">'Maintenance &amp; Repair'!J414+'Maintenance &amp; Repair'!K414</f>
        <v>119370</v>
      </c>
      <c r="L414" s="186" t="n">
        <f aca="false">IFERROR(K414/J414,0)</f>
        <v>0.115893203883495</v>
      </c>
      <c r="M414" s="9" t="n">
        <f aca="false">MAX(0,'Engineering Assumptions'!$G$41-G414)</f>
        <v>6</v>
      </c>
      <c r="N414" s="187" t="str">
        <f aca="false">IF(G414&gt;=20,"REPLACE",IF(L414&gt;0.6,"REPLACE",IF(G414&gt;=15,"REPLACE",IF(OR(G414&gt;=11,L414&gt;0.4),"MONITOR","KEEP"))))</f>
        <v>KEEP</v>
      </c>
      <c r="O414" s="188" t="str">
        <f aca="false">IF(G414&gt;=20,"End of life (age &gt; 20)",IF(L414&gt;0.6,"Repairs exceed 60% of revenue",IF(G414&gt;=15,"Age 15+ → replace",IF(OR(G414&gt;=11,L414&gt;0.4),"Watch costs; plan replacement","Healthy — continue operating"))))</f>
        <v>Healthy — continue operating</v>
      </c>
      <c r="P414" s="188" t="str">
        <f aca="false">'Engineering Assumptions'!H41</f>
        <v>20T class HYUNDAI R220 / CAT 320 ~Rs. 38–48M</v>
      </c>
    </row>
    <row r="415" customFormat="false" ht="15" hidden="false" customHeight="true" outlineLevel="0" collapsed="false">
      <c r="A415" s="9" t="n">
        <v>387</v>
      </c>
      <c r="B415" s="184" t="s">
        <v>139</v>
      </c>
      <c r="C415" s="184" t="s">
        <v>2446</v>
      </c>
      <c r="D415" s="184" t="s">
        <v>1201</v>
      </c>
      <c r="E415" s="184"/>
      <c r="F415" s="45" t="s">
        <v>397</v>
      </c>
      <c r="G415" s="9" t="n">
        <v>9</v>
      </c>
      <c r="H415" s="185" t="n">
        <f aca="false">'Engineering Assumptions'!$F$41*0.22*1.15</f>
        <v>10.626</v>
      </c>
      <c r="I415" s="185" t="n">
        <f aca="false">'Engineering Assumptions'!$F$41*1.15</f>
        <v>48.3</v>
      </c>
      <c r="J415" s="12" t="n">
        <f aca="false">'Fleet Pricing'!L415</f>
        <v>1030000</v>
      </c>
      <c r="K415" s="12" t="n">
        <f aca="false">'Maintenance &amp; Repair'!J415+'Maintenance &amp; Repair'!K415</f>
        <v>119370</v>
      </c>
      <c r="L415" s="186" t="n">
        <f aca="false">IFERROR(K415/J415,0)</f>
        <v>0.115893203883495</v>
      </c>
      <c r="M415" s="9" t="n">
        <f aca="false">MAX(0,'Engineering Assumptions'!$G$41-G415)</f>
        <v>6</v>
      </c>
      <c r="N415" s="187" t="str">
        <f aca="false">IF(G415&gt;=20,"REPLACE",IF(L415&gt;0.6,"REPLACE",IF(G415&gt;=15,"REPLACE",IF(OR(G415&gt;=11,L415&gt;0.4),"MONITOR","KEEP"))))</f>
        <v>KEEP</v>
      </c>
      <c r="O415" s="188" t="str">
        <f aca="false">IF(G415&gt;=20,"End of life (age &gt; 20)",IF(L415&gt;0.6,"Repairs exceed 60% of revenue",IF(G415&gt;=15,"Age 15+ → replace",IF(OR(G415&gt;=11,L415&gt;0.4),"Watch costs; plan replacement","Healthy — continue operating"))))</f>
        <v>Healthy — continue operating</v>
      </c>
      <c r="P415" s="188" t="str">
        <f aca="false">'Engineering Assumptions'!H41</f>
        <v>20T class HYUNDAI R220 / CAT 320 ~Rs. 38–48M</v>
      </c>
    </row>
    <row r="416" customFormat="false" ht="15" hidden="false" customHeight="true" outlineLevel="0" collapsed="false">
      <c r="A416" s="9" t="n">
        <v>388</v>
      </c>
      <c r="B416" s="184" t="s">
        <v>139</v>
      </c>
      <c r="C416" s="184" t="s">
        <v>2446</v>
      </c>
      <c r="D416" s="184" t="s">
        <v>1204</v>
      </c>
      <c r="E416" s="184"/>
      <c r="F416" s="45" t="s">
        <v>397</v>
      </c>
      <c r="G416" s="9" t="n">
        <v>9</v>
      </c>
      <c r="H416" s="185" t="n">
        <f aca="false">'Engineering Assumptions'!$F$41*0.22*1.15</f>
        <v>10.626</v>
      </c>
      <c r="I416" s="185" t="n">
        <f aca="false">'Engineering Assumptions'!$F$41*1.15</f>
        <v>48.3</v>
      </c>
      <c r="J416" s="12" t="n">
        <f aca="false">'Fleet Pricing'!L416</f>
        <v>1030000</v>
      </c>
      <c r="K416" s="12" t="n">
        <f aca="false">'Maintenance &amp; Repair'!J416+'Maintenance &amp; Repair'!K416</f>
        <v>119370</v>
      </c>
      <c r="L416" s="186" t="n">
        <f aca="false">IFERROR(K416/J416,0)</f>
        <v>0.115893203883495</v>
      </c>
      <c r="M416" s="9" t="n">
        <f aca="false">MAX(0,'Engineering Assumptions'!$G$41-G416)</f>
        <v>6</v>
      </c>
      <c r="N416" s="187" t="str">
        <f aca="false">IF(G416&gt;=20,"REPLACE",IF(L416&gt;0.6,"REPLACE",IF(G416&gt;=15,"REPLACE",IF(OR(G416&gt;=11,L416&gt;0.4),"MONITOR","KEEP"))))</f>
        <v>KEEP</v>
      </c>
      <c r="O416" s="188" t="str">
        <f aca="false">IF(G416&gt;=20,"End of life (age &gt; 20)",IF(L416&gt;0.6,"Repairs exceed 60% of revenue",IF(G416&gt;=15,"Age 15+ → replace",IF(OR(G416&gt;=11,L416&gt;0.4),"Watch costs; plan replacement","Healthy — continue operating"))))</f>
        <v>Healthy — continue operating</v>
      </c>
      <c r="P416" s="188" t="str">
        <f aca="false">'Engineering Assumptions'!H41</f>
        <v>20T class HYUNDAI R220 / CAT 320 ~Rs. 38–48M</v>
      </c>
    </row>
    <row r="417" customFormat="false" ht="15" hidden="false" customHeight="true" outlineLevel="0" collapsed="false">
      <c r="A417" s="9" t="n">
        <v>389</v>
      </c>
      <c r="B417" s="184" t="s">
        <v>139</v>
      </c>
      <c r="C417" s="184" t="s">
        <v>2446</v>
      </c>
      <c r="D417" s="184" t="s">
        <v>1140</v>
      </c>
      <c r="E417" s="184" t="n">
        <v>14160</v>
      </c>
      <c r="F417" s="45" t="s">
        <v>397</v>
      </c>
      <c r="G417" s="9" t="n">
        <v>9</v>
      </c>
      <c r="H417" s="185" t="n">
        <f aca="false">'Engineering Assumptions'!$F$41*0.22*1.15</f>
        <v>10.626</v>
      </c>
      <c r="I417" s="185" t="n">
        <f aca="false">'Engineering Assumptions'!$F$41*1.15</f>
        <v>48.3</v>
      </c>
      <c r="J417" s="12" t="n">
        <f aca="false">'Fleet Pricing'!L417</f>
        <v>1030000</v>
      </c>
      <c r="K417" s="12" t="n">
        <f aca="false">'Maintenance &amp; Repair'!J417+'Maintenance &amp; Repair'!K417</f>
        <v>119370</v>
      </c>
      <c r="L417" s="186" t="n">
        <f aca="false">IFERROR(K417/J417,0)</f>
        <v>0.115893203883495</v>
      </c>
      <c r="M417" s="9" t="n">
        <f aca="false">MAX(0,'Engineering Assumptions'!$G$41-G417)</f>
        <v>6</v>
      </c>
      <c r="N417" s="187" t="str">
        <f aca="false">IF(G417&gt;=20,"REPLACE",IF(L417&gt;0.6,"REPLACE",IF(G417&gt;=15,"REPLACE",IF(OR(G417&gt;=11,L417&gt;0.4),"MONITOR","KEEP"))))</f>
        <v>KEEP</v>
      </c>
      <c r="O417" s="188" t="str">
        <f aca="false">IF(G417&gt;=20,"End of life (age &gt; 20)",IF(L417&gt;0.6,"Repairs exceed 60% of revenue",IF(G417&gt;=15,"Age 15+ → replace",IF(OR(G417&gt;=11,L417&gt;0.4),"Watch costs; plan replacement","Healthy — continue operating"))))</f>
        <v>Healthy — continue operating</v>
      </c>
      <c r="P417" s="188" t="str">
        <f aca="false">'Engineering Assumptions'!H41</f>
        <v>20T class HYUNDAI R220 / CAT 320 ~Rs. 38–48M</v>
      </c>
    </row>
    <row r="418" customFormat="false" ht="15" hidden="false" customHeight="true" outlineLevel="0" collapsed="false">
      <c r="A418" s="9" t="n">
        <v>390</v>
      </c>
      <c r="B418" s="184" t="s">
        <v>139</v>
      </c>
      <c r="C418" s="184" t="s">
        <v>2446</v>
      </c>
      <c r="D418" s="184" t="s">
        <v>1141</v>
      </c>
      <c r="E418" s="184" t="n">
        <v>14160</v>
      </c>
      <c r="F418" s="45" t="s">
        <v>397</v>
      </c>
      <c r="G418" s="9" t="n">
        <v>9</v>
      </c>
      <c r="H418" s="185" t="n">
        <f aca="false">'Engineering Assumptions'!$F$41*0.22*1.15</f>
        <v>10.626</v>
      </c>
      <c r="I418" s="185" t="n">
        <f aca="false">'Engineering Assumptions'!$F$41*1.15</f>
        <v>48.3</v>
      </c>
      <c r="J418" s="12" t="n">
        <f aca="false">'Fleet Pricing'!L418</f>
        <v>1030000</v>
      </c>
      <c r="K418" s="12" t="n">
        <f aca="false">'Maintenance &amp; Repair'!J418+'Maintenance &amp; Repair'!K418</f>
        <v>119370</v>
      </c>
      <c r="L418" s="186" t="n">
        <f aca="false">IFERROR(K418/J418,0)</f>
        <v>0.115893203883495</v>
      </c>
      <c r="M418" s="9" t="n">
        <f aca="false">MAX(0,'Engineering Assumptions'!$G$41-G418)</f>
        <v>6</v>
      </c>
      <c r="N418" s="187" t="str">
        <f aca="false">IF(G418&gt;=20,"REPLACE",IF(L418&gt;0.6,"REPLACE",IF(G418&gt;=15,"REPLACE",IF(OR(G418&gt;=11,L418&gt;0.4),"MONITOR","KEEP"))))</f>
        <v>KEEP</v>
      </c>
      <c r="O418" s="188" t="str">
        <f aca="false">IF(G418&gt;=20,"End of life (age &gt; 20)",IF(L418&gt;0.6,"Repairs exceed 60% of revenue",IF(G418&gt;=15,"Age 15+ → replace",IF(OR(G418&gt;=11,L418&gt;0.4),"Watch costs; plan replacement","Healthy — continue operating"))))</f>
        <v>Healthy — continue operating</v>
      </c>
      <c r="P418" s="188" t="str">
        <f aca="false">'Engineering Assumptions'!H41</f>
        <v>20T class HYUNDAI R220 / CAT 320 ~Rs. 38–48M</v>
      </c>
    </row>
    <row r="419" customFormat="false" ht="15" hidden="false" customHeight="true" outlineLevel="0" collapsed="false">
      <c r="A419" s="9" t="n">
        <v>391</v>
      </c>
      <c r="B419" s="184" t="s">
        <v>139</v>
      </c>
      <c r="C419" s="184" t="s">
        <v>2447</v>
      </c>
      <c r="D419" s="184" t="s">
        <v>1144</v>
      </c>
      <c r="E419" s="184"/>
      <c r="F419" s="45" t="s">
        <v>397</v>
      </c>
      <c r="G419" s="9" t="n">
        <v>9</v>
      </c>
      <c r="H419" s="185" t="n">
        <f aca="false">'Engineering Assumptions'!$F$41*0.22*1.1</f>
        <v>10.164</v>
      </c>
      <c r="I419" s="185" t="n">
        <f aca="false">'Engineering Assumptions'!$F$41*1.1</f>
        <v>46.2</v>
      </c>
      <c r="J419" s="12" t="n">
        <f aca="false">'Fleet Pricing'!L419</f>
        <v>985500</v>
      </c>
      <c r="K419" s="12" t="n">
        <f aca="false">'Maintenance &amp; Repair'!J419+'Maintenance &amp; Repair'!K419</f>
        <v>114180</v>
      </c>
      <c r="L419" s="186" t="n">
        <f aca="false">IFERROR(K419/J419,0)</f>
        <v>0.1158599695586</v>
      </c>
      <c r="M419" s="9" t="n">
        <f aca="false">MAX(0,'Engineering Assumptions'!$G$41-G419)</f>
        <v>6</v>
      </c>
      <c r="N419" s="187" t="str">
        <f aca="false">IF(G419&gt;=20,"REPLACE",IF(L419&gt;0.6,"REPLACE",IF(G419&gt;=15,"REPLACE",IF(OR(G419&gt;=11,L419&gt;0.4),"MONITOR","KEEP"))))</f>
        <v>KEEP</v>
      </c>
      <c r="O419" s="188" t="str">
        <f aca="false">IF(G419&gt;=20,"End of life (age &gt; 20)",IF(L419&gt;0.6,"Repairs exceed 60% of revenue",IF(G419&gt;=15,"Age 15+ → replace",IF(OR(G419&gt;=11,L419&gt;0.4),"Watch costs; plan replacement","Healthy — continue operating"))))</f>
        <v>Healthy — continue operating</v>
      </c>
      <c r="P419" s="188" t="str">
        <f aca="false">'Engineering Assumptions'!H41</f>
        <v>20T class HYUNDAI R220 / CAT 320 ~Rs. 38–48M</v>
      </c>
    </row>
    <row r="420" customFormat="false" ht="15" hidden="false" customHeight="true" outlineLevel="0" collapsed="false">
      <c r="A420" s="9" t="n">
        <v>392</v>
      </c>
      <c r="B420" s="184" t="s">
        <v>139</v>
      </c>
      <c r="C420" s="184" t="s">
        <v>2447</v>
      </c>
      <c r="D420" s="184" t="s">
        <v>1142</v>
      </c>
      <c r="E420" s="184" t="n">
        <v>14160</v>
      </c>
      <c r="F420" s="45" t="s">
        <v>397</v>
      </c>
      <c r="G420" s="9" t="n">
        <v>9</v>
      </c>
      <c r="H420" s="185" t="n">
        <f aca="false">'Engineering Assumptions'!$F$41*0.22*1.1</f>
        <v>10.164</v>
      </c>
      <c r="I420" s="185" t="n">
        <f aca="false">'Engineering Assumptions'!$F$41*1.1</f>
        <v>46.2</v>
      </c>
      <c r="J420" s="12" t="n">
        <f aca="false">'Fleet Pricing'!L420</f>
        <v>985500</v>
      </c>
      <c r="K420" s="12" t="n">
        <f aca="false">'Maintenance &amp; Repair'!J420+'Maintenance &amp; Repair'!K420</f>
        <v>114180</v>
      </c>
      <c r="L420" s="186" t="n">
        <f aca="false">IFERROR(K420/J420,0)</f>
        <v>0.1158599695586</v>
      </c>
      <c r="M420" s="9" t="n">
        <f aca="false">MAX(0,'Engineering Assumptions'!$G$41-G420)</f>
        <v>6</v>
      </c>
      <c r="N420" s="187" t="str">
        <f aca="false">IF(G420&gt;=20,"REPLACE",IF(L420&gt;0.6,"REPLACE",IF(G420&gt;=15,"REPLACE",IF(OR(G420&gt;=11,L420&gt;0.4),"MONITOR","KEEP"))))</f>
        <v>KEEP</v>
      </c>
      <c r="O420" s="188" t="str">
        <f aca="false">IF(G420&gt;=20,"End of life (age &gt; 20)",IF(L420&gt;0.6,"Repairs exceed 60% of revenue",IF(G420&gt;=15,"Age 15+ → replace",IF(OR(G420&gt;=11,L420&gt;0.4),"Watch costs; plan replacement","Healthy — continue operating"))))</f>
        <v>Healthy — continue operating</v>
      </c>
      <c r="P420" s="188" t="str">
        <f aca="false">'Engineering Assumptions'!H41</f>
        <v>20T class HYUNDAI R220 / CAT 320 ~Rs. 38–48M</v>
      </c>
    </row>
    <row r="421" customFormat="false" ht="15" hidden="false" customHeight="true" outlineLevel="0" collapsed="false">
      <c r="A421" s="9" t="n">
        <v>393</v>
      </c>
      <c r="B421" s="184" t="s">
        <v>139</v>
      </c>
      <c r="C421" s="184" t="s">
        <v>2448</v>
      </c>
      <c r="D421" s="184" t="s">
        <v>1148</v>
      </c>
      <c r="E421" s="184"/>
      <c r="F421" s="45" t="s">
        <v>315</v>
      </c>
      <c r="G421" s="9" t="n">
        <v>11</v>
      </c>
      <c r="H421" s="185" t="n">
        <f aca="false">'Engineering Assumptions'!$F$41*0.22*1</f>
        <v>9.24</v>
      </c>
      <c r="I421" s="185" t="n">
        <f aca="false">'Engineering Assumptions'!$F$41*1</f>
        <v>42</v>
      </c>
      <c r="J421" s="12" t="n">
        <f aca="false">'Fleet Pricing'!L421</f>
        <v>896500</v>
      </c>
      <c r="K421" s="12" t="n">
        <f aca="false">'Maintenance &amp; Repair'!J421+'Maintenance &amp; Repair'!K421</f>
        <v>154920</v>
      </c>
      <c r="L421" s="186" t="n">
        <f aca="false">IFERROR(K421/J421,0)</f>
        <v>0.172805354155047</v>
      </c>
      <c r="M421" s="9" t="n">
        <f aca="false">MAX(0,'Engineering Assumptions'!$G$41-G421)</f>
        <v>4</v>
      </c>
      <c r="N421" s="187" t="str">
        <f aca="false">IF(G421&gt;=20,"REPLACE",IF(L421&gt;0.6,"REPLACE",IF(G421&gt;=15,"REPLACE",IF(OR(G421&gt;=11,L421&gt;0.4),"MONITOR","KEEP"))))</f>
        <v>MONITOR</v>
      </c>
      <c r="O421" s="188" t="str">
        <f aca="false">IF(G421&gt;=20,"End of life (age &gt; 20)",IF(L421&gt;0.6,"Repairs exceed 60% of revenue",IF(G421&gt;=15,"Age 15+ → replace",IF(OR(G421&gt;=11,L421&gt;0.4),"Watch costs; plan replacement","Healthy — continue operating"))))</f>
        <v>Watch costs; plan replacement</v>
      </c>
      <c r="P421" s="188" t="str">
        <f aca="false">'Engineering Assumptions'!H41</f>
        <v>20T class HYUNDAI R220 / CAT 320 ~Rs. 38–48M</v>
      </c>
    </row>
    <row r="422" customFormat="false" ht="15" hidden="false" customHeight="true" outlineLevel="0" collapsed="false">
      <c r="A422" s="9" t="n">
        <v>394</v>
      </c>
      <c r="B422" s="184" t="s">
        <v>139</v>
      </c>
      <c r="C422" s="184" t="s">
        <v>2449</v>
      </c>
      <c r="D422" s="184" t="s">
        <v>1150</v>
      </c>
      <c r="E422" s="184"/>
      <c r="F422" s="45" t="s">
        <v>374</v>
      </c>
      <c r="G422" s="9" t="n">
        <v>12</v>
      </c>
      <c r="H422" s="185" t="n">
        <f aca="false">'Engineering Assumptions'!$F$41*0.22*0.55</f>
        <v>5.082</v>
      </c>
      <c r="I422" s="185" t="n">
        <f aca="false">'Engineering Assumptions'!$F$41*0.55</f>
        <v>23.1</v>
      </c>
      <c r="J422" s="12" t="n">
        <f aca="false">'Fleet Pricing'!L422</f>
        <v>439500</v>
      </c>
      <c r="K422" s="12" t="n">
        <f aca="false">'Maintenance &amp; Repair'!J422+'Maintenance &amp; Repair'!K422</f>
        <v>85206</v>
      </c>
      <c r="L422" s="186" t="n">
        <f aca="false">IFERROR(K422/J422,0)</f>
        <v>0.193870307167236</v>
      </c>
      <c r="M422" s="9" t="n">
        <f aca="false">MAX(0,'Engineering Assumptions'!$G$41-G422)</f>
        <v>3</v>
      </c>
      <c r="N422" s="187" t="str">
        <f aca="false">IF(G422&gt;=20,"REPLACE",IF(L422&gt;0.6,"REPLACE",IF(G422&gt;=15,"REPLACE",IF(OR(G422&gt;=11,L422&gt;0.4),"MONITOR","KEEP"))))</f>
        <v>MONITOR</v>
      </c>
      <c r="O422" s="188" t="str">
        <f aca="false">IF(G422&gt;=20,"End of life (age &gt; 20)",IF(L422&gt;0.6,"Repairs exceed 60% of revenue",IF(G422&gt;=15,"Age 15+ → replace",IF(OR(G422&gt;=11,L422&gt;0.4),"Watch costs; plan replacement","Healthy — continue operating"))))</f>
        <v>Watch costs; plan replacement</v>
      </c>
      <c r="P422" s="188" t="str">
        <f aca="false">'Engineering Assumptions'!H41</f>
        <v>20T class HYUNDAI R220 / CAT 320 ~Rs. 38–48M</v>
      </c>
    </row>
    <row r="423" customFormat="false" ht="15" hidden="false" customHeight="true" outlineLevel="0" collapsed="false">
      <c r="A423" s="9" t="n">
        <v>395</v>
      </c>
      <c r="B423" s="184" t="s">
        <v>139</v>
      </c>
      <c r="C423" s="184" t="s">
        <v>2450</v>
      </c>
      <c r="D423" s="184" t="s">
        <v>1154</v>
      </c>
      <c r="E423" s="184"/>
      <c r="F423" s="45" t="s">
        <v>374</v>
      </c>
      <c r="G423" s="9" t="n">
        <v>12</v>
      </c>
      <c r="H423" s="185" t="n">
        <f aca="false">'Engineering Assumptions'!$F$41*0.22*0.95</f>
        <v>8.778</v>
      </c>
      <c r="I423" s="185" t="n">
        <f aca="false">'Engineering Assumptions'!$F$41*0.95</f>
        <v>39.9</v>
      </c>
      <c r="J423" s="12" t="n">
        <f aca="false">'Fleet Pricing'!L423</f>
        <v>759000</v>
      </c>
      <c r="K423" s="12" t="n">
        <f aca="false">'Maintenance &amp; Repair'!J423+'Maintenance &amp; Repair'!K423</f>
        <v>147174</v>
      </c>
      <c r="L423" s="186" t="n">
        <f aca="false">IFERROR(K423/J423,0)</f>
        <v>0.193905138339921</v>
      </c>
      <c r="M423" s="9" t="n">
        <f aca="false">MAX(0,'Engineering Assumptions'!$G$41-G423)</f>
        <v>3</v>
      </c>
      <c r="N423" s="187" t="str">
        <f aca="false">IF(G423&gt;=20,"REPLACE",IF(L423&gt;0.6,"REPLACE",IF(G423&gt;=15,"REPLACE",IF(OR(G423&gt;=11,L423&gt;0.4),"MONITOR","KEEP"))))</f>
        <v>MONITOR</v>
      </c>
      <c r="O423" s="188" t="str">
        <f aca="false">IF(G423&gt;=20,"End of life (age &gt; 20)",IF(L423&gt;0.6,"Repairs exceed 60% of revenue",IF(G423&gt;=15,"Age 15+ → replace",IF(OR(G423&gt;=11,L423&gt;0.4),"Watch costs; plan replacement","Healthy — continue operating"))))</f>
        <v>Watch costs; plan replacement</v>
      </c>
      <c r="P423" s="188" t="str">
        <f aca="false">'Engineering Assumptions'!H41</f>
        <v>20T class HYUNDAI R220 / CAT 320 ~Rs. 38–48M</v>
      </c>
    </row>
    <row r="424" customFormat="false" ht="15" hidden="false" customHeight="true" outlineLevel="0" collapsed="false">
      <c r="A424" s="9" t="n">
        <v>396</v>
      </c>
      <c r="B424" s="184" t="s">
        <v>139</v>
      </c>
      <c r="C424" s="184" t="s">
        <v>2451</v>
      </c>
      <c r="D424" s="184" t="s">
        <v>1158</v>
      </c>
      <c r="E424" s="184"/>
      <c r="F424" s="45" t="s">
        <v>374</v>
      </c>
      <c r="G424" s="9" t="n">
        <v>12</v>
      </c>
      <c r="H424" s="185" t="n">
        <f aca="false">'Engineering Assumptions'!$F$41*0.22*0.7</f>
        <v>6.468</v>
      </c>
      <c r="I424" s="185" t="n">
        <f aca="false">'Engineering Assumptions'!$F$41*0.7</f>
        <v>29.4</v>
      </c>
      <c r="J424" s="12" t="n">
        <f aca="false">'Fleet Pricing'!L424</f>
        <v>559000</v>
      </c>
      <c r="K424" s="12" t="n">
        <f aca="false">'Maintenance &amp; Repair'!J424+'Maintenance &amp; Repair'!K424</f>
        <v>108444</v>
      </c>
      <c r="L424" s="186" t="n">
        <f aca="false">IFERROR(K424/J424,0)</f>
        <v>0.193996422182469</v>
      </c>
      <c r="M424" s="9" t="n">
        <f aca="false">MAX(0,'Engineering Assumptions'!$G$41-G424)</f>
        <v>3</v>
      </c>
      <c r="N424" s="187" t="str">
        <f aca="false">IF(G424&gt;=20,"REPLACE",IF(L424&gt;0.6,"REPLACE",IF(G424&gt;=15,"REPLACE",IF(OR(G424&gt;=11,L424&gt;0.4),"MONITOR","KEEP"))))</f>
        <v>MONITOR</v>
      </c>
      <c r="O424" s="188" t="str">
        <f aca="false">IF(G424&gt;=20,"End of life (age &gt; 20)",IF(L424&gt;0.6,"Repairs exceed 60% of revenue",IF(G424&gt;=15,"Age 15+ → replace",IF(OR(G424&gt;=11,L424&gt;0.4),"Watch costs; plan replacement","Healthy — continue operating"))))</f>
        <v>Watch costs; plan replacement</v>
      </c>
      <c r="P424" s="188" t="str">
        <f aca="false">'Engineering Assumptions'!H41</f>
        <v>20T class HYUNDAI R220 / CAT 320 ~Rs. 38–48M</v>
      </c>
    </row>
    <row r="425" customFormat="false" ht="15" hidden="false" customHeight="true" outlineLevel="0" collapsed="false">
      <c r="A425" s="9" t="n">
        <v>397</v>
      </c>
      <c r="B425" s="184" t="s">
        <v>139</v>
      </c>
      <c r="C425" s="184" t="s">
        <v>2452</v>
      </c>
      <c r="D425" s="184" t="s">
        <v>1161</v>
      </c>
      <c r="E425" s="184"/>
      <c r="F425" s="45" t="s">
        <v>374</v>
      </c>
      <c r="G425" s="9" t="n">
        <v>12</v>
      </c>
      <c r="H425" s="185" t="n">
        <f aca="false">'Engineering Assumptions'!$F$41*0.22*1</f>
        <v>9.24</v>
      </c>
      <c r="I425" s="185" t="n">
        <f aca="false">'Engineering Assumptions'!$F$41*1</f>
        <v>42</v>
      </c>
      <c r="J425" s="12" t="n">
        <f aca="false">'Fleet Pricing'!L425</f>
        <v>798500</v>
      </c>
      <c r="K425" s="12" t="n">
        <f aca="false">'Maintenance &amp; Repair'!J425+'Maintenance &amp; Repair'!K425</f>
        <v>154920</v>
      </c>
      <c r="L425" s="186" t="n">
        <f aca="false">IFERROR(K425/J425,0)</f>
        <v>0.194013775829681</v>
      </c>
      <c r="M425" s="9" t="n">
        <f aca="false">MAX(0,'Engineering Assumptions'!$G$41-G425)</f>
        <v>3</v>
      </c>
      <c r="N425" s="187" t="str">
        <f aca="false">IF(G425&gt;=20,"REPLACE",IF(L425&gt;0.6,"REPLACE",IF(G425&gt;=15,"REPLACE",IF(OR(G425&gt;=11,L425&gt;0.4),"MONITOR","KEEP"))))</f>
        <v>MONITOR</v>
      </c>
      <c r="O425" s="188" t="str">
        <f aca="false">IF(G425&gt;=20,"End of life (age &gt; 20)",IF(L425&gt;0.6,"Repairs exceed 60% of revenue",IF(G425&gt;=15,"Age 15+ → replace",IF(OR(G425&gt;=11,L425&gt;0.4),"Watch costs; plan replacement","Healthy — continue operating"))))</f>
        <v>Watch costs; plan replacement</v>
      </c>
      <c r="P425" s="188" t="str">
        <f aca="false">'Engineering Assumptions'!H41</f>
        <v>20T class HYUNDAI R220 / CAT 320 ~Rs. 38–48M</v>
      </c>
    </row>
    <row r="426" customFormat="false" ht="15" hidden="false" customHeight="true" outlineLevel="0" collapsed="false">
      <c r="A426" s="9" t="n">
        <v>398</v>
      </c>
      <c r="B426" s="184" t="s">
        <v>139</v>
      </c>
      <c r="C426" s="184" t="s">
        <v>2453</v>
      </c>
      <c r="D426" s="184" t="s">
        <v>1163</v>
      </c>
      <c r="E426" s="184"/>
      <c r="F426" s="45" t="s">
        <v>374</v>
      </c>
      <c r="G426" s="9" t="n">
        <v>12</v>
      </c>
      <c r="H426" s="185" t="n">
        <f aca="false">'Engineering Assumptions'!$F$41*0.22*0.55</f>
        <v>5.082</v>
      </c>
      <c r="I426" s="185" t="n">
        <f aca="false">'Engineering Assumptions'!$F$41*0.55</f>
        <v>23.1</v>
      </c>
      <c r="J426" s="12" t="n">
        <f aca="false">'Fleet Pricing'!L426</f>
        <v>439500</v>
      </c>
      <c r="K426" s="12" t="n">
        <f aca="false">'Maintenance &amp; Repair'!J426+'Maintenance &amp; Repair'!K426</f>
        <v>85206</v>
      </c>
      <c r="L426" s="186" t="n">
        <f aca="false">IFERROR(K426/J426,0)</f>
        <v>0.193870307167236</v>
      </c>
      <c r="M426" s="9" t="n">
        <f aca="false">MAX(0,'Engineering Assumptions'!$G$41-G426)</f>
        <v>3</v>
      </c>
      <c r="N426" s="187" t="str">
        <f aca="false">IF(G426&gt;=20,"REPLACE",IF(L426&gt;0.6,"REPLACE",IF(G426&gt;=15,"REPLACE",IF(OR(G426&gt;=11,L426&gt;0.4),"MONITOR","KEEP"))))</f>
        <v>MONITOR</v>
      </c>
      <c r="O426" s="188" t="str">
        <f aca="false">IF(G426&gt;=20,"End of life (age &gt; 20)",IF(L426&gt;0.6,"Repairs exceed 60% of revenue",IF(G426&gt;=15,"Age 15+ → replace",IF(OR(G426&gt;=11,L426&gt;0.4),"Watch costs; plan replacement","Healthy — continue operating"))))</f>
        <v>Watch costs; plan replacement</v>
      </c>
      <c r="P426" s="188" t="str">
        <f aca="false">'Engineering Assumptions'!H41</f>
        <v>20T class HYUNDAI R220 / CAT 320 ~Rs. 38–48M</v>
      </c>
    </row>
    <row r="427" customFormat="false" ht="15" hidden="false" customHeight="true" outlineLevel="0" collapsed="false">
      <c r="A427" s="9" t="n">
        <v>399</v>
      </c>
      <c r="B427" s="184" t="s">
        <v>139</v>
      </c>
      <c r="C427" s="184" t="s">
        <v>2454</v>
      </c>
      <c r="D427" s="184" t="s">
        <v>1165</v>
      </c>
      <c r="E427" s="184"/>
      <c r="F427" s="45" t="s">
        <v>380</v>
      </c>
      <c r="G427" s="9" t="n">
        <v>13</v>
      </c>
      <c r="H427" s="185" t="n">
        <f aca="false">'Engineering Assumptions'!$F$41*0.12*0.85</f>
        <v>4.284</v>
      </c>
      <c r="I427" s="185" t="n">
        <f aca="false">'Engineering Assumptions'!$F$41*0.85</f>
        <v>35.7</v>
      </c>
      <c r="J427" s="12" t="n">
        <f aca="false">'Fleet Pricing'!L427</f>
        <v>679500</v>
      </c>
      <c r="K427" s="12" t="n">
        <f aca="false">'Maintenance &amp; Repair'!J427+'Maintenance &amp; Repair'!K427</f>
        <v>131682</v>
      </c>
      <c r="L427" s="186" t="n">
        <f aca="false">IFERROR(K427/J427,0)</f>
        <v>0.193792494481236</v>
      </c>
      <c r="M427" s="9" t="n">
        <f aca="false">MAX(0,'Engineering Assumptions'!$G$41-G427)</f>
        <v>2</v>
      </c>
      <c r="N427" s="187" t="str">
        <f aca="false">IF(G427&gt;=20,"REPLACE",IF(L427&gt;0.6,"REPLACE",IF(G427&gt;=15,"REPLACE",IF(OR(G427&gt;=11,L427&gt;0.4),"MONITOR","KEEP"))))</f>
        <v>MONITOR</v>
      </c>
      <c r="O427" s="188" t="str">
        <f aca="false">IF(G427&gt;=20,"End of life (age &gt; 20)",IF(L427&gt;0.6,"Repairs exceed 60% of revenue",IF(G427&gt;=15,"Age 15+ → replace",IF(OR(G427&gt;=11,L427&gt;0.4),"Watch costs; plan replacement","Healthy — continue operating"))))</f>
        <v>Watch costs; plan replacement</v>
      </c>
      <c r="P427" s="188" t="str">
        <f aca="false">'Engineering Assumptions'!H41</f>
        <v>20T class HYUNDAI R220 / CAT 320 ~Rs. 38–48M</v>
      </c>
    </row>
    <row r="428" customFormat="false" ht="15" hidden="false" customHeight="true" outlineLevel="0" collapsed="false">
      <c r="A428" s="9" t="n">
        <v>400</v>
      </c>
      <c r="B428" s="184" t="s">
        <v>139</v>
      </c>
      <c r="C428" s="184" t="s">
        <v>2455</v>
      </c>
      <c r="D428" s="184" t="s">
        <v>1169</v>
      </c>
      <c r="E428" s="184"/>
      <c r="F428" s="45" t="s">
        <v>380</v>
      </c>
      <c r="G428" s="9" t="n">
        <v>13</v>
      </c>
      <c r="H428" s="185" t="n">
        <f aca="false">'Engineering Assumptions'!$F$41*0.12*0.55</f>
        <v>2.772</v>
      </c>
      <c r="I428" s="185" t="n">
        <f aca="false">'Engineering Assumptions'!$F$41*0.55</f>
        <v>23.1</v>
      </c>
      <c r="J428" s="12" t="n">
        <f aca="false">'Fleet Pricing'!L428</f>
        <v>439500</v>
      </c>
      <c r="K428" s="12" t="n">
        <f aca="false">'Maintenance &amp; Repair'!J428+'Maintenance &amp; Repair'!K428</f>
        <v>85206</v>
      </c>
      <c r="L428" s="186" t="n">
        <f aca="false">IFERROR(K428/J428,0)</f>
        <v>0.193870307167236</v>
      </c>
      <c r="M428" s="9" t="n">
        <f aca="false">MAX(0,'Engineering Assumptions'!$G$41-G428)</f>
        <v>2</v>
      </c>
      <c r="N428" s="187" t="str">
        <f aca="false">IF(G428&gt;=20,"REPLACE",IF(L428&gt;0.6,"REPLACE",IF(G428&gt;=15,"REPLACE",IF(OR(G428&gt;=11,L428&gt;0.4),"MONITOR","KEEP"))))</f>
        <v>MONITOR</v>
      </c>
      <c r="O428" s="188" t="str">
        <f aca="false">IF(G428&gt;=20,"End of life (age &gt; 20)",IF(L428&gt;0.6,"Repairs exceed 60% of revenue",IF(G428&gt;=15,"Age 15+ → replace",IF(OR(G428&gt;=11,L428&gt;0.4),"Watch costs; plan replacement","Healthy — continue operating"))))</f>
        <v>Watch costs; plan replacement</v>
      </c>
      <c r="P428" s="188" t="str">
        <f aca="false">'Engineering Assumptions'!H41</f>
        <v>20T class HYUNDAI R220 / CAT 320 ~Rs. 38–48M</v>
      </c>
    </row>
    <row r="429" customFormat="false" ht="15" hidden="false" customHeight="true" outlineLevel="0" collapsed="false">
      <c r="A429" s="9" t="n">
        <v>401</v>
      </c>
      <c r="B429" s="184" t="s">
        <v>139</v>
      </c>
      <c r="C429" s="184" t="s">
        <v>2456</v>
      </c>
      <c r="D429" s="184" t="s">
        <v>1171</v>
      </c>
      <c r="E429" s="184"/>
      <c r="F429" s="45" t="s">
        <v>380</v>
      </c>
      <c r="G429" s="9" t="n">
        <v>13</v>
      </c>
      <c r="H429" s="185" t="n">
        <f aca="false">'Engineering Assumptions'!$F$41*0.12*1.05</f>
        <v>5.292</v>
      </c>
      <c r="I429" s="185" t="n">
        <f aca="false">'Engineering Assumptions'!$F$41*1.05</f>
        <v>44.1</v>
      </c>
      <c r="J429" s="12" t="n">
        <f aca="false">'Fleet Pricing'!L429</f>
        <v>838500</v>
      </c>
      <c r="K429" s="12" t="n">
        <f aca="false">'Maintenance &amp; Repair'!J429+'Maintenance &amp; Repair'!K429</f>
        <v>162666</v>
      </c>
      <c r="L429" s="186" t="n">
        <f aca="false">IFERROR(K429/J429,0)</f>
        <v>0.193996422182469</v>
      </c>
      <c r="M429" s="9" t="n">
        <f aca="false">MAX(0,'Engineering Assumptions'!$G$41-G429)</f>
        <v>2</v>
      </c>
      <c r="N429" s="187" t="str">
        <f aca="false">IF(G429&gt;=20,"REPLACE",IF(L429&gt;0.6,"REPLACE",IF(G429&gt;=15,"REPLACE",IF(OR(G429&gt;=11,L429&gt;0.4),"MONITOR","KEEP"))))</f>
        <v>MONITOR</v>
      </c>
      <c r="O429" s="188" t="str">
        <f aca="false">IF(G429&gt;=20,"End of life (age &gt; 20)",IF(L429&gt;0.6,"Repairs exceed 60% of revenue",IF(G429&gt;=15,"Age 15+ → replace",IF(OR(G429&gt;=11,L429&gt;0.4),"Watch costs; plan replacement","Healthy — continue operating"))))</f>
        <v>Watch costs; plan replacement</v>
      </c>
      <c r="P429" s="188" t="str">
        <f aca="false">'Engineering Assumptions'!H41</f>
        <v>20T class HYUNDAI R220 / CAT 320 ~Rs. 38–48M</v>
      </c>
    </row>
    <row r="430" customFormat="false" ht="15" hidden="false" customHeight="true" outlineLevel="0" collapsed="false">
      <c r="A430" s="9" t="n">
        <v>402</v>
      </c>
      <c r="B430" s="184" t="s">
        <v>139</v>
      </c>
      <c r="C430" s="184" t="s">
        <v>2457</v>
      </c>
      <c r="D430" s="184" t="s">
        <v>1174</v>
      </c>
      <c r="E430" s="184"/>
      <c r="F430" s="45" t="s">
        <v>310</v>
      </c>
      <c r="G430" s="9" t="n">
        <v>14</v>
      </c>
      <c r="H430" s="185" t="n">
        <f aca="false">'Engineering Assumptions'!$F$41*0.12*0.85</f>
        <v>4.284</v>
      </c>
      <c r="I430" s="185" t="n">
        <f aca="false">'Engineering Assumptions'!$F$41*0.85</f>
        <v>35.7</v>
      </c>
      <c r="J430" s="12" t="n">
        <f aca="false">'Fleet Pricing'!L430</f>
        <v>679500</v>
      </c>
      <c r="K430" s="12" t="n">
        <f aca="false">'Maintenance &amp; Repair'!J430+'Maintenance &amp; Repair'!K430</f>
        <v>131682</v>
      </c>
      <c r="L430" s="186" t="n">
        <f aca="false">IFERROR(K430/J430,0)</f>
        <v>0.193792494481236</v>
      </c>
      <c r="M430" s="9" t="n">
        <f aca="false">MAX(0,'Engineering Assumptions'!$G$41-G430)</f>
        <v>1</v>
      </c>
      <c r="N430" s="187" t="str">
        <f aca="false">IF(G430&gt;=20,"REPLACE",IF(L430&gt;0.6,"REPLACE",IF(G430&gt;=15,"REPLACE",IF(OR(G430&gt;=11,L430&gt;0.4),"MONITOR","KEEP"))))</f>
        <v>MONITOR</v>
      </c>
      <c r="O430" s="188" t="str">
        <f aca="false">IF(G430&gt;=20,"End of life (age &gt; 20)",IF(L430&gt;0.6,"Repairs exceed 60% of revenue",IF(G430&gt;=15,"Age 15+ → replace",IF(OR(G430&gt;=11,L430&gt;0.4),"Watch costs; plan replacement","Healthy — continue operating"))))</f>
        <v>Watch costs; plan replacement</v>
      </c>
      <c r="P430" s="188" t="str">
        <f aca="false">'Engineering Assumptions'!H41</f>
        <v>20T class HYUNDAI R220 / CAT 320 ~Rs. 38–48M</v>
      </c>
    </row>
    <row r="431" customFormat="false" ht="15" hidden="false" customHeight="true" outlineLevel="0" collapsed="false">
      <c r="A431" s="9" t="n">
        <v>403</v>
      </c>
      <c r="B431" s="184" t="s">
        <v>139</v>
      </c>
      <c r="C431" s="184" t="s">
        <v>2458</v>
      </c>
      <c r="D431" s="184" t="s">
        <v>1176</v>
      </c>
      <c r="E431" s="184"/>
      <c r="F431" s="45" t="s">
        <v>310</v>
      </c>
      <c r="G431" s="9" t="n">
        <v>14</v>
      </c>
      <c r="H431" s="185" t="n">
        <f aca="false">'Engineering Assumptions'!$F$41*0.12*0.55</f>
        <v>2.772</v>
      </c>
      <c r="I431" s="185" t="n">
        <f aca="false">'Engineering Assumptions'!$F$41*0.55</f>
        <v>23.1</v>
      </c>
      <c r="J431" s="12" t="n">
        <f aca="false">'Fleet Pricing'!L431</f>
        <v>439500</v>
      </c>
      <c r="K431" s="12" t="n">
        <f aca="false">'Maintenance &amp; Repair'!J431+'Maintenance &amp; Repair'!K431</f>
        <v>85206</v>
      </c>
      <c r="L431" s="186" t="n">
        <f aca="false">IFERROR(K431/J431,0)</f>
        <v>0.193870307167236</v>
      </c>
      <c r="M431" s="9" t="n">
        <f aca="false">MAX(0,'Engineering Assumptions'!$G$41-G431)</f>
        <v>1</v>
      </c>
      <c r="N431" s="187" t="str">
        <f aca="false">IF(G431&gt;=20,"REPLACE",IF(L431&gt;0.6,"REPLACE",IF(G431&gt;=15,"REPLACE",IF(OR(G431&gt;=11,L431&gt;0.4),"MONITOR","KEEP"))))</f>
        <v>MONITOR</v>
      </c>
      <c r="O431" s="188" t="str">
        <f aca="false">IF(G431&gt;=20,"End of life (age &gt; 20)",IF(L431&gt;0.6,"Repairs exceed 60% of revenue",IF(G431&gt;=15,"Age 15+ → replace",IF(OR(G431&gt;=11,L431&gt;0.4),"Watch costs; plan replacement","Healthy — continue operating"))))</f>
        <v>Watch costs; plan replacement</v>
      </c>
      <c r="P431" s="188" t="str">
        <f aca="false">'Engineering Assumptions'!H41</f>
        <v>20T class HYUNDAI R220 / CAT 320 ~Rs. 38–48M</v>
      </c>
    </row>
    <row r="432" customFormat="false" ht="15" hidden="false" customHeight="true" outlineLevel="0" collapsed="false">
      <c r="A432" s="9" t="n">
        <v>404</v>
      </c>
      <c r="B432" s="184" t="s">
        <v>139</v>
      </c>
      <c r="C432" s="184" t="s">
        <v>2459</v>
      </c>
      <c r="D432" s="184" t="s">
        <v>1178</v>
      </c>
      <c r="E432" s="184"/>
      <c r="F432" s="45" t="s">
        <v>310</v>
      </c>
      <c r="G432" s="9" t="n">
        <v>14</v>
      </c>
      <c r="H432" s="185" t="n">
        <f aca="false">'Engineering Assumptions'!$F$41*0.12*0.7</f>
        <v>3.528</v>
      </c>
      <c r="I432" s="185" t="n">
        <f aca="false">'Engineering Assumptions'!$F$41*0.7</f>
        <v>29.4</v>
      </c>
      <c r="J432" s="12" t="n">
        <f aca="false">'Fleet Pricing'!L432</f>
        <v>559000</v>
      </c>
      <c r="K432" s="12" t="n">
        <f aca="false">'Maintenance &amp; Repair'!J432+'Maintenance &amp; Repair'!K432</f>
        <v>108444</v>
      </c>
      <c r="L432" s="186" t="n">
        <f aca="false">IFERROR(K432/J432,0)</f>
        <v>0.193996422182469</v>
      </c>
      <c r="M432" s="9" t="n">
        <f aca="false">MAX(0,'Engineering Assumptions'!$G$41-G432)</f>
        <v>1</v>
      </c>
      <c r="N432" s="187" t="str">
        <f aca="false">IF(G432&gt;=20,"REPLACE",IF(L432&gt;0.6,"REPLACE",IF(G432&gt;=15,"REPLACE",IF(OR(G432&gt;=11,L432&gt;0.4),"MONITOR","KEEP"))))</f>
        <v>MONITOR</v>
      </c>
      <c r="O432" s="188" t="str">
        <f aca="false">IF(G432&gt;=20,"End of life (age &gt; 20)",IF(L432&gt;0.6,"Repairs exceed 60% of revenue",IF(G432&gt;=15,"Age 15+ → replace",IF(OR(G432&gt;=11,L432&gt;0.4),"Watch costs; plan replacement","Healthy — continue operating"))))</f>
        <v>Watch costs; plan replacement</v>
      </c>
      <c r="P432" s="188" t="str">
        <f aca="false">'Engineering Assumptions'!H41</f>
        <v>20T class HYUNDAI R220 / CAT 320 ~Rs. 38–48M</v>
      </c>
    </row>
    <row r="433" customFormat="false" ht="15" hidden="false" customHeight="true" outlineLevel="0" collapsed="false">
      <c r="A433" s="9" t="n">
        <v>405</v>
      </c>
      <c r="B433" s="184" t="s">
        <v>139</v>
      </c>
      <c r="C433" s="184" t="s">
        <v>2460</v>
      </c>
      <c r="D433" s="184" t="s">
        <v>1180</v>
      </c>
      <c r="E433" s="184"/>
      <c r="F433" s="45" t="s">
        <v>748</v>
      </c>
      <c r="G433" s="9" t="n">
        <v>15</v>
      </c>
      <c r="H433" s="185" t="n">
        <f aca="false">'Engineering Assumptions'!$F$41*0.12*0.85</f>
        <v>4.284</v>
      </c>
      <c r="I433" s="185" t="n">
        <f aca="false">'Engineering Assumptions'!$F$41*0.85</f>
        <v>35.7</v>
      </c>
      <c r="J433" s="12" t="n">
        <f aca="false">'Fleet Pricing'!L433</f>
        <v>679500</v>
      </c>
      <c r="K433" s="12" t="n">
        <f aca="false">'Maintenance &amp; Repair'!J433+'Maintenance &amp; Repair'!K433</f>
        <v>131682</v>
      </c>
      <c r="L433" s="186" t="n">
        <f aca="false">IFERROR(K433/J433,0)</f>
        <v>0.193792494481236</v>
      </c>
      <c r="M433" s="9" t="n">
        <f aca="false">MAX(0,'Engineering Assumptions'!$G$41-G433)</f>
        <v>0</v>
      </c>
      <c r="N433" s="187" t="str">
        <f aca="false">IF(G433&gt;=20,"REPLACE",IF(L433&gt;0.6,"REPLACE",IF(G433&gt;=15,"REPLACE",IF(OR(G433&gt;=11,L433&gt;0.4),"MONITOR","KEEP"))))</f>
        <v>REPLACE</v>
      </c>
      <c r="O433" s="188" t="str">
        <f aca="false">IF(G433&gt;=20,"End of life (age &gt; 20)",IF(L433&gt;0.6,"Repairs exceed 60% of revenue",IF(G433&gt;=15,"Age 15+ → replace",IF(OR(G433&gt;=11,L433&gt;0.4),"Watch costs; plan replacement","Healthy — continue operating"))))</f>
        <v>Age 15+ → replace</v>
      </c>
      <c r="P433" s="188" t="str">
        <f aca="false">'Engineering Assumptions'!H41</f>
        <v>20T class HYUNDAI R220 / CAT 320 ~Rs. 38–48M</v>
      </c>
    </row>
    <row r="434" customFormat="false" ht="15" hidden="false" customHeight="true" outlineLevel="0" collapsed="false">
      <c r="A434" s="9" t="n">
        <v>406</v>
      </c>
      <c r="B434" s="184" t="s">
        <v>139</v>
      </c>
      <c r="C434" s="184" t="s">
        <v>2461</v>
      </c>
      <c r="D434" s="184" t="s">
        <v>1183</v>
      </c>
      <c r="E434" s="184"/>
      <c r="F434" s="45" t="s">
        <v>389</v>
      </c>
      <c r="G434" s="9" t="n">
        <v>16</v>
      </c>
      <c r="H434" s="185" t="n">
        <f aca="false">'Engineering Assumptions'!$F$41*0.12*1</f>
        <v>5.04</v>
      </c>
      <c r="I434" s="185" t="n">
        <f aca="false">'Engineering Assumptions'!$F$41*1</f>
        <v>42</v>
      </c>
      <c r="J434" s="12" t="n">
        <f aca="false">'Fleet Pricing'!L434</f>
        <v>798500</v>
      </c>
      <c r="K434" s="12" t="n">
        <f aca="false">'Maintenance &amp; Repair'!J434+'Maintenance &amp; Repair'!K434</f>
        <v>219960</v>
      </c>
      <c r="L434" s="186" t="n">
        <f aca="false">IFERROR(K434/J434,0)</f>
        <v>0.275466499686913</v>
      </c>
      <c r="M434" s="9" t="n">
        <f aca="false">MAX(0,'Engineering Assumptions'!$G$41-G434)</f>
        <v>0</v>
      </c>
      <c r="N434" s="187" t="str">
        <f aca="false">IF(G434&gt;=20,"REPLACE",IF(L434&gt;0.6,"REPLACE",IF(G434&gt;=15,"REPLACE",IF(OR(G434&gt;=11,L434&gt;0.4),"MONITOR","KEEP"))))</f>
        <v>REPLACE</v>
      </c>
      <c r="O434" s="188" t="str">
        <f aca="false">IF(G434&gt;=20,"End of life (age &gt; 20)",IF(L434&gt;0.6,"Repairs exceed 60% of revenue",IF(G434&gt;=15,"Age 15+ → replace",IF(OR(G434&gt;=11,L434&gt;0.4),"Watch costs; plan replacement","Healthy — continue operating"))))</f>
        <v>Age 15+ → replace</v>
      </c>
      <c r="P434" s="188" t="str">
        <f aca="false">'Engineering Assumptions'!H41</f>
        <v>20T class HYUNDAI R220 / CAT 320 ~Rs. 38–48M</v>
      </c>
    </row>
    <row r="435" customFormat="false" ht="15" hidden="false" customHeight="true" outlineLevel="0" collapsed="false">
      <c r="A435" s="9" t="n">
        <v>407</v>
      </c>
      <c r="B435" s="184" t="s">
        <v>139</v>
      </c>
      <c r="C435" s="184" t="s">
        <v>2460</v>
      </c>
      <c r="D435" s="184" t="s">
        <v>1185</v>
      </c>
      <c r="E435" s="184"/>
      <c r="F435" s="45" t="s">
        <v>389</v>
      </c>
      <c r="G435" s="9" t="n">
        <v>16</v>
      </c>
      <c r="H435" s="185" t="n">
        <f aca="false">'Engineering Assumptions'!$F$41*0.12*0.85</f>
        <v>4.284</v>
      </c>
      <c r="I435" s="185" t="n">
        <f aca="false">'Engineering Assumptions'!$F$41*0.85</f>
        <v>35.7</v>
      </c>
      <c r="J435" s="12" t="n">
        <f aca="false">'Fleet Pricing'!L435</f>
        <v>679500</v>
      </c>
      <c r="K435" s="12" t="n">
        <f aca="false">'Maintenance &amp; Repair'!J435+'Maintenance &amp; Repair'!K435</f>
        <v>186966</v>
      </c>
      <c r="L435" s="186" t="n">
        <f aca="false">IFERROR(K435/J435,0)</f>
        <v>0.275152317880795</v>
      </c>
      <c r="M435" s="9" t="n">
        <f aca="false">MAX(0,'Engineering Assumptions'!$G$41-G435)</f>
        <v>0</v>
      </c>
      <c r="N435" s="187" t="str">
        <f aca="false">IF(G435&gt;=20,"REPLACE",IF(L435&gt;0.6,"REPLACE",IF(G435&gt;=15,"REPLACE",IF(OR(G435&gt;=11,L435&gt;0.4),"MONITOR","KEEP"))))</f>
        <v>REPLACE</v>
      </c>
      <c r="O435" s="188" t="str">
        <f aca="false">IF(G435&gt;=20,"End of life (age &gt; 20)",IF(L435&gt;0.6,"Repairs exceed 60% of revenue",IF(G435&gt;=15,"Age 15+ → replace",IF(OR(G435&gt;=11,L435&gt;0.4),"Watch costs; plan replacement","Healthy — continue operating"))))</f>
        <v>Age 15+ → replace</v>
      </c>
      <c r="P435" s="188" t="str">
        <f aca="false">'Engineering Assumptions'!H41</f>
        <v>20T class HYUNDAI R220 / CAT 320 ~Rs. 38–48M</v>
      </c>
    </row>
    <row r="436" customFormat="false" ht="15" hidden="false" customHeight="true" outlineLevel="0" collapsed="false">
      <c r="A436" s="9" t="n">
        <v>408</v>
      </c>
      <c r="B436" s="184" t="s">
        <v>139</v>
      </c>
      <c r="C436" s="184" t="s">
        <v>2462</v>
      </c>
      <c r="D436" s="184" t="s">
        <v>1186</v>
      </c>
      <c r="E436" s="184"/>
      <c r="F436" s="45" t="s">
        <v>389</v>
      </c>
      <c r="G436" s="9" t="n">
        <v>16</v>
      </c>
      <c r="H436" s="185" t="n">
        <f aca="false">'Engineering Assumptions'!$F$41*0.12*0.55</f>
        <v>2.772</v>
      </c>
      <c r="I436" s="185" t="n">
        <f aca="false">'Engineering Assumptions'!$F$41*0.55</f>
        <v>23.1</v>
      </c>
      <c r="J436" s="12" t="n">
        <f aca="false">'Fleet Pricing'!L436</f>
        <v>439500</v>
      </c>
      <c r="K436" s="12" t="n">
        <f aca="false">'Maintenance &amp; Repair'!J436+'Maintenance &amp; Repair'!K436</f>
        <v>120978</v>
      </c>
      <c r="L436" s="186" t="n">
        <f aca="false">IFERROR(K436/J436,0)</f>
        <v>0.275262798634812</v>
      </c>
      <c r="M436" s="9" t="n">
        <f aca="false">MAX(0,'Engineering Assumptions'!$G$41-G436)</f>
        <v>0</v>
      </c>
      <c r="N436" s="187" t="str">
        <f aca="false">IF(G436&gt;=20,"REPLACE",IF(L436&gt;0.6,"REPLACE",IF(G436&gt;=15,"REPLACE",IF(OR(G436&gt;=11,L436&gt;0.4),"MONITOR","KEEP"))))</f>
        <v>REPLACE</v>
      </c>
      <c r="O436" s="188" t="str">
        <f aca="false">IF(G436&gt;=20,"End of life (age &gt; 20)",IF(L436&gt;0.6,"Repairs exceed 60% of revenue",IF(G436&gt;=15,"Age 15+ → replace",IF(OR(G436&gt;=11,L436&gt;0.4),"Watch costs; plan replacement","Healthy — continue operating"))))</f>
        <v>Age 15+ → replace</v>
      </c>
      <c r="P436" s="188" t="str">
        <f aca="false">'Engineering Assumptions'!H41</f>
        <v>20T class HYUNDAI R220 / CAT 320 ~Rs. 38–48M</v>
      </c>
    </row>
    <row r="437" customFormat="false" ht="15" hidden="false" customHeight="true" outlineLevel="0" collapsed="false">
      <c r="A437" s="9" t="n">
        <v>409</v>
      </c>
      <c r="B437" s="184" t="s">
        <v>139</v>
      </c>
      <c r="C437" s="184" t="s">
        <v>2463</v>
      </c>
      <c r="D437" s="184" t="s">
        <v>1188</v>
      </c>
      <c r="E437" s="184"/>
      <c r="F437" s="45" t="s">
        <v>392</v>
      </c>
      <c r="G437" s="9" t="n">
        <v>17</v>
      </c>
      <c r="H437" s="185" t="n">
        <f aca="false">'Engineering Assumptions'!$F$41*0.12*0.7</f>
        <v>3.528</v>
      </c>
      <c r="I437" s="185" t="n">
        <f aca="false">'Engineering Assumptions'!$F$41*0.7</f>
        <v>29.4</v>
      </c>
      <c r="J437" s="12" t="n">
        <f aca="false">'Fleet Pricing'!L437</f>
        <v>490500</v>
      </c>
      <c r="K437" s="12" t="n">
        <f aca="false">'Maintenance &amp; Repair'!J437+'Maintenance &amp; Repair'!K437</f>
        <v>153972</v>
      </c>
      <c r="L437" s="186" t="n">
        <f aca="false">IFERROR(K437/J437,0)</f>
        <v>0.313908256880734</v>
      </c>
      <c r="M437" s="9" t="n">
        <f aca="false">MAX(0,'Engineering Assumptions'!$G$41-G437)</f>
        <v>0</v>
      </c>
      <c r="N437" s="187" t="str">
        <f aca="false">IF(G437&gt;=20,"REPLACE",IF(L437&gt;0.6,"REPLACE",IF(G437&gt;=15,"REPLACE",IF(OR(G437&gt;=11,L437&gt;0.4),"MONITOR","KEEP"))))</f>
        <v>REPLACE</v>
      </c>
      <c r="O437" s="188" t="str">
        <f aca="false">IF(G437&gt;=20,"End of life (age &gt; 20)",IF(L437&gt;0.6,"Repairs exceed 60% of revenue",IF(G437&gt;=15,"Age 15+ → replace",IF(OR(G437&gt;=11,L437&gt;0.4),"Watch costs; plan replacement","Healthy — continue operating"))))</f>
        <v>Age 15+ → replace</v>
      </c>
      <c r="P437" s="188" t="str">
        <f aca="false">'Engineering Assumptions'!H41</f>
        <v>20T class HYUNDAI R220 / CAT 320 ~Rs. 38–48M</v>
      </c>
    </row>
    <row r="438" customFormat="false" ht="15" hidden="false" customHeight="true" outlineLevel="0" collapsed="false">
      <c r="A438" s="9" t="n">
        <v>410</v>
      </c>
      <c r="B438" s="184" t="s">
        <v>139</v>
      </c>
      <c r="C438" s="184" t="s">
        <v>2464</v>
      </c>
      <c r="D438" s="184" t="s">
        <v>1191</v>
      </c>
      <c r="E438" s="184"/>
      <c r="F438" s="45" t="s">
        <v>392</v>
      </c>
      <c r="G438" s="9" t="n">
        <v>17</v>
      </c>
      <c r="H438" s="185" t="n">
        <f aca="false">'Engineering Assumptions'!$F$41*0.12*0.55</f>
        <v>2.772</v>
      </c>
      <c r="I438" s="185" t="n">
        <f aca="false">'Engineering Assumptions'!$F$41*0.55</f>
        <v>23.1</v>
      </c>
      <c r="J438" s="12" t="n">
        <f aca="false">'Fleet Pricing'!L438</f>
        <v>385500</v>
      </c>
      <c r="K438" s="12" t="n">
        <f aca="false">'Maintenance &amp; Repair'!J438+'Maintenance &amp; Repair'!K438</f>
        <v>120978</v>
      </c>
      <c r="L438" s="186" t="n">
        <f aca="false">IFERROR(K438/J438,0)</f>
        <v>0.313821011673152</v>
      </c>
      <c r="M438" s="9" t="n">
        <f aca="false">MAX(0,'Engineering Assumptions'!$G$41-G438)</f>
        <v>0</v>
      </c>
      <c r="N438" s="187" t="str">
        <f aca="false">IF(G438&gt;=20,"REPLACE",IF(L438&gt;0.6,"REPLACE",IF(G438&gt;=15,"REPLACE",IF(OR(G438&gt;=11,L438&gt;0.4),"MONITOR","KEEP"))))</f>
        <v>REPLACE</v>
      </c>
      <c r="O438" s="188" t="str">
        <f aca="false">IF(G438&gt;=20,"End of life (age &gt; 20)",IF(L438&gt;0.6,"Repairs exceed 60% of revenue",IF(G438&gt;=15,"Age 15+ → replace",IF(OR(G438&gt;=11,L438&gt;0.4),"Watch costs; plan replacement","Healthy — continue operating"))))</f>
        <v>Age 15+ → replace</v>
      </c>
      <c r="P438" s="188" t="str">
        <f aca="false">'Engineering Assumptions'!H41</f>
        <v>20T class HYUNDAI R220 / CAT 320 ~Rs. 38–48M</v>
      </c>
    </row>
    <row r="439" customFormat="false" ht="15" hidden="false" customHeight="true" outlineLevel="0" collapsed="false">
      <c r="A439" s="9" t="n">
        <v>411</v>
      </c>
      <c r="B439" s="184" t="s">
        <v>139</v>
      </c>
      <c r="C439" s="184" t="s">
        <v>2465</v>
      </c>
      <c r="D439" s="184" t="s">
        <v>1194</v>
      </c>
      <c r="E439" s="184"/>
      <c r="F439" s="45" t="s">
        <v>392</v>
      </c>
      <c r="G439" s="9" t="n">
        <v>17</v>
      </c>
      <c r="H439" s="185" t="n">
        <f aca="false">'Engineering Assumptions'!$F$41*0.12*0.55</f>
        <v>2.772</v>
      </c>
      <c r="I439" s="185" t="n">
        <f aca="false">'Engineering Assumptions'!$F$41*0.55</f>
        <v>23.1</v>
      </c>
      <c r="J439" s="12" t="n">
        <f aca="false">'Fleet Pricing'!L439</f>
        <v>385500</v>
      </c>
      <c r="K439" s="12" t="n">
        <f aca="false">'Maintenance &amp; Repair'!J439+'Maintenance &amp; Repair'!K439</f>
        <v>120978</v>
      </c>
      <c r="L439" s="186" t="n">
        <f aca="false">IFERROR(K439/J439,0)</f>
        <v>0.313821011673152</v>
      </c>
      <c r="M439" s="9" t="n">
        <f aca="false">MAX(0,'Engineering Assumptions'!$G$41-G439)</f>
        <v>0</v>
      </c>
      <c r="N439" s="187" t="str">
        <f aca="false">IF(G439&gt;=20,"REPLACE",IF(L439&gt;0.6,"REPLACE",IF(G439&gt;=15,"REPLACE",IF(OR(G439&gt;=11,L439&gt;0.4),"MONITOR","KEEP"))))</f>
        <v>REPLACE</v>
      </c>
      <c r="O439" s="188" t="str">
        <f aca="false">IF(G439&gt;=20,"End of life (age &gt; 20)",IF(L439&gt;0.6,"Repairs exceed 60% of revenue",IF(G439&gt;=15,"Age 15+ → replace",IF(OR(G439&gt;=11,L439&gt;0.4),"Watch costs; plan replacement","Healthy — continue operating"))))</f>
        <v>Age 15+ → replace</v>
      </c>
      <c r="P439" s="188" t="str">
        <f aca="false">'Engineering Assumptions'!H41</f>
        <v>20T class HYUNDAI R220 / CAT 320 ~Rs. 38–48M</v>
      </c>
    </row>
    <row r="440" customFormat="false" ht="15" hidden="false" customHeight="true" outlineLevel="0" collapsed="false">
      <c r="A440" s="9" t="n">
        <v>412</v>
      </c>
      <c r="B440" s="184" t="s">
        <v>139</v>
      </c>
      <c r="C440" s="184" t="s">
        <v>2466</v>
      </c>
      <c r="D440" s="184" t="s">
        <v>1196</v>
      </c>
      <c r="E440" s="184"/>
      <c r="F440" s="45" t="s">
        <v>392</v>
      </c>
      <c r="G440" s="9" t="n">
        <v>17</v>
      </c>
      <c r="H440" s="185" t="n">
        <f aca="false">'Engineering Assumptions'!$F$41*0.12*1</f>
        <v>5.04</v>
      </c>
      <c r="I440" s="185" t="n">
        <f aca="false">'Engineering Assumptions'!$F$41*1</f>
        <v>42</v>
      </c>
      <c r="J440" s="12" t="n">
        <f aca="false">'Fleet Pricing'!L440</f>
        <v>702000</v>
      </c>
      <c r="K440" s="12" t="n">
        <f aca="false">'Maintenance &amp; Repair'!J440+'Maintenance &amp; Repair'!K440</f>
        <v>219960</v>
      </c>
      <c r="L440" s="186" t="n">
        <f aca="false">IFERROR(K440/J440,0)</f>
        <v>0.313333333333333</v>
      </c>
      <c r="M440" s="9" t="n">
        <f aca="false">MAX(0,'Engineering Assumptions'!$G$41-G440)</f>
        <v>0</v>
      </c>
      <c r="N440" s="187" t="str">
        <f aca="false">IF(G440&gt;=20,"REPLACE",IF(L440&gt;0.6,"REPLACE",IF(G440&gt;=15,"REPLACE",IF(OR(G440&gt;=11,L440&gt;0.4),"MONITOR","KEEP"))))</f>
        <v>REPLACE</v>
      </c>
      <c r="O440" s="188" t="str">
        <f aca="false">IF(G440&gt;=20,"End of life (age &gt; 20)",IF(L440&gt;0.6,"Repairs exceed 60% of revenue",IF(G440&gt;=15,"Age 15+ → replace",IF(OR(G440&gt;=11,L440&gt;0.4),"Watch costs; plan replacement","Healthy — continue operating"))))</f>
        <v>Age 15+ → replace</v>
      </c>
      <c r="P440" s="188" t="str">
        <f aca="false">'Engineering Assumptions'!H41</f>
        <v>20T class HYUNDAI R220 / CAT 320 ~Rs. 38–48M</v>
      </c>
    </row>
    <row r="441" customFormat="false" ht="15" hidden="false" customHeight="true" outlineLevel="0" collapsed="false">
      <c r="A441" s="9" t="n">
        <v>413</v>
      </c>
      <c r="B441" s="184" t="s">
        <v>139</v>
      </c>
      <c r="C441" s="184" t="s">
        <v>2467</v>
      </c>
      <c r="D441" s="184" t="s">
        <v>1198</v>
      </c>
      <c r="E441" s="184"/>
      <c r="F441" s="45" t="s">
        <v>392</v>
      </c>
      <c r="G441" s="9" t="n">
        <v>17</v>
      </c>
      <c r="H441" s="185" t="n">
        <f aca="false">'Engineering Assumptions'!$F$41*0.12*0.55</f>
        <v>2.772</v>
      </c>
      <c r="I441" s="185" t="n">
        <f aca="false">'Engineering Assumptions'!$F$41*0.55</f>
        <v>23.1</v>
      </c>
      <c r="J441" s="12" t="n">
        <f aca="false">'Fleet Pricing'!L441</f>
        <v>385500</v>
      </c>
      <c r="K441" s="12" t="n">
        <f aca="false">'Maintenance &amp; Repair'!J441+'Maintenance &amp; Repair'!K441</f>
        <v>120978</v>
      </c>
      <c r="L441" s="186" t="n">
        <f aca="false">IFERROR(K441/J441,0)</f>
        <v>0.313821011673152</v>
      </c>
      <c r="M441" s="9" t="n">
        <f aca="false">MAX(0,'Engineering Assumptions'!$G$41-G441)</f>
        <v>0</v>
      </c>
      <c r="N441" s="187" t="str">
        <f aca="false">IF(G441&gt;=20,"REPLACE",IF(L441&gt;0.6,"REPLACE",IF(G441&gt;=15,"REPLACE",IF(OR(G441&gt;=11,L441&gt;0.4),"MONITOR","KEEP"))))</f>
        <v>REPLACE</v>
      </c>
      <c r="O441" s="188" t="str">
        <f aca="false">IF(G441&gt;=20,"End of life (age &gt; 20)",IF(L441&gt;0.6,"Repairs exceed 60% of revenue",IF(G441&gt;=15,"Age 15+ → replace",IF(OR(G441&gt;=11,L441&gt;0.4),"Watch costs; plan replacement","Healthy — continue operating"))))</f>
        <v>Age 15+ → replace</v>
      </c>
      <c r="P441" s="188" t="str">
        <f aca="false">'Engineering Assumptions'!H41</f>
        <v>20T class HYUNDAI R220 / CAT 320 ~Rs. 38–48M</v>
      </c>
    </row>
    <row r="442" customFormat="false" ht="15" hidden="false" customHeight="true" outlineLevel="0" collapsed="false">
      <c r="A442" s="9" t="n">
        <v>414</v>
      </c>
      <c r="B442" s="184" t="s">
        <v>139</v>
      </c>
      <c r="C442" s="184" t="s">
        <v>2313</v>
      </c>
      <c r="D442" s="184" t="s">
        <v>1200</v>
      </c>
      <c r="E442" s="184"/>
      <c r="F442" s="45" t="s">
        <v>472</v>
      </c>
      <c r="G442" s="9" t="n">
        <v>30</v>
      </c>
      <c r="H442" s="185" t="n">
        <f aca="false">'Engineering Assumptions'!$F$41*0.03*1</f>
        <v>1.26</v>
      </c>
      <c r="I442" s="185" t="n">
        <f aca="false">'Engineering Assumptions'!$F$41*1</f>
        <v>42</v>
      </c>
      <c r="J442" s="12" t="n">
        <f aca="false">'Fleet Pricing'!L442</f>
        <v>565000</v>
      </c>
      <c r="K442" s="12" t="n">
        <f aca="false">'Maintenance &amp; Repair'!J442+'Maintenance &amp; Repair'!K442</f>
        <v>296640</v>
      </c>
      <c r="L442" s="186" t="n">
        <f aca="false">IFERROR(K442/J442,0)</f>
        <v>0.525026548672566</v>
      </c>
      <c r="M442" s="9" t="n">
        <f aca="false">MAX(0,'Engineering Assumptions'!$G$41-G442)</f>
        <v>0</v>
      </c>
      <c r="N442" s="187" t="str">
        <f aca="false">IF(G442&gt;=20,"REPLACE",IF(L442&gt;0.6,"REPLACE",IF(G442&gt;=15,"REPLACE",IF(OR(G442&gt;=11,L442&gt;0.4),"MONITOR","KEEP"))))</f>
        <v>REPLACE</v>
      </c>
      <c r="O442" s="188" t="str">
        <f aca="false">IF(G442&gt;=20,"End of life (age &gt; 20)",IF(L442&gt;0.6,"Repairs exceed 60% of revenue",IF(G442&gt;=15,"Age 15+ → replace",IF(OR(G442&gt;=11,L442&gt;0.4),"Watch costs; plan replacement","Healthy — continue operating"))))</f>
        <v>End of life (age &gt; 20)</v>
      </c>
      <c r="P442" s="188" t="str">
        <f aca="false">'Engineering Assumptions'!H41</f>
        <v>20T class HYUNDAI R220 / CAT 320 ~Rs. 38–48M</v>
      </c>
    </row>
    <row r="443" customFormat="false" ht="15" hidden="false" customHeight="true" outlineLevel="0" collapsed="false">
      <c r="A443" s="9" t="n">
        <v>415</v>
      </c>
      <c r="B443" s="184" t="s">
        <v>139</v>
      </c>
      <c r="C443" s="184" t="s">
        <v>2468</v>
      </c>
      <c r="D443" s="184" t="s">
        <v>1143</v>
      </c>
      <c r="E443" s="184" t="n">
        <v>14160</v>
      </c>
      <c r="F443" s="45" t="s">
        <v>472</v>
      </c>
      <c r="G443" s="9" t="n">
        <v>30</v>
      </c>
      <c r="H443" s="185" t="n">
        <f aca="false">'Engineering Assumptions'!$F$41*0.03*1.3</f>
        <v>1.638</v>
      </c>
      <c r="I443" s="185" t="n">
        <f aca="false">'Engineering Assumptions'!$F$41*1.3</f>
        <v>54.6</v>
      </c>
      <c r="J443" s="12" t="n">
        <f aca="false">'Fleet Pricing'!L443</f>
        <v>734500</v>
      </c>
      <c r="K443" s="12" t="n">
        <f aca="false">'Maintenance &amp; Repair'!J443+'Maintenance &amp; Repair'!K443</f>
        <v>385632</v>
      </c>
      <c r="L443" s="186" t="n">
        <f aca="false">IFERROR(K443/J443,0)</f>
        <v>0.525026548672566</v>
      </c>
      <c r="M443" s="9" t="n">
        <f aca="false">MAX(0,'Engineering Assumptions'!$G$41-G443)</f>
        <v>0</v>
      </c>
      <c r="N443" s="187" t="str">
        <f aca="false">IF(G443&gt;=20,"REPLACE",IF(L443&gt;0.6,"REPLACE",IF(G443&gt;=15,"REPLACE",IF(OR(G443&gt;=11,L443&gt;0.4),"MONITOR","KEEP"))))</f>
        <v>REPLACE</v>
      </c>
      <c r="O443" s="188" t="str">
        <f aca="false">IF(G443&gt;=20,"End of life (age &gt; 20)",IF(L443&gt;0.6,"Repairs exceed 60% of revenue",IF(G443&gt;=15,"Age 15+ → replace",IF(OR(G443&gt;=11,L443&gt;0.4),"Watch costs; plan replacement","Healthy — continue operating"))))</f>
        <v>End of life (age &gt; 20)</v>
      </c>
      <c r="P443" s="188" t="str">
        <f aca="false">'Engineering Assumptions'!H41</f>
        <v>20T class HYUNDAI R220 / CAT 320 ~Rs. 38–48M</v>
      </c>
    </row>
    <row r="444" customFormat="false" ht="15" hidden="false" customHeight="true" outlineLevel="0" collapsed="false">
      <c r="A444" s="9" t="n">
        <v>416</v>
      </c>
      <c r="B444" s="184" t="s">
        <v>139</v>
      </c>
      <c r="C444" s="184" t="s">
        <v>2469</v>
      </c>
      <c r="D444" s="184" t="s">
        <v>1146</v>
      </c>
      <c r="E444" s="184"/>
      <c r="F444" s="45" t="s">
        <v>472</v>
      </c>
      <c r="G444" s="9" t="n">
        <v>30</v>
      </c>
      <c r="H444" s="185" t="n">
        <f aca="false">'Engineering Assumptions'!$F$41*0.03*0.65</f>
        <v>0.819</v>
      </c>
      <c r="I444" s="185" t="n">
        <f aca="false">'Engineering Assumptions'!$F$41*0.65</f>
        <v>27.3</v>
      </c>
      <c r="J444" s="12" t="n">
        <f aca="false">'Fleet Pricing'!L444</f>
        <v>367000</v>
      </c>
      <c r="K444" s="12" t="n">
        <f aca="false">'Maintenance &amp; Repair'!J444+'Maintenance &amp; Repair'!K444</f>
        <v>192816</v>
      </c>
      <c r="L444" s="186" t="n">
        <f aca="false">IFERROR(K444/J444,0)</f>
        <v>0.525384196185286</v>
      </c>
      <c r="M444" s="9" t="n">
        <f aca="false">MAX(0,'Engineering Assumptions'!$G$41-G444)</f>
        <v>0</v>
      </c>
      <c r="N444" s="187" t="str">
        <f aca="false">IF(G444&gt;=20,"REPLACE",IF(L444&gt;0.6,"REPLACE",IF(G444&gt;=15,"REPLACE",IF(OR(G444&gt;=11,L444&gt;0.4),"MONITOR","KEEP"))))</f>
        <v>REPLACE</v>
      </c>
      <c r="O444" s="188" t="str">
        <f aca="false">IF(G444&gt;=20,"End of life (age &gt; 20)",IF(L444&gt;0.6,"Repairs exceed 60% of revenue",IF(G444&gt;=15,"Age 15+ → replace",IF(OR(G444&gt;=11,L444&gt;0.4),"Watch costs; plan replacement","Healthy — continue operating"))))</f>
        <v>End of life (age &gt; 20)</v>
      </c>
      <c r="P444" s="188" t="str">
        <f aca="false">'Engineering Assumptions'!H41</f>
        <v>20T class HYUNDAI R220 / CAT 320 ~Rs. 38–48M</v>
      </c>
    </row>
    <row r="445" customFormat="false" ht="15" hidden="false" customHeight="true" outlineLevel="0" collapsed="false">
      <c r="A445" s="9" t="n">
        <v>417</v>
      </c>
      <c r="B445" s="184" t="s">
        <v>139</v>
      </c>
      <c r="C445" s="184" t="s">
        <v>2470</v>
      </c>
      <c r="D445" s="184" t="s">
        <v>1206</v>
      </c>
      <c r="E445" s="184"/>
      <c r="F445" s="45" t="s">
        <v>472</v>
      </c>
      <c r="G445" s="9" t="n">
        <v>30</v>
      </c>
      <c r="H445" s="185" t="n">
        <f aca="false">'Engineering Assumptions'!$F$41*0.03*1.1</f>
        <v>1.386</v>
      </c>
      <c r="I445" s="185" t="n">
        <f aca="false">'Engineering Assumptions'!$F$41*1.1</f>
        <v>46.2</v>
      </c>
      <c r="J445" s="12" t="n">
        <f aca="false">'Fleet Pricing'!L445</f>
        <v>621000</v>
      </c>
      <c r="K445" s="12" t="n">
        <f aca="false">'Maintenance &amp; Repair'!J445+'Maintenance &amp; Repair'!K445</f>
        <v>326304</v>
      </c>
      <c r="L445" s="186" t="n">
        <f aca="false">IFERROR(K445/J445,0)</f>
        <v>0.525449275362319</v>
      </c>
      <c r="M445" s="9" t="n">
        <f aca="false">MAX(0,'Engineering Assumptions'!$G$41-G445)</f>
        <v>0</v>
      </c>
      <c r="N445" s="187" t="str">
        <f aca="false">IF(G445&gt;=20,"REPLACE",IF(L445&gt;0.6,"REPLACE",IF(G445&gt;=15,"REPLACE",IF(OR(G445&gt;=11,L445&gt;0.4),"MONITOR","KEEP"))))</f>
        <v>REPLACE</v>
      </c>
      <c r="O445" s="188" t="str">
        <f aca="false">IF(G445&gt;=20,"End of life (age &gt; 20)",IF(L445&gt;0.6,"Repairs exceed 60% of revenue",IF(G445&gt;=15,"Age 15+ → replace",IF(OR(G445&gt;=11,L445&gt;0.4),"Watch costs; plan replacement","Healthy — continue operating"))))</f>
        <v>End of life (age &gt; 20)</v>
      </c>
      <c r="P445" s="188" t="str">
        <f aca="false">'Engineering Assumptions'!H41</f>
        <v>20T class HYUNDAI R220 / CAT 320 ~Rs. 38–48M</v>
      </c>
    </row>
    <row r="446" customFormat="false" ht="15" hidden="false" customHeight="true" outlineLevel="0" collapsed="false">
      <c r="A446" s="9" t="n">
        <v>418</v>
      </c>
      <c r="B446" s="184" t="s">
        <v>139</v>
      </c>
      <c r="C446" s="184" t="s">
        <v>2471</v>
      </c>
      <c r="D446" s="184" t="s">
        <v>1209</v>
      </c>
      <c r="E446" s="184"/>
      <c r="F446" s="45" t="s">
        <v>472</v>
      </c>
      <c r="G446" s="9" t="n">
        <v>30</v>
      </c>
      <c r="H446" s="185" t="n">
        <f aca="false">'Engineering Assumptions'!$F$41*0.03*1.3</f>
        <v>1.638</v>
      </c>
      <c r="I446" s="185" t="n">
        <f aca="false">'Engineering Assumptions'!$F$41*1.3</f>
        <v>54.6</v>
      </c>
      <c r="J446" s="12" t="n">
        <f aca="false">'Fleet Pricing'!L446</f>
        <v>734500</v>
      </c>
      <c r="K446" s="12" t="n">
        <f aca="false">'Maintenance &amp; Repair'!J446+'Maintenance &amp; Repair'!K446</f>
        <v>385632</v>
      </c>
      <c r="L446" s="186" t="n">
        <f aca="false">IFERROR(K446/J446,0)</f>
        <v>0.525026548672566</v>
      </c>
      <c r="M446" s="9" t="n">
        <f aca="false">MAX(0,'Engineering Assumptions'!$G$41-G446)</f>
        <v>0</v>
      </c>
      <c r="N446" s="187" t="str">
        <f aca="false">IF(G446&gt;=20,"REPLACE",IF(L446&gt;0.6,"REPLACE",IF(G446&gt;=15,"REPLACE",IF(OR(G446&gt;=11,L446&gt;0.4),"MONITOR","KEEP"))))</f>
        <v>REPLACE</v>
      </c>
      <c r="O446" s="188" t="str">
        <f aca="false">IF(G446&gt;=20,"End of life (age &gt; 20)",IF(L446&gt;0.6,"Repairs exceed 60% of revenue",IF(G446&gt;=15,"Age 15+ → replace",IF(OR(G446&gt;=11,L446&gt;0.4),"Watch costs; plan replacement","Healthy — continue operating"))))</f>
        <v>End of life (age &gt; 20)</v>
      </c>
      <c r="P446" s="188" t="str">
        <f aca="false">'Engineering Assumptions'!H41</f>
        <v>20T class HYUNDAI R220 / CAT 320 ~Rs. 38–48M</v>
      </c>
    </row>
    <row r="447" customFormat="false" ht="15" hidden="false" customHeight="true" outlineLevel="0" collapsed="false">
      <c r="A447" s="9" t="n">
        <v>419</v>
      </c>
      <c r="B447" s="184" t="s">
        <v>139</v>
      </c>
      <c r="C447" s="184" t="s">
        <v>2472</v>
      </c>
      <c r="D447" s="184" t="s">
        <v>1211</v>
      </c>
      <c r="E447" s="184"/>
      <c r="F447" s="45" t="s">
        <v>472</v>
      </c>
      <c r="G447" s="9" t="n">
        <v>30</v>
      </c>
      <c r="H447" s="185" t="n">
        <f aca="false">'Engineering Assumptions'!$F$41*0.03*1.1</f>
        <v>1.386</v>
      </c>
      <c r="I447" s="185" t="n">
        <f aca="false">'Engineering Assumptions'!$F$41*1.1</f>
        <v>46.2</v>
      </c>
      <c r="J447" s="12" t="n">
        <f aca="false">'Fleet Pricing'!L447</f>
        <v>621000</v>
      </c>
      <c r="K447" s="12" t="n">
        <f aca="false">'Maintenance &amp; Repair'!J447+'Maintenance &amp; Repair'!K447</f>
        <v>326304</v>
      </c>
      <c r="L447" s="186" t="n">
        <f aca="false">IFERROR(K447/J447,0)</f>
        <v>0.525449275362319</v>
      </c>
      <c r="M447" s="9" t="n">
        <f aca="false">MAX(0,'Engineering Assumptions'!$G$41-G447)</f>
        <v>0</v>
      </c>
      <c r="N447" s="187" t="str">
        <f aca="false">IF(G447&gt;=20,"REPLACE",IF(L447&gt;0.6,"REPLACE",IF(G447&gt;=15,"REPLACE",IF(OR(G447&gt;=11,L447&gt;0.4),"MONITOR","KEEP"))))</f>
        <v>REPLACE</v>
      </c>
      <c r="O447" s="188" t="str">
        <f aca="false">IF(G447&gt;=20,"End of life (age &gt; 20)",IF(L447&gt;0.6,"Repairs exceed 60% of revenue",IF(G447&gt;=15,"Age 15+ → replace",IF(OR(G447&gt;=11,L447&gt;0.4),"Watch costs; plan replacement","Healthy — continue operating"))))</f>
        <v>End of life (age &gt; 20)</v>
      </c>
      <c r="P447" s="188" t="str">
        <f aca="false">'Engineering Assumptions'!H41</f>
        <v>20T class HYUNDAI R220 / CAT 320 ~Rs. 38–48M</v>
      </c>
    </row>
    <row r="448" customFormat="false" ht="15" hidden="false" customHeight="true" outlineLevel="0" collapsed="false">
      <c r="A448" s="9" t="n">
        <v>420</v>
      </c>
      <c r="B448" s="184" t="s">
        <v>139</v>
      </c>
      <c r="C448" s="184" t="s">
        <v>2473</v>
      </c>
      <c r="D448" s="184" t="s">
        <v>1213</v>
      </c>
      <c r="E448" s="184"/>
      <c r="F448" s="45" t="s">
        <v>472</v>
      </c>
      <c r="G448" s="9" t="n">
        <v>30</v>
      </c>
      <c r="H448" s="185" t="n">
        <f aca="false">'Engineering Assumptions'!$F$41*0.03*0.85</f>
        <v>1.071</v>
      </c>
      <c r="I448" s="185" t="n">
        <f aca="false">'Engineering Assumptions'!$F$41*0.85</f>
        <v>35.7</v>
      </c>
      <c r="J448" s="12" t="n">
        <f aca="false">'Fleet Pricing'!L448</f>
        <v>480500</v>
      </c>
      <c r="K448" s="12" t="n">
        <f aca="false">'Maintenance &amp; Repair'!J448+'Maintenance &amp; Repair'!K448</f>
        <v>252144</v>
      </c>
      <c r="L448" s="186" t="n">
        <f aca="false">IFERROR(K448/J448,0)</f>
        <v>0.524753381893861</v>
      </c>
      <c r="M448" s="9" t="n">
        <f aca="false">MAX(0,'Engineering Assumptions'!$G$41-G448)</f>
        <v>0</v>
      </c>
      <c r="N448" s="187" t="str">
        <f aca="false">IF(G448&gt;=20,"REPLACE",IF(L448&gt;0.6,"REPLACE",IF(G448&gt;=15,"REPLACE",IF(OR(G448&gt;=11,L448&gt;0.4),"MONITOR","KEEP"))))</f>
        <v>REPLACE</v>
      </c>
      <c r="O448" s="188" t="str">
        <f aca="false">IF(G448&gt;=20,"End of life (age &gt; 20)",IF(L448&gt;0.6,"Repairs exceed 60% of revenue",IF(G448&gt;=15,"Age 15+ → replace",IF(OR(G448&gt;=11,L448&gt;0.4),"Watch costs; plan replacement","Healthy — continue operating"))))</f>
        <v>End of life (age &gt; 20)</v>
      </c>
      <c r="P448" s="188" t="str">
        <f aca="false">'Engineering Assumptions'!H41</f>
        <v>20T class HYUNDAI R220 / CAT 320 ~Rs. 38–48M</v>
      </c>
    </row>
    <row r="449" customFormat="false" ht="15" hidden="false" customHeight="true" outlineLevel="0" collapsed="false">
      <c r="A449" s="9" t="n">
        <v>421</v>
      </c>
      <c r="B449" s="184" t="s">
        <v>139</v>
      </c>
      <c r="C449" s="184" t="s">
        <v>2474</v>
      </c>
      <c r="D449" s="184" t="s">
        <v>1216</v>
      </c>
      <c r="E449" s="184"/>
      <c r="F449" s="45" t="s">
        <v>472</v>
      </c>
      <c r="G449" s="9" t="n">
        <v>30</v>
      </c>
      <c r="H449" s="185" t="n">
        <f aca="false">'Engineering Assumptions'!$F$41*0.03*1.05</f>
        <v>1.323</v>
      </c>
      <c r="I449" s="185" t="n">
        <f aca="false">'Engineering Assumptions'!$F$41*1.05</f>
        <v>44.1</v>
      </c>
      <c r="J449" s="12" t="n">
        <f aca="false">'Fleet Pricing'!L449</f>
        <v>593500</v>
      </c>
      <c r="K449" s="12" t="n">
        <f aca="false">'Maintenance &amp; Repair'!J449+'Maintenance &amp; Repair'!K449</f>
        <v>311472</v>
      </c>
      <c r="L449" s="186" t="n">
        <f aca="false">IFERROR(K449/J449,0)</f>
        <v>0.524805391743892</v>
      </c>
      <c r="M449" s="9" t="n">
        <f aca="false">MAX(0,'Engineering Assumptions'!$G$41-G449)</f>
        <v>0</v>
      </c>
      <c r="N449" s="187" t="str">
        <f aca="false">IF(G449&gt;=20,"REPLACE",IF(L449&gt;0.6,"REPLACE",IF(G449&gt;=15,"REPLACE",IF(OR(G449&gt;=11,L449&gt;0.4),"MONITOR","KEEP"))))</f>
        <v>REPLACE</v>
      </c>
      <c r="O449" s="188" t="str">
        <f aca="false">IF(G449&gt;=20,"End of life (age &gt; 20)",IF(L449&gt;0.6,"Repairs exceed 60% of revenue",IF(G449&gt;=15,"Age 15+ → replace",IF(OR(G449&gt;=11,L449&gt;0.4),"Watch costs; plan replacement","Healthy — continue operating"))))</f>
        <v>End of life (age &gt; 20)</v>
      </c>
      <c r="P449" s="188" t="str">
        <f aca="false">'Engineering Assumptions'!H41</f>
        <v>20T class HYUNDAI R220 / CAT 320 ~Rs. 38–48M</v>
      </c>
    </row>
    <row r="450" customFormat="false" ht="15" hidden="false" customHeight="true" outlineLevel="0" collapsed="false">
      <c r="A450" s="42" t="s">
        <v>1219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</row>
    <row r="451" customFormat="false" ht="15" hidden="false" customHeight="true" outlineLevel="0" collapsed="false">
      <c r="A451" s="9" t="n">
        <v>422</v>
      </c>
      <c r="B451" s="184" t="s">
        <v>141</v>
      </c>
      <c r="C451" s="184" t="s">
        <v>2475</v>
      </c>
      <c r="D451" s="184" t="s">
        <v>1220</v>
      </c>
      <c r="E451" s="184" t="s">
        <v>1222</v>
      </c>
      <c r="F451" s="45" t="s">
        <v>450</v>
      </c>
      <c r="G451" s="9" t="n">
        <v>8</v>
      </c>
      <c r="H451" s="185" t="n">
        <f aca="false">'Engineering Assumptions'!$F$42*0.35*1</f>
        <v>4.2</v>
      </c>
      <c r="I451" s="185" t="n">
        <f aca="false">'Engineering Assumptions'!$F$42*1</f>
        <v>12</v>
      </c>
      <c r="J451" s="12" t="n">
        <f aca="false">'Fleet Pricing'!L451</f>
        <v>276500</v>
      </c>
      <c r="K451" s="12" t="n">
        <f aca="false">'Maintenance &amp; Repair'!J451+'Maintenance &amp; Repair'!K451</f>
        <v>31500</v>
      </c>
      <c r="L451" s="186" t="n">
        <f aca="false">IFERROR(K451/J451,0)</f>
        <v>0.113924050632911</v>
      </c>
      <c r="M451" s="9" t="n">
        <f aca="false">MAX(0,'Engineering Assumptions'!$G$42-G451)</f>
        <v>7</v>
      </c>
      <c r="N451" s="187" t="str">
        <f aca="false">IF(G451&gt;=20,"REPLACE",IF(L451&gt;0.6,"REPLACE",IF(G451&gt;=15,"REPLACE",IF(OR(G451&gt;=11,L451&gt;0.4),"MONITOR","KEEP"))))</f>
        <v>KEEP</v>
      </c>
      <c r="O451" s="188" t="str">
        <f aca="false">IF(G451&gt;=20,"End of life (age &gt; 20)",IF(L451&gt;0.6,"Repairs exceed 60% of revenue",IF(G451&gt;=15,"Age 15+ → replace",IF(OR(G451&gt;=11,L451&gt;0.4),"Watch costs; plan replacement","Healthy — continue operating"))))</f>
        <v>Healthy — continue operating</v>
      </c>
      <c r="P451" s="188" t="str">
        <f aca="false">'Engineering Assumptions'!H42</f>
        <v>TATA/Ashok Leyland + tank ~Rs. 10–14M</v>
      </c>
    </row>
    <row r="452" customFormat="false" ht="15" hidden="false" customHeight="true" outlineLevel="0" collapsed="false">
      <c r="A452" s="9" t="n">
        <v>423</v>
      </c>
      <c r="B452" s="184" t="s">
        <v>141</v>
      </c>
      <c r="C452" s="184" t="s">
        <v>2430</v>
      </c>
      <c r="D452" s="184" t="s">
        <v>1223</v>
      </c>
      <c r="E452" s="184" t="s">
        <v>1224</v>
      </c>
      <c r="F452" s="45" t="s">
        <v>748</v>
      </c>
      <c r="G452" s="9" t="n">
        <v>15</v>
      </c>
      <c r="H452" s="185" t="n">
        <f aca="false">'Engineering Assumptions'!$F$42*0.12*1</f>
        <v>1.44</v>
      </c>
      <c r="I452" s="185" t="n">
        <f aca="false">'Engineering Assumptions'!$F$42*1</f>
        <v>12</v>
      </c>
      <c r="J452" s="12" t="n">
        <f aca="false">'Fleet Pricing'!L452</f>
        <v>247000</v>
      </c>
      <c r="K452" s="12" t="n">
        <f aca="false">'Maintenance &amp; Repair'!J452+'Maintenance &amp; Repair'!K452</f>
        <v>46620</v>
      </c>
      <c r="L452" s="186" t="n">
        <f aca="false">IFERROR(K452/J452,0)</f>
        <v>0.188744939271255</v>
      </c>
      <c r="M452" s="9" t="n">
        <f aca="false">MAX(0,'Engineering Assumptions'!$G$42-G452)</f>
        <v>0</v>
      </c>
      <c r="N452" s="187" t="str">
        <f aca="false">IF(G452&gt;=20,"REPLACE",IF(L452&gt;0.6,"REPLACE",IF(G452&gt;=15,"REPLACE",IF(OR(G452&gt;=11,L452&gt;0.4),"MONITOR","KEEP"))))</f>
        <v>REPLACE</v>
      </c>
      <c r="O452" s="188" t="str">
        <f aca="false">IF(G452&gt;=20,"End of life (age &gt; 20)",IF(L452&gt;0.6,"Repairs exceed 60% of revenue",IF(G452&gt;=15,"Age 15+ → replace",IF(OR(G452&gt;=11,L452&gt;0.4),"Watch costs; plan replacement","Healthy — continue operating"))))</f>
        <v>Age 15+ → replace</v>
      </c>
      <c r="P452" s="188" t="str">
        <f aca="false">'Engineering Assumptions'!H42</f>
        <v>TATA/Ashok Leyland + tank ~Rs. 10–14M</v>
      </c>
    </row>
    <row r="453" customFormat="false" ht="15" hidden="false" customHeight="true" outlineLevel="0" collapsed="false">
      <c r="A453" s="9" t="n">
        <v>424</v>
      </c>
      <c r="B453" s="184" t="s">
        <v>141</v>
      </c>
      <c r="C453" s="184" t="s">
        <v>2476</v>
      </c>
      <c r="D453" s="184" t="s">
        <v>1225</v>
      </c>
      <c r="E453" s="184" t="s">
        <v>1091</v>
      </c>
      <c r="F453" s="45" t="s">
        <v>729</v>
      </c>
      <c r="G453" s="9" t="n">
        <v>21</v>
      </c>
      <c r="H453" s="185" t="n">
        <f aca="false">'Engineering Assumptions'!$F$42*0.06*1</f>
        <v>0.72</v>
      </c>
      <c r="I453" s="185" t="n">
        <f aca="false">'Engineering Assumptions'!$F$42*1</f>
        <v>12</v>
      </c>
      <c r="J453" s="12" t="n">
        <f aca="false">'Fleet Pricing'!L453</f>
        <v>216000</v>
      </c>
      <c r="K453" s="12" t="n">
        <f aca="false">'Maintenance &amp; Repair'!J453+'Maintenance &amp; Repair'!K453</f>
        <v>88560</v>
      </c>
      <c r="L453" s="186" t="n">
        <f aca="false">IFERROR(K453/J453,0)</f>
        <v>0.41</v>
      </c>
      <c r="M453" s="9" t="n">
        <f aca="false">MAX(0,'Engineering Assumptions'!$G$42-G453)</f>
        <v>0</v>
      </c>
      <c r="N453" s="187" t="str">
        <f aca="false">IF(G453&gt;=20,"REPLACE",IF(L453&gt;0.6,"REPLACE",IF(G453&gt;=15,"REPLACE",IF(OR(G453&gt;=11,L453&gt;0.4),"MONITOR","KEEP"))))</f>
        <v>REPLACE</v>
      </c>
      <c r="O453" s="188" t="str">
        <f aca="false">IF(G453&gt;=20,"End of life (age &gt; 20)",IF(L453&gt;0.6,"Repairs exceed 60% of revenue",IF(G453&gt;=15,"Age 15+ → replace",IF(OR(G453&gt;=11,L453&gt;0.4),"Watch costs; plan replacement","Healthy — continue operating"))))</f>
        <v>End of life (age &gt; 20)</v>
      </c>
      <c r="P453" s="188" t="str">
        <f aca="false">'Engineering Assumptions'!H42</f>
        <v>TATA/Ashok Leyland + tank ~Rs. 10–14M</v>
      </c>
    </row>
    <row r="454" customFormat="false" ht="15" hidden="false" customHeight="true" outlineLevel="0" collapsed="false">
      <c r="A454" s="9" t="n">
        <v>425</v>
      </c>
      <c r="B454" s="184" t="s">
        <v>141</v>
      </c>
      <c r="C454" s="184" t="s">
        <v>2476</v>
      </c>
      <c r="D454" s="184" t="s">
        <v>1226</v>
      </c>
      <c r="E454" s="184" t="s">
        <v>1097</v>
      </c>
      <c r="F454" s="45" t="s">
        <v>423</v>
      </c>
      <c r="G454" s="9" t="n">
        <v>23</v>
      </c>
      <c r="H454" s="185" t="n">
        <f aca="false">'Engineering Assumptions'!$F$42*0.06*1</f>
        <v>0.72</v>
      </c>
      <c r="I454" s="185" t="n">
        <f aca="false">'Engineering Assumptions'!$F$42*1</f>
        <v>12</v>
      </c>
      <c r="J454" s="12" t="n">
        <f aca="false">'Fleet Pricing'!L454</f>
        <v>196000</v>
      </c>
      <c r="K454" s="12" t="n">
        <f aca="false">'Maintenance &amp; Repair'!J454+'Maintenance &amp; Repair'!K454</f>
        <v>88560</v>
      </c>
      <c r="L454" s="186" t="n">
        <f aca="false">IFERROR(K454/J454,0)</f>
        <v>0.451836734693878</v>
      </c>
      <c r="M454" s="9" t="n">
        <f aca="false">MAX(0,'Engineering Assumptions'!$G$42-G454)</f>
        <v>0</v>
      </c>
      <c r="N454" s="187" t="str">
        <f aca="false">IF(G454&gt;=20,"REPLACE",IF(L454&gt;0.6,"REPLACE",IF(G454&gt;=15,"REPLACE",IF(OR(G454&gt;=11,L454&gt;0.4),"MONITOR","KEEP"))))</f>
        <v>REPLACE</v>
      </c>
      <c r="O454" s="188" t="str">
        <f aca="false">IF(G454&gt;=20,"End of life (age &gt; 20)",IF(L454&gt;0.6,"Repairs exceed 60% of revenue",IF(G454&gt;=15,"Age 15+ → replace",IF(OR(G454&gt;=11,L454&gt;0.4),"Watch costs; plan replacement","Healthy — continue operating"))))</f>
        <v>End of life (age &gt; 20)</v>
      </c>
      <c r="P454" s="188" t="str">
        <f aca="false">'Engineering Assumptions'!H42</f>
        <v>TATA/Ashok Leyland + tank ~Rs. 10–14M</v>
      </c>
    </row>
    <row r="455" customFormat="false" ht="15" hidden="false" customHeight="true" outlineLevel="0" collapsed="false">
      <c r="A455" s="9" t="n">
        <v>426</v>
      </c>
      <c r="B455" s="184" t="s">
        <v>141</v>
      </c>
      <c r="C455" s="184" t="s">
        <v>2477</v>
      </c>
      <c r="D455" s="184" t="s">
        <v>1227</v>
      </c>
      <c r="E455" s="184" t="s">
        <v>1229</v>
      </c>
      <c r="F455" s="45" t="s">
        <v>428</v>
      </c>
      <c r="G455" s="9" t="n">
        <v>26</v>
      </c>
      <c r="H455" s="185" t="n">
        <f aca="false">'Engineering Assumptions'!$F$42*0.03*1</f>
        <v>0.36</v>
      </c>
      <c r="I455" s="185" t="n">
        <f aca="false">'Engineering Assumptions'!$F$42*1</f>
        <v>12</v>
      </c>
      <c r="J455" s="12" t="n">
        <f aca="false">'Fleet Pricing'!L455</f>
        <v>196000</v>
      </c>
      <c r="K455" s="12" t="n">
        <f aca="false">'Maintenance &amp; Repair'!J455+'Maintenance &amp; Repair'!K455</f>
        <v>88560</v>
      </c>
      <c r="L455" s="186" t="n">
        <f aca="false">IFERROR(K455/J455,0)</f>
        <v>0.451836734693878</v>
      </c>
      <c r="M455" s="9" t="n">
        <f aca="false">MAX(0,'Engineering Assumptions'!$G$42-G455)</f>
        <v>0</v>
      </c>
      <c r="N455" s="187" t="str">
        <f aca="false">IF(G455&gt;=20,"REPLACE",IF(L455&gt;0.6,"REPLACE",IF(G455&gt;=15,"REPLACE",IF(OR(G455&gt;=11,L455&gt;0.4),"MONITOR","KEEP"))))</f>
        <v>REPLACE</v>
      </c>
      <c r="O455" s="188" t="str">
        <f aca="false">IF(G455&gt;=20,"End of life (age &gt; 20)",IF(L455&gt;0.6,"Repairs exceed 60% of revenue",IF(G455&gt;=15,"Age 15+ → replace",IF(OR(G455&gt;=11,L455&gt;0.4),"Watch costs; plan replacement","Healthy — continue operating"))))</f>
        <v>End of life (age &gt; 20)</v>
      </c>
      <c r="P455" s="188" t="str">
        <f aca="false">'Engineering Assumptions'!H42</f>
        <v>TATA/Ashok Leyland + tank ~Rs. 10–14M</v>
      </c>
    </row>
    <row r="456" customFormat="false" ht="15" hidden="false" customHeight="true" outlineLevel="0" collapsed="false">
      <c r="A456" s="9" t="n">
        <v>427</v>
      </c>
      <c r="B456" s="184" t="s">
        <v>141</v>
      </c>
      <c r="C456" s="184" t="s">
        <v>2478</v>
      </c>
      <c r="D456" s="184" t="s">
        <v>1230</v>
      </c>
      <c r="E456" s="184" t="s">
        <v>1232</v>
      </c>
      <c r="F456" s="45" t="s">
        <v>829</v>
      </c>
      <c r="G456" s="9" t="n">
        <v>29</v>
      </c>
      <c r="H456" s="185" t="n">
        <f aca="false">'Engineering Assumptions'!$F$42*0.03*1</f>
        <v>0.36</v>
      </c>
      <c r="I456" s="185" t="n">
        <f aca="false">'Engineering Assumptions'!$F$42*1</f>
        <v>12</v>
      </c>
      <c r="J456" s="12" t="n">
        <f aca="false">'Fleet Pricing'!L456</f>
        <v>174500</v>
      </c>
      <c r="K456" s="12" t="n">
        <f aca="false">'Maintenance &amp; Repair'!J456+'Maintenance &amp; Repair'!K456</f>
        <v>88560</v>
      </c>
      <c r="L456" s="186" t="n">
        <f aca="false">IFERROR(K456/J456,0)</f>
        <v>0.507507163323782</v>
      </c>
      <c r="M456" s="9" t="n">
        <f aca="false">MAX(0,'Engineering Assumptions'!$G$42-G456)</f>
        <v>0</v>
      </c>
      <c r="N456" s="187" t="str">
        <f aca="false">IF(G456&gt;=20,"REPLACE",IF(L456&gt;0.6,"REPLACE",IF(G456&gt;=15,"REPLACE",IF(OR(G456&gt;=11,L456&gt;0.4),"MONITOR","KEEP"))))</f>
        <v>REPLACE</v>
      </c>
      <c r="O456" s="188" t="str">
        <f aca="false">IF(G456&gt;=20,"End of life (age &gt; 20)",IF(L456&gt;0.6,"Repairs exceed 60% of revenue",IF(G456&gt;=15,"Age 15+ → replace",IF(OR(G456&gt;=11,L456&gt;0.4),"Watch costs; plan replacement","Healthy — continue operating"))))</f>
        <v>End of life (age &gt; 20)</v>
      </c>
      <c r="P456" s="188" t="str">
        <f aca="false">'Engineering Assumptions'!H42</f>
        <v>TATA/Ashok Leyland + tank ~Rs. 10–14M</v>
      </c>
    </row>
    <row r="457" customFormat="false" ht="15" hidden="false" customHeight="true" outlineLevel="0" collapsed="false">
      <c r="A457" s="9" t="n">
        <v>428</v>
      </c>
      <c r="B457" s="184" t="s">
        <v>141</v>
      </c>
      <c r="C457" s="184" t="s">
        <v>2479</v>
      </c>
      <c r="D457" s="184" t="s">
        <v>1233</v>
      </c>
      <c r="E457" s="184" t="s">
        <v>1235</v>
      </c>
      <c r="F457" s="45" t="s">
        <v>444</v>
      </c>
      <c r="G457" s="9" t="n">
        <v>35</v>
      </c>
      <c r="H457" s="185" t="n">
        <f aca="false">'Engineering Assumptions'!$F$42*0.03*1</f>
        <v>0.36</v>
      </c>
      <c r="I457" s="185" t="n">
        <f aca="false">'Engineering Assumptions'!$F$42*1</f>
        <v>12</v>
      </c>
      <c r="J457" s="12" t="n">
        <f aca="false">'Fleet Pricing'!L457</f>
        <v>174500</v>
      </c>
      <c r="K457" s="12" t="n">
        <f aca="false">'Maintenance &amp; Repair'!J457+'Maintenance &amp; Repair'!K457</f>
        <v>88560</v>
      </c>
      <c r="L457" s="186" t="n">
        <f aca="false">IFERROR(K457/J457,0)</f>
        <v>0.507507163323782</v>
      </c>
      <c r="M457" s="9" t="n">
        <f aca="false">MAX(0,'Engineering Assumptions'!$G$42-G457)</f>
        <v>0</v>
      </c>
      <c r="N457" s="187" t="str">
        <f aca="false">IF(G457&gt;=20,"REPLACE",IF(L457&gt;0.6,"REPLACE",IF(G457&gt;=15,"REPLACE",IF(OR(G457&gt;=11,L457&gt;0.4),"MONITOR","KEEP"))))</f>
        <v>REPLACE</v>
      </c>
      <c r="O457" s="188" t="str">
        <f aca="false">IF(G457&gt;=20,"End of life (age &gt; 20)",IF(L457&gt;0.6,"Repairs exceed 60% of revenue",IF(G457&gt;=15,"Age 15+ → replace",IF(OR(G457&gt;=11,L457&gt;0.4),"Watch costs; plan replacement","Healthy — continue operating"))))</f>
        <v>End of life (age &gt; 20)</v>
      </c>
      <c r="P457" s="188" t="str">
        <f aca="false">'Engineering Assumptions'!H42</f>
        <v>TATA/Ashok Leyland + tank ~Rs. 10–14M</v>
      </c>
    </row>
    <row r="458" customFormat="false" ht="15" hidden="false" customHeight="true" outlineLevel="0" collapsed="false">
      <c r="A458" s="9" t="n">
        <v>429</v>
      </c>
      <c r="B458" s="184" t="s">
        <v>141</v>
      </c>
      <c r="C458" s="184" t="s">
        <v>2313</v>
      </c>
      <c r="D458" s="184" t="s">
        <v>1236</v>
      </c>
      <c r="E458" s="184"/>
      <c r="F458" s="45" t="s">
        <v>472</v>
      </c>
      <c r="G458" s="9" t="n">
        <v>30</v>
      </c>
      <c r="H458" s="185" t="n">
        <f aca="false">'Engineering Assumptions'!$F$42*0.03*1</f>
        <v>0.36</v>
      </c>
      <c r="I458" s="185" t="n">
        <f aca="false">'Engineering Assumptions'!$F$42*1</f>
        <v>12</v>
      </c>
      <c r="J458" s="12" t="n">
        <f aca="false">'Fleet Pricing'!L458</f>
        <v>174500</v>
      </c>
      <c r="K458" s="12" t="n">
        <f aca="false">'Maintenance &amp; Repair'!J458+'Maintenance &amp; Repair'!K458</f>
        <v>88560</v>
      </c>
      <c r="L458" s="186" t="n">
        <f aca="false">IFERROR(K458/J458,0)</f>
        <v>0.507507163323782</v>
      </c>
      <c r="M458" s="9" t="n">
        <f aca="false">MAX(0,'Engineering Assumptions'!$G$42-G458)</f>
        <v>0</v>
      </c>
      <c r="N458" s="187" t="str">
        <f aca="false">IF(G458&gt;=20,"REPLACE",IF(L458&gt;0.6,"REPLACE",IF(G458&gt;=15,"REPLACE",IF(OR(G458&gt;=11,L458&gt;0.4),"MONITOR","KEEP"))))</f>
        <v>REPLACE</v>
      </c>
      <c r="O458" s="188" t="str">
        <f aca="false">IF(G458&gt;=20,"End of life (age &gt; 20)",IF(L458&gt;0.6,"Repairs exceed 60% of revenue",IF(G458&gt;=15,"Age 15+ → replace",IF(OR(G458&gt;=11,L458&gt;0.4),"Watch costs; plan replacement","Healthy — continue operating"))))</f>
        <v>End of life (age &gt; 20)</v>
      </c>
      <c r="P458" s="188" t="str">
        <f aca="false">'Engineering Assumptions'!H42</f>
        <v>TATA/Ashok Leyland + tank ~Rs. 10–14M</v>
      </c>
    </row>
    <row r="459" customFormat="false" ht="15" hidden="false" customHeight="true" outlineLevel="0" collapsed="false">
      <c r="A459" s="9" t="n">
        <v>430</v>
      </c>
      <c r="B459" s="184" t="s">
        <v>141</v>
      </c>
      <c r="C459" s="184" t="s">
        <v>2313</v>
      </c>
      <c r="D459" s="184" t="s">
        <v>1237</v>
      </c>
      <c r="E459" s="184" t="s">
        <v>1238</v>
      </c>
      <c r="F459" s="45" t="s">
        <v>472</v>
      </c>
      <c r="G459" s="9" t="n">
        <v>30</v>
      </c>
      <c r="H459" s="185" t="n">
        <f aca="false">'Engineering Assumptions'!$F$42*0.03*1</f>
        <v>0.36</v>
      </c>
      <c r="I459" s="185" t="n">
        <f aca="false">'Engineering Assumptions'!$F$42*1</f>
        <v>12</v>
      </c>
      <c r="J459" s="12" t="n">
        <f aca="false">'Fleet Pricing'!L459</f>
        <v>174500</v>
      </c>
      <c r="K459" s="12" t="n">
        <f aca="false">'Maintenance &amp; Repair'!J459+'Maintenance &amp; Repair'!K459</f>
        <v>88560</v>
      </c>
      <c r="L459" s="186" t="n">
        <f aca="false">IFERROR(K459/J459,0)</f>
        <v>0.507507163323782</v>
      </c>
      <c r="M459" s="9" t="n">
        <f aca="false">MAX(0,'Engineering Assumptions'!$G$42-G459)</f>
        <v>0</v>
      </c>
      <c r="N459" s="187" t="str">
        <f aca="false">IF(G459&gt;=20,"REPLACE",IF(L459&gt;0.6,"REPLACE",IF(G459&gt;=15,"REPLACE",IF(OR(G459&gt;=11,L459&gt;0.4),"MONITOR","KEEP"))))</f>
        <v>REPLACE</v>
      </c>
      <c r="O459" s="188" t="str">
        <f aca="false">IF(G459&gt;=20,"End of life (age &gt; 20)",IF(L459&gt;0.6,"Repairs exceed 60% of revenue",IF(G459&gt;=15,"Age 15+ → replace",IF(OR(G459&gt;=11,L459&gt;0.4),"Watch costs; plan replacement","Healthy — continue operating"))))</f>
        <v>End of life (age &gt; 20)</v>
      </c>
      <c r="P459" s="188" t="str">
        <f aca="false">'Engineering Assumptions'!H42</f>
        <v>TATA/Ashok Leyland + tank ~Rs. 10–14M</v>
      </c>
    </row>
    <row r="460" customFormat="false" ht="15" hidden="false" customHeight="true" outlineLevel="0" collapsed="false">
      <c r="A460" s="9" t="n">
        <v>431</v>
      </c>
      <c r="B460" s="184" t="s">
        <v>141</v>
      </c>
      <c r="C460" s="184" t="s">
        <v>2313</v>
      </c>
      <c r="D460" s="184" t="s">
        <v>1241</v>
      </c>
      <c r="E460" s="184" t="s">
        <v>1242</v>
      </c>
      <c r="F460" s="45" t="s">
        <v>472</v>
      </c>
      <c r="G460" s="9" t="n">
        <v>30</v>
      </c>
      <c r="H460" s="185" t="n">
        <f aca="false">'Engineering Assumptions'!$F$42*0.03*1</f>
        <v>0.36</v>
      </c>
      <c r="I460" s="185" t="n">
        <f aca="false">'Engineering Assumptions'!$F$42*1</f>
        <v>12</v>
      </c>
      <c r="J460" s="12" t="n">
        <f aca="false">'Fleet Pricing'!L460</f>
        <v>174500</v>
      </c>
      <c r="K460" s="12" t="n">
        <f aca="false">'Maintenance &amp; Repair'!J460+'Maintenance &amp; Repair'!K460</f>
        <v>88560</v>
      </c>
      <c r="L460" s="186" t="n">
        <f aca="false">IFERROR(K460/J460,0)</f>
        <v>0.507507163323782</v>
      </c>
      <c r="M460" s="9" t="n">
        <f aca="false">MAX(0,'Engineering Assumptions'!$G$42-G460)</f>
        <v>0</v>
      </c>
      <c r="N460" s="187" t="str">
        <f aca="false">IF(G460&gt;=20,"REPLACE",IF(L460&gt;0.6,"REPLACE",IF(G460&gt;=15,"REPLACE",IF(OR(G460&gt;=11,L460&gt;0.4),"MONITOR","KEEP"))))</f>
        <v>REPLACE</v>
      </c>
      <c r="O460" s="188" t="str">
        <f aca="false">IF(G460&gt;=20,"End of life (age &gt; 20)",IF(L460&gt;0.6,"Repairs exceed 60% of revenue",IF(G460&gt;=15,"Age 15+ → replace",IF(OR(G460&gt;=11,L460&gt;0.4),"Watch costs; plan replacement","Healthy — continue operating"))))</f>
        <v>End of life (age &gt; 20)</v>
      </c>
      <c r="P460" s="188" t="str">
        <f aca="false">'Engineering Assumptions'!H42</f>
        <v>TATA/Ashok Leyland + tank ~Rs. 10–14M</v>
      </c>
    </row>
    <row r="461" customFormat="false" ht="15" hidden="false" customHeight="true" outlineLevel="0" collapsed="false">
      <c r="A461" s="9" t="n">
        <v>432</v>
      </c>
      <c r="B461" s="184" t="s">
        <v>141</v>
      </c>
      <c r="C461" s="184" t="s">
        <v>2313</v>
      </c>
      <c r="D461" s="184" t="s">
        <v>1243</v>
      </c>
      <c r="E461" s="184" t="s">
        <v>1244</v>
      </c>
      <c r="F461" s="45" t="s">
        <v>472</v>
      </c>
      <c r="G461" s="9" t="n">
        <v>30</v>
      </c>
      <c r="H461" s="185" t="n">
        <f aca="false">'Engineering Assumptions'!$F$42*0.03*1</f>
        <v>0.36</v>
      </c>
      <c r="I461" s="185" t="n">
        <f aca="false">'Engineering Assumptions'!$F$42*1</f>
        <v>12</v>
      </c>
      <c r="J461" s="12" t="n">
        <f aca="false">'Fleet Pricing'!L461</f>
        <v>174500</v>
      </c>
      <c r="K461" s="12" t="n">
        <f aca="false">'Maintenance &amp; Repair'!J461+'Maintenance &amp; Repair'!K461</f>
        <v>88560</v>
      </c>
      <c r="L461" s="186" t="n">
        <f aca="false">IFERROR(K461/J461,0)</f>
        <v>0.507507163323782</v>
      </c>
      <c r="M461" s="9" t="n">
        <f aca="false">MAX(0,'Engineering Assumptions'!$G$42-G461)</f>
        <v>0</v>
      </c>
      <c r="N461" s="187" t="str">
        <f aca="false">IF(G461&gt;=20,"REPLACE",IF(L461&gt;0.6,"REPLACE",IF(G461&gt;=15,"REPLACE",IF(OR(G461&gt;=11,L461&gt;0.4),"MONITOR","KEEP"))))</f>
        <v>REPLACE</v>
      </c>
      <c r="O461" s="188" t="str">
        <f aca="false">IF(G461&gt;=20,"End of life (age &gt; 20)",IF(L461&gt;0.6,"Repairs exceed 60% of revenue",IF(G461&gt;=15,"Age 15+ → replace",IF(OR(G461&gt;=11,L461&gt;0.4),"Watch costs; plan replacement","Healthy — continue operating"))))</f>
        <v>End of life (age &gt; 20)</v>
      </c>
      <c r="P461" s="188" t="str">
        <f aca="false">'Engineering Assumptions'!H42</f>
        <v>TATA/Ashok Leyland + tank ~Rs. 10–14M</v>
      </c>
    </row>
    <row r="462" customFormat="false" ht="15" hidden="false" customHeight="true" outlineLevel="0" collapsed="false">
      <c r="A462" s="9" t="n">
        <v>433</v>
      </c>
      <c r="B462" s="184" t="s">
        <v>141</v>
      </c>
      <c r="C462" s="184" t="s">
        <v>2313</v>
      </c>
      <c r="D462" s="184" t="s">
        <v>1245</v>
      </c>
      <c r="E462" s="184" t="s">
        <v>1246</v>
      </c>
      <c r="F462" s="45" t="s">
        <v>472</v>
      </c>
      <c r="G462" s="9" t="n">
        <v>30</v>
      </c>
      <c r="H462" s="185" t="n">
        <f aca="false">'Engineering Assumptions'!$F$42*0.03*1</f>
        <v>0.36</v>
      </c>
      <c r="I462" s="185" t="n">
        <f aca="false">'Engineering Assumptions'!$F$42*1</f>
        <v>12</v>
      </c>
      <c r="J462" s="12" t="n">
        <f aca="false">'Fleet Pricing'!L462</f>
        <v>174500</v>
      </c>
      <c r="K462" s="12" t="n">
        <f aca="false">'Maintenance &amp; Repair'!J462+'Maintenance &amp; Repair'!K462</f>
        <v>88560</v>
      </c>
      <c r="L462" s="186" t="n">
        <f aca="false">IFERROR(K462/J462,0)</f>
        <v>0.507507163323782</v>
      </c>
      <c r="M462" s="9" t="n">
        <f aca="false">MAX(0,'Engineering Assumptions'!$G$42-G462)</f>
        <v>0</v>
      </c>
      <c r="N462" s="187" t="str">
        <f aca="false">IF(G462&gt;=20,"REPLACE",IF(L462&gt;0.6,"REPLACE",IF(G462&gt;=15,"REPLACE",IF(OR(G462&gt;=11,L462&gt;0.4),"MONITOR","KEEP"))))</f>
        <v>REPLACE</v>
      </c>
      <c r="O462" s="188" t="str">
        <f aca="false">IF(G462&gt;=20,"End of life (age &gt; 20)",IF(L462&gt;0.6,"Repairs exceed 60% of revenue",IF(G462&gt;=15,"Age 15+ → replace",IF(OR(G462&gt;=11,L462&gt;0.4),"Watch costs; plan replacement","Healthy — continue operating"))))</f>
        <v>End of life (age &gt; 20)</v>
      </c>
      <c r="P462" s="188" t="str">
        <f aca="false">'Engineering Assumptions'!H42</f>
        <v>TATA/Ashok Leyland + tank ~Rs. 10–14M</v>
      </c>
    </row>
    <row r="463" customFormat="false" ht="15" hidden="false" customHeight="true" outlineLevel="0" collapsed="false">
      <c r="A463" s="9" t="n">
        <v>434</v>
      </c>
      <c r="B463" s="184" t="s">
        <v>141</v>
      </c>
      <c r="C463" s="184" t="s">
        <v>2313</v>
      </c>
      <c r="D463" s="184" t="s">
        <v>1247</v>
      </c>
      <c r="E463" s="184"/>
      <c r="F463" s="45" t="s">
        <v>472</v>
      </c>
      <c r="G463" s="9" t="n">
        <v>30</v>
      </c>
      <c r="H463" s="185" t="n">
        <f aca="false">'Engineering Assumptions'!$F$42*0.03*1</f>
        <v>0.36</v>
      </c>
      <c r="I463" s="185" t="n">
        <f aca="false">'Engineering Assumptions'!$F$42*1</f>
        <v>12</v>
      </c>
      <c r="J463" s="12" t="n">
        <f aca="false">'Fleet Pricing'!L463</f>
        <v>174500</v>
      </c>
      <c r="K463" s="12" t="n">
        <f aca="false">'Maintenance &amp; Repair'!J463+'Maintenance &amp; Repair'!K463</f>
        <v>88560</v>
      </c>
      <c r="L463" s="186" t="n">
        <f aca="false">IFERROR(K463/J463,0)</f>
        <v>0.507507163323782</v>
      </c>
      <c r="M463" s="9" t="n">
        <f aca="false">MAX(0,'Engineering Assumptions'!$G$42-G463)</f>
        <v>0</v>
      </c>
      <c r="N463" s="187" t="str">
        <f aca="false">IF(G463&gt;=20,"REPLACE",IF(L463&gt;0.6,"REPLACE",IF(G463&gt;=15,"REPLACE",IF(OR(G463&gt;=11,L463&gt;0.4),"MONITOR","KEEP"))))</f>
        <v>REPLACE</v>
      </c>
      <c r="O463" s="188" t="str">
        <f aca="false">IF(G463&gt;=20,"End of life (age &gt; 20)",IF(L463&gt;0.6,"Repairs exceed 60% of revenue",IF(G463&gt;=15,"Age 15+ → replace",IF(OR(G463&gt;=11,L463&gt;0.4),"Watch costs; plan replacement","Healthy — continue operating"))))</f>
        <v>End of life (age &gt; 20)</v>
      </c>
      <c r="P463" s="188" t="str">
        <f aca="false">'Engineering Assumptions'!H42</f>
        <v>TATA/Ashok Leyland + tank ~Rs. 10–14M</v>
      </c>
    </row>
    <row r="464" customFormat="false" ht="15" hidden="false" customHeight="true" outlineLevel="0" collapsed="false">
      <c r="A464" s="9" t="n">
        <v>435</v>
      </c>
      <c r="B464" s="184" t="s">
        <v>141</v>
      </c>
      <c r="C464" s="184" t="s">
        <v>2313</v>
      </c>
      <c r="D464" s="184" t="s">
        <v>1248</v>
      </c>
      <c r="E464" s="184"/>
      <c r="F464" s="45" t="s">
        <v>472</v>
      </c>
      <c r="G464" s="9" t="n">
        <v>30</v>
      </c>
      <c r="H464" s="185" t="n">
        <f aca="false">'Engineering Assumptions'!$F$42*0.03*1</f>
        <v>0.36</v>
      </c>
      <c r="I464" s="185" t="n">
        <f aca="false">'Engineering Assumptions'!$F$42*1</f>
        <v>12</v>
      </c>
      <c r="J464" s="12" t="n">
        <f aca="false">'Fleet Pricing'!L464</f>
        <v>174500</v>
      </c>
      <c r="K464" s="12" t="n">
        <f aca="false">'Maintenance &amp; Repair'!J464+'Maintenance &amp; Repair'!K464</f>
        <v>88560</v>
      </c>
      <c r="L464" s="186" t="n">
        <f aca="false">IFERROR(K464/J464,0)</f>
        <v>0.507507163323782</v>
      </c>
      <c r="M464" s="9" t="n">
        <f aca="false">MAX(0,'Engineering Assumptions'!$G$42-G464)</f>
        <v>0</v>
      </c>
      <c r="N464" s="187" t="str">
        <f aca="false">IF(G464&gt;=20,"REPLACE",IF(L464&gt;0.6,"REPLACE",IF(G464&gt;=15,"REPLACE",IF(OR(G464&gt;=11,L464&gt;0.4),"MONITOR","KEEP"))))</f>
        <v>REPLACE</v>
      </c>
      <c r="O464" s="188" t="str">
        <f aca="false">IF(G464&gt;=20,"End of life (age &gt; 20)",IF(L464&gt;0.6,"Repairs exceed 60% of revenue",IF(G464&gt;=15,"Age 15+ → replace",IF(OR(G464&gt;=11,L464&gt;0.4),"Watch costs; plan replacement","Healthy — continue operating"))))</f>
        <v>End of life (age &gt; 20)</v>
      </c>
      <c r="P464" s="188" t="str">
        <f aca="false">'Engineering Assumptions'!H42</f>
        <v>TATA/Ashok Leyland + tank ~Rs. 10–14M</v>
      </c>
    </row>
    <row r="465" customFormat="false" ht="15" hidden="false" customHeight="true" outlineLevel="0" collapsed="false">
      <c r="A465" s="9" t="n">
        <v>436</v>
      </c>
      <c r="B465" s="184" t="s">
        <v>141</v>
      </c>
      <c r="C465" s="184" t="s">
        <v>2313</v>
      </c>
      <c r="D465" s="184" t="s">
        <v>1249</v>
      </c>
      <c r="E465" s="184" t="s">
        <v>1101</v>
      </c>
      <c r="F465" s="45" t="s">
        <v>472</v>
      </c>
      <c r="G465" s="9" t="n">
        <v>30</v>
      </c>
      <c r="H465" s="185" t="n">
        <f aca="false">'Engineering Assumptions'!$F$42*0.03*1</f>
        <v>0.36</v>
      </c>
      <c r="I465" s="185" t="n">
        <f aca="false">'Engineering Assumptions'!$F$42*1</f>
        <v>12</v>
      </c>
      <c r="J465" s="12" t="n">
        <f aca="false">'Fleet Pricing'!L465</f>
        <v>174500</v>
      </c>
      <c r="K465" s="12" t="n">
        <f aca="false">'Maintenance &amp; Repair'!J465+'Maintenance &amp; Repair'!K465</f>
        <v>88560</v>
      </c>
      <c r="L465" s="186" t="n">
        <f aca="false">IFERROR(K465/J465,0)</f>
        <v>0.507507163323782</v>
      </c>
      <c r="M465" s="9" t="n">
        <f aca="false">MAX(0,'Engineering Assumptions'!$G$42-G465)</f>
        <v>0</v>
      </c>
      <c r="N465" s="187" t="str">
        <f aca="false">IF(G465&gt;=20,"REPLACE",IF(L465&gt;0.6,"REPLACE",IF(G465&gt;=15,"REPLACE",IF(OR(G465&gt;=11,L465&gt;0.4),"MONITOR","KEEP"))))</f>
        <v>REPLACE</v>
      </c>
      <c r="O465" s="188" t="str">
        <f aca="false">IF(G465&gt;=20,"End of life (age &gt; 20)",IF(L465&gt;0.6,"Repairs exceed 60% of revenue",IF(G465&gt;=15,"Age 15+ → replace",IF(OR(G465&gt;=11,L465&gt;0.4),"Watch costs; plan replacement","Healthy — continue operating"))))</f>
        <v>End of life (age &gt; 20)</v>
      </c>
      <c r="P465" s="188" t="str">
        <f aca="false">'Engineering Assumptions'!H42</f>
        <v>TATA/Ashok Leyland + tank ~Rs. 10–14M</v>
      </c>
    </row>
    <row r="466" customFormat="false" ht="15" hidden="false" customHeight="true" outlineLevel="0" collapsed="false">
      <c r="A466" s="9" t="n">
        <v>437</v>
      </c>
      <c r="B466" s="184" t="s">
        <v>141</v>
      </c>
      <c r="C466" s="184" t="s">
        <v>2313</v>
      </c>
      <c r="D466" s="184" t="s">
        <v>1250</v>
      </c>
      <c r="E466" s="184"/>
      <c r="F466" s="45" t="s">
        <v>472</v>
      </c>
      <c r="G466" s="9" t="n">
        <v>30</v>
      </c>
      <c r="H466" s="185" t="n">
        <f aca="false">'Engineering Assumptions'!$F$42*0.03*1</f>
        <v>0.36</v>
      </c>
      <c r="I466" s="185" t="n">
        <f aca="false">'Engineering Assumptions'!$F$42*1</f>
        <v>12</v>
      </c>
      <c r="J466" s="12" t="n">
        <f aca="false">'Fleet Pricing'!L466</f>
        <v>174500</v>
      </c>
      <c r="K466" s="12" t="n">
        <f aca="false">'Maintenance &amp; Repair'!J466+'Maintenance &amp; Repair'!K466</f>
        <v>88560</v>
      </c>
      <c r="L466" s="186" t="n">
        <f aca="false">IFERROR(K466/J466,0)</f>
        <v>0.507507163323782</v>
      </c>
      <c r="M466" s="9" t="n">
        <f aca="false">MAX(0,'Engineering Assumptions'!$G$42-G466)</f>
        <v>0</v>
      </c>
      <c r="N466" s="187" t="str">
        <f aca="false">IF(G466&gt;=20,"REPLACE",IF(L466&gt;0.6,"REPLACE",IF(G466&gt;=15,"REPLACE",IF(OR(G466&gt;=11,L466&gt;0.4),"MONITOR","KEEP"))))</f>
        <v>REPLACE</v>
      </c>
      <c r="O466" s="188" t="str">
        <f aca="false">IF(G466&gt;=20,"End of life (age &gt; 20)",IF(L466&gt;0.6,"Repairs exceed 60% of revenue",IF(G466&gt;=15,"Age 15+ → replace",IF(OR(G466&gt;=11,L466&gt;0.4),"Watch costs; plan replacement","Healthy — continue operating"))))</f>
        <v>End of life (age &gt; 20)</v>
      </c>
      <c r="P466" s="188" t="str">
        <f aca="false">'Engineering Assumptions'!H42</f>
        <v>TATA/Ashok Leyland + tank ~Rs. 10–14M</v>
      </c>
    </row>
    <row r="467" customFormat="false" ht="15" hidden="false" customHeight="true" outlineLevel="0" collapsed="false">
      <c r="A467" s="9" t="n">
        <v>438</v>
      </c>
      <c r="B467" s="184" t="s">
        <v>141</v>
      </c>
      <c r="C467" s="184" t="s">
        <v>2313</v>
      </c>
      <c r="D467" s="184" t="s">
        <v>1251</v>
      </c>
      <c r="E467" s="184"/>
      <c r="F467" s="45" t="s">
        <v>472</v>
      </c>
      <c r="G467" s="9" t="n">
        <v>30</v>
      </c>
      <c r="H467" s="185" t="n">
        <f aca="false">'Engineering Assumptions'!$F$42*0.03*1</f>
        <v>0.36</v>
      </c>
      <c r="I467" s="185" t="n">
        <f aca="false">'Engineering Assumptions'!$F$42*1</f>
        <v>12</v>
      </c>
      <c r="J467" s="12" t="n">
        <f aca="false">'Fleet Pricing'!L467</f>
        <v>174500</v>
      </c>
      <c r="K467" s="12" t="n">
        <f aca="false">'Maintenance &amp; Repair'!J467+'Maintenance &amp; Repair'!K467</f>
        <v>88560</v>
      </c>
      <c r="L467" s="186" t="n">
        <f aca="false">IFERROR(K467/J467,0)</f>
        <v>0.507507163323782</v>
      </c>
      <c r="M467" s="9" t="n">
        <f aca="false">MAX(0,'Engineering Assumptions'!$G$42-G467)</f>
        <v>0</v>
      </c>
      <c r="N467" s="187" t="str">
        <f aca="false">IF(G467&gt;=20,"REPLACE",IF(L467&gt;0.6,"REPLACE",IF(G467&gt;=15,"REPLACE",IF(OR(G467&gt;=11,L467&gt;0.4),"MONITOR","KEEP"))))</f>
        <v>REPLACE</v>
      </c>
      <c r="O467" s="188" t="str">
        <f aca="false">IF(G467&gt;=20,"End of life (age &gt; 20)",IF(L467&gt;0.6,"Repairs exceed 60% of revenue",IF(G467&gt;=15,"Age 15+ → replace",IF(OR(G467&gt;=11,L467&gt;0.4),"Watch costs; plan replacement","Healthy — continue operating"))))</f>
        <v>End of life (age &gt; 20)</v>
      </c>
      <c r="P467" s="188" t="str">
        <f aca="false">'Engineering Assumptions'!H42</f>
        <v>TATA/Ashok Leyland + tank ~Rs. 10–14M</v>
      </c>
    </row>
    <row r="468" customFormat="false" ht="15" hidden="false" customHeight="true" outlineLevel="0" collapsed="false">
      <c r="A468" s="9" t="n">
        <v>439</v>
      </c>
      <c r="B468" s="184" t="s">
        <v>141</v>
      </c>
      <c r="C468" s="184" t="s">
        <v>2313</v>
      </c>
      <c r="D468" s="184" t="s">
        <v>1252</v>
      </c>
      <c r="E468" s="184"/>
      <c r="F468" s="45" t="s">
        <v>472</v>
      </c>
      <c r="G468" s="9" t="n">
        <v>30</v>
      </c>
      <c r="H468" s="185" t="n">
        <f aca="false">'Engineering Assumptions'!$F$42*0.03*1</f>
        <v>0.36</v>
      </c>
      <c r="I468" s="185" t="n">
        <f aca="false">'Engineering Assumptions'!$F$42*1</f>
        <v>12</v>
      </c>
      <c r="J468" s="12" t="n">
        <f aca="false">'Fleet Pricing'!L468</f>
        <v>174500</v>
      </c>
      <c r="K468" s="12" t="n">
        <f aca="false">'Maintenance &amp; Repair'!J468+'Maintenance &amp; Repair'!K468</f>
        <v>88560</v>
      </c>
      <c r="L468" s="186" t="n">
        <f aca="false">IFERROR(K468/J468,0)</f>
        <v>0.507507163323782</v>
      </c>
      <c r="M468" s="9" t="n">
        <f aca="false">MAX(0,'Engineering Assumptions'!$G$42-G468)</f>
        <v>0</v>
      </c>
      <c r="N468" s="187" t="str">
        <f aca="false">IF(G468&gt;=20,"REPLACE",IF(L468&gt;0.6,"REPLACE",IF(G468&gt;=15,"REPLACE",IF(OR(G468&gt;=11,L468&gt;0.4),"MONITOR","KEEP"))))</f>
        <v>REPLACE</v>
      </c>
      <c r="O468" s="188" t="str">
        <f aca="false">IF(G468&gt;=20,"End of life (age &gt; 20)",IF(L468&gt;0.6,"Repairs exceed 60% of revenue",IF(G468&gt;=15,"Age 15+ → replace",IF(OR(G468&gt;=11,L468&gt;0.4),"Watch costs; plan replacement","Healthy — continue operating"))))</f>
        <v>End of life (age &gt; 20)</v>
      </c>
      <c r="P468" s="188" t="str">
        <f aca="false">'Engineering Assumptions'!H42</f>
        <v>TATA/Ashok Leyland + tank ~Rs. 10–14M</v>
      </c>
    </row>
    <row r="469" customFormat="false" ht="15" hidden="false" customHeight="true" outlineLevel="0" collapsed="false">
      <c r="A469" s="9" t="n">
        <v>440</v>
      </c>
      <c r="B469" s="184" t="s">
        <v>141</v>
      </c>
      <c r="C469" s="184" t="s">
        <v>2313</v>
      </c>
      <c r="D469" s="184" t="s">
        <v>1239</v>
      </c>
      <c r="E469" s="184" t="s">
        <v>1240</v>
      </c>
      <c r="F469" s="45" t="s">
        <v>472</v>
      </c>
      <c r="G469" s="9" t="n">
        <v>30</v>
      </c>
      <c r="H469" s="185" t="n">
        <f aca="false">'Engineering Assumptions'!$F$42*0.03*1</f>
        <v>0.36</v>
      </c>
      <c r="I469" s="185" t="n">
        <f aca="false">'Engineering Assumptions'!$F$42*1</f>
        <v>12</v>
      </c>
      <c r="J469" s="12" t="n">
        <f aca="false">'Fleet Pricing'!L469</f>
        <v>174500</v>
      </c>
      <c r="K469" s="12" t="n">
        <f aca="false">'Maintenance &amp; Repair'!J469+'Maintenance &amp; Repair'!K469</f>
        <v>88560</v>
      </c>
      <c r="L469" s="186" t="n">
        <f aca="false">IFERROR(K469/J469,0)</f>
        <v>0.507507163323782</v>
      </c>
      <c r="M469" s="9" t="n">
        <f aca="false">MAX(0,'Engineering Assumptions'!$G$42-G469)</f>
        <v>0</v>
      </c>
      <c r="N469" s="187" t="str">
        <f aca="false">IF(G469&gt;=20,"REPLACE",IF(L469&gt;0.6,"REPLACE",IF(G469&gt;=15,"REPLACE",IF(OR(G469&gt;=11,L469&gt;0.4),"MONITOR","KEEP"))))</f>
        <v>REPLACE</v>
      </c>
      <c r="O469" s="188" t="str">
        <f aca="false">IF(G469&gt;=20,"End of life (age &gt; 20)",IF(L469&gt;0.6,"Repairs exceed 60% of revenue",IF(G469&gt;=15,"Age 15+ → replace",IF(OR(G469&gt;=11,L469&gt;0.4),"Watch costs; plan replacement","Healthy — continue operating"))))</f>
        <v>End of life (age &gt; 20)</v>
      </c>
      <c r="P469" s="188" t="str">
        <f aca="false">'Engineering Assumptions'!H42</f>
        <v>TATA/Ashok Leyland + tank ~Rs. 10–14M</v>
      </c>
    </row>
    <row r="470" customFormat="false" ht="15" hidden="false" customHeight="true" outlineLevel="0" collapsed="false">
      <c r="A470" s="42" t="s">
        <v>1253</v>
      </c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</row>
    <row r="471" customFormat="false" ht="15" hidden="false" customHeight="true" outlineLevel="0" collapsed="false">
      <c r="A471" s="9" t="n">
        <v>441</v>
      </c>
      <c r="B471" s="184" t="s">
        <v>143</v>
      </c>
      <c r="C471" s="184" t="s">
        <v>2480</v>
      </c>
      <c r="D471" s="184" t="s">
        <v>1254</v>
      </c>
      <c r="E471" s="184" t="s">
        <v>1256</v>
      </c>
      <c r="F471" s="45" t="s">
        <v>310</v>
      </c>
      <c r="G471" s="9" t="n">
        <v>14</v>
      </c>
      <c r="H471" s="185" t="n">
        <f aca="false">'Engineering Assumptions'!$F$43*0.12*1</f>
        <v>0.66</v>
      </c>
      <c r="I471" s="185" t="n">
        <f aca="false">'Engineering Assumptions'!$F$43*1</f>
        <v>5.5</v>
      </c>
      <c r="J471" s="12" t="n">
        <f aca="false">'Fleet Pricing'!L471</f>
        <v>175500</v>
      </c>
      <c r="K471" s="12" t="n">
        <f aca="false">'Maintenance &amp; Repair'!J471+'Maintenance &amp; Repair'!K471</f>
        <v>43140</v>
      </c>
      <c r="L471" s="186" t="n">
        <f aca="false">IFERROR(K471/J471,0)</f>
        <v>0.245811965811966</v>
      </c>
      <c r="M471" s="9" t="n">
        <f aca="false">MAX(0,'Engineering Assumptions'!$G$43-G471)</f>
        <v>1</v>
      </c>
      <c r="N471" s="187" t="str">
        <f aca="false">IF(G471&gt;=20,"REPLACE",IF(L471&gt;0.6,"REPLACE",IF(G471&gt;=15,"REPLACE",IF(OR(G471&gt;=11,L471&gt;0.4),"MONITOR","KEEP"))))</f>
        <v>MONITOR</v>
      </c>
      <c r="O471" s="188" t="str">
        <f aca="false">IF(G471&gt;=20,"End of life (age &gt; 20)",IF(L471&gt;0.6,"Repairs exceed 60% of revenue",IF(G471&gt;=15,"Age 15+ → replace",IF(OR(G471&gt;=11,L471&gt;0.4),"Watch costs; plan replacement","Healthy — continue operating"))))</f>
        <v>Watch costs; plan replacement</v>
      </c>
      <c r="P471" s="188" t="str">
        <f aca="false">'Engineering Assumptions'!H43</f>
        <v>MAHINDRA 575 / TAFE 45DI ~Rs. 4.5–6.5M</v>
      </c>
    </row>
    <row r="472" customFormat="false" ht="15" hidden="false" customHeight="true" outlineLevel="0" collapsed="false">
      <c r="A472" s="9" t="n">
        <v>442</v>
      </c>
      <c r="B472" s="184" t="s">
        <v>143</v>
      </c>
      <c r="C472" s="184" t="s">
        <v>2480</v>
      </c>
      <c r="D472" s="184" t="s">
        <v>1257</v>
      </c>
      <c r="E472" s="184" t="s">
        <v>1258</v>
      </c>
      <c r="F472" s="45" t="s">
        <v>310</v>
      </c>
      <c r="G472" s="9" t="n">
        <v>14</v>
      </c>
      <c r="H472" s="185" t="n">
        <f aca="false">'Engineering Assumptions'!$F$43*0.12*1</f>
        <v>0.66</v>
      </c>
      <c r="I472" s="185" t="n">
        <f aca="false">'Engineering Assumptions'!$F$43*1</f>
        <v>5.5</v>
      </c>
      <c r="J472" s="12" t="n">
        <f aca="false">'Fleet Pricing'!L472</f>
        <v>175500</v>
      </c>
      <c r="K472" s="12" t="n">
        <f aca="false">'Maintenance &amp; Repair'!J472+'Maintenance &amp; Repair'!K472</f>
        <v>43140</v>
      </c>
      <c r="L472" s="186" t="n">
        <f aca="false">IFERROR(K472/J472,0)</f>
        <v>0.245811965811966</v>
      </c>
      <c r="M472" s="9" t="n">
        <f aca="false">MAX(0,'Engineering Assumptions'!$G$43-G472)</f>
        <v>1</v>
      </c>
      <c r="N472" s="187" t="str">
        <f aca="false">IF(G472&gt;=20,"REPLACE",IF(L472&gt;0.6,"REPLACE",IF(G472&gt;=15,"REPLACE",IF(OR(G472&gt;=11,L472&gt;0.4),"MONITOR","KEEP"))))</f>
        <v>MONITOR</v>
      </c>
      <c r="O472" s="188" t="str">
        <f aca="false">IF(G472&gt;=20,"End of life (age &gt; 20)",IF(L472&gt;0.6,"Repairs exceed 60% of revenue",IF(G472&gt;=15,"Age 15+ → replace",IF(OR(G472&gt;=11,L472&gt;0.4),"Watch costs; plan replacement","Healthy — continue operating"))))</f>
        <v>Watch costs; plan replacement</v>
      </c>
      <c r="P472" s="188" t="str">
        <f aca="false">'Engineering Assumptions'!H43</f>
        <v>MAHINDRA 575 / TAFE 45DI ~Rs. 4.5–6.5M</v>
      </c>
    </row>
    <row r="473" customFormat="false" ht="15" hidden="false" customHeight="true" outlineLevel="0" collapsed="false">
      <c r="A473" s="9" t="n">
        <v>443</v>
      </c>
      <c r="B473" s="184" t="s">
        <v>143</v>
      </c>
      <c r="C473" s="184" t="s">
        <v>2481</v>
      </c>
      <c r="D473" s="184" t="s">
        <v>1259</v>
      </c>
      <c r="E473" s="184" t="s">
        <v>1261</v>
      </c>
      <c r="F473" s="45" t="s">
        <v>310</v>
      </c>
      <c r="G473" s="9" t="n">
        <v>14</v>
      </c>
      <c r="H473" s="185" t="n">
        <f aca="false">'Engineering Assumptions'!$F$43*0.12*1</f>
        <v>0.66</v>
      </c>
      <c r="I473" s="185" t="n">
        <f aca="false">'Engineering Assumptions'!$F$43*1</f>
        <v>5.5</v>
      </c>
      <c r="J473" s="12" t="n">
        <f aca="false">'Fleet Pricing'!L473</f>
        <v>175500</v>
      </c>
      <c r="K473" s="12" t="n">
        <f aca="false">'Maintenance &amp; Repair'!J473+'Maintenance &amp; Repair'!K473</f>
        <v>43140</v>
      </c>
      <c r="L473" s="186" t="n">
        <f aca="false">IFERROR(K473/J473,0)</f>
        <v>0.245811965811966</v>
      </c>
      <c r="M473" s="9" t="n">
        <f aca="false">MAX(0,'Engineering Assumptions'!$G$43-G473)</f>
        <v>1</v>
      </c>
      <c r="N473" s="187" t="str">
        <f aca="false">IF(G473&gt;=20,"REPLACE",IF(L473&gt;0.6,"REPLACE",IF(G473&gt;=15,"REPLACE",IF(OR(G473&gt;=11,L473&gt;0.4),"MONITOR","KEEP"))))</f>
        <v>MONITOR</v>
      </c>
      <c r="O473" s="188" t="str">
        <f aca="false">IF(G473&gt;=20,"End of life (age &gt; 20)",IF(L473&gt;0.6,"Repairs exceed 60% of revenue",IF(G473&gt;=15,"Age 15+ → replace",IF(OR(G473&gt;=11,L473&gt;0.4),"Watch costs; plan replacement","Healthy — continue operating"))))</f>
        <v>Watch costs; plan replacement</v>
      </c>
      <c r="P473" s="188" t="str">
        <f aca="false">'Engineering Assumptions'!H43</f>
        <v>MAHINDRA 575 / TAFE 45DI ~Rs. 4.5–6.5M</v>
      </c>
    </row>
    <row r="474" customFormat="false" ht="15" hidden="false" customHeight="true" outlineLevel="0" collapsed="false">
      <c r="A474" s="9" t="n">
        <v>444</v>
      </c>
      <c r="B474" s="184" t="s">
        <v>143</v>
      </c>
      <c r="C474" s="184" t="s">
        <v>2482</v>
      </c>
      <c r="D474" s="184" t="s">
        <v>1263</v>
      </c>
      <c r="E474" s="184" t="s">
        <v>1265</v>
      </c>
      <c r="F474" s="45" t="s">
        <v>310</v>
      </c>
      <c r="G474" s="9" t="n">
        <v>14</v>
      </c>
      <c r="H474" s="185" t="n">
        <f aca="false">'Engineering Assumptions'!$F$43*0.12*1</f>
        <v>0.66</v>
      </c>
      <c r="I474" s="185" t="n">
        <f aca="false">'Engineering Assumptions'!$F$43*1</f>
        <v>5.5</v>
      </c>
      <c r="J474" s="12" t="n">
        <f aca="false">'Fleet Pricing'!L474</f>
        <v>175500</v>
      </c>
      <c r="K474" s="12" t="n">
        <f aca="false">'Maintenance &amp; Repair'!J474+'Maintenance &amp; Repair'!K474</f>
        <v>43140</v>
      </c>
      <c r="L474" s="186" t="n">
        <f aca="false">IFERROR(K474/J474,0)</f>
        <v>0.245811965811966</v>
      </c>
      <c r="M474" s="9" t="n">
        <f aca="false">MAX(0,'Engineering Assumptions'!$G$43-G474)</f>
        <v>1</v>
      </c>
      <c r="N474" s="187" t="str">
        <f aca="false">IF(G474&gt;=20,"REPLACE",IF(L474&gt;0.6,"REPLACE",IF(G474&gt;=15,"REPLACE",IF(OR(G474&gt;=11,L474&gt;0.4),"MONITOR","KEEP"))))</f>
        <v>MONITOR</v>
      </c>
      <c r="O474" s="188" t="str">
        <f aca="false">IF(G474&gt;=20,"End of life (age &gt; 20)",IF(L474&gt;0.6,"Repairs exceed 60% of revenue",IF(G474&gt;=15,"Age 15+ → replace",IF(OR(G474&gt;=11,L474&gt;0.4),"Watch costs; plan replacement","Healthy — continue operating"))))</f>
        <v>Watch costs; plan replacement</v>
      </c>
      <c r="P474" s="188" t="str">
        <f aca="false">'Engineering Assumptions'!H43</f>
        <v>MAHINDRA 575 / TAFE 45DI ~Rs. 4.5–6.5M</v>
      </c>
    </row>
    <row r="475" customFormat="false" ht="15" hidden="false" customHeight="true" outlineLevel="0" collapsed="false">
      <c r="A475" s="9" t="n">
        <v>445</v>
      </c>
      <c r="B475" s="184" t="s">
        <v>143</v>
      </c>
      <c r="C475" s="184" t="s">
        <v>2483</v>
      </c>
      <c r="D475" s="184" t="s">
        <v>1267</v>
      </c>
      <c r="E475" s="184" t="s">
        <v>1269</v>
      </c>
      <c r="F475" s="45" t="s">
        <v>623</v>
      </c>
      <c r="G475" s="9" t="n">
        <v>18</v>
      </c>
      <c r="H475" s="185" t="n">
        <f aca="false">'Engineering Assumptions'!$F$43*0.12*1</f>
        <v>0.66</v>
      </c>
      <c r="I475" s="185" t="n">
        <f aca="false">'Engineering Assumptions'!$F$43*1</f>
        <v>5.5</v>
      </c>
      <c r="J475" s="12" t="n">
        <f aca="false">'Fleet Pricing'!L475</f>
        <v>154000</v>
      </c>
      <c r="K475" s="12" t="n">
        <f aca="false">'Maintenance &amp; Repair'!J475+'Maintenance &amp; Repair'!K475</f>
        <v>61020</v>
      </c>
      <c r="L475" s="186" t="n">
        <f aca="false">IFERROR(K475/J475,0)</f>
        <v>0.396233766233766</v>
      </c>
      <c r="M475" s="9" t="n">
        <f aca="false">MAX(0,'Engineering Assumptions'!$G$43-G475)</f>
        <v>0</v>
      </c>
      <c r="N475" s="187" t="str">
        <f aca="false">IF(G475&gt;=20,"REPLACE",IF(L475&gt;0.6,"REPLACE",IF(G475&gt;=15,"REPLACE",IF(OR(G475&gt;=11,L475&gt;0.4),"MONITOR","KEEP"))))</f>
        <v>REPLACE</v>
      </c>
      <c r="O475" s="188" t="str">
        <f aca="false">IF(G475&gt;=20,"End of life (age &gt; 20)",IF(L475&gt;0.6,"Repairs exceed 60% of revenue",IF(G475&gt;=15,"Age 15+ → replace",IF(OR(G475&gt;=11,L475&gt;0.4),"Watch costs; plan replacement","Healthy — continue operating"))))</f>
        <v>Age 15+ → replace</v>
      </c>
      <c r="P475" s="188" t="str">
        <f aca="false">'Engineering Assumptions'!H43</f>
        <v>MAHINDRA 575 / TAFE 45DI ~Rs. 4.5–6.5M</v>
      </c>
    </row>
    <row r="476" customFormat="false" ht="15" hidden="false" customHeight="true" outlineLevel="0" collapsed="false">
      <c r="A476" s="9" t="n">
        <v>446</v>
      </c>
      <c r="B476" s="184" t="s">
        <v>143</v>
      </c>
      <c r="C476" s="184" t="s">
        <v>2482</v>
      </c>
      <c r="D476" s="184" t="s">
        <v>1270</v>
      </c>
      <c r="E476" s="184" t="s">
        <v>1271</v>
      </c>
      <c r="F476" s="45" t="s">
        <v>729</v>
      </c>
      <c r="G476" s="9" t="n">
        <v>21</v>
      </c>
      <c r="H476" s="185" t="n">
        <f aca="false">'Engineering Assumptions'!$F$43*0.06*1</f>
        <v>0.33</v>
      </c>
      <c r="I476" s="185" t="n">
        <f aca="false">'Engineering Assumptions'!$F$43*1</f>
        <v>5.5</v>
      </c>
      <c r="J476" s="12" t="n">
        <f aca="false">'Fleet Pricing'!L476</f>
        <v>154000</v>
      </c>
      <c r="K476" s="12" t="n">
        <f aca="false">'Maintenance &amp; Repair'!J476+'Maintenance &amp; Repair'!K476</f>
        <v>82080</v>
      </c>
      <c r="L476" s="186" t="n">
        <f aca="false">IFERROR(K476/J476,0)</f>
        <v>0.532987012987013</v>
      </c>
      <c r="M476" s="9" t="n">
        <f aca="false">MAX(0,'Engineering Assumptions'!$G$43-G476)</f>
        <v>0</v>
      </c>
      <c r="N476" s="187" t="str">
        <f aca="false">IF(G476&gt;=20,"REPLACE",IF(L476&gt;0.6,"REPLACE",IF(G476&gt;=15,"REPLACE",IF(OR(G476&gt;=11,L476&gt;0.4),"MONITOR","KEEP"))))</f>
        <v>REPLACE</v>
      </c>
      <c r="O476" s="188" t="str">
        <f aca="false">IF(G476&gt;=20,"End of life (age &gt; 20)",IF(L476&gt;0.6,"Repairs exceed 60% of revenue",IF(G476&gt;=15,"Age 15+ → replace",IF(OR(G476&gt;=11,L476&gt;0.4),"Watch costs; plan replacement","Healthy — continue operating"))))</f>
        <v>End of life (age &gt; 20)</v>
      </c>
      <c r="P476" s="188" t="str">
        <f aca="false">'Engineering Assumptions'!H43</f>
        <v>MAHINDRA 575 / TAFE 45DI ~Rs. 4.5–6.5M</v>
      </c>
    </row>
    <row r="477" customFormat="false" ht="15" hidden="false" customHeight="true" outlineLevel="0" collapsed="false">
      <c r="A477" s="9" t="n">
        <v>447</v>
      </c>
      <c r="B477" s="184" t="s">
        <v>143</v>
      </c>
      <c r="C477" s="184" t="s">
        <v>2482</v>
      </c>
      <c r="D477" s="184" t="s">
        <v>1272</v>
      </c>
      <c r="E477" s="184" t="s">
        <v>1273</v>
      </c>
      <c r="F477" s="45" t="s">
        <v>729</v>
      </c>
      <c r="G477" s="9" t="n">
        <v>21</v>
      </c>
      <c r="H477" s="185" t="n">
        <f aca="false">'Engineering Assumptions'!$F$43*0.06*1</f>
        <v>0.33</v>
      </c>
      <c r="I477" s="185" t="n">
        <f aca="false">'Engineering Assumptions'!$F$43*1</f>
        <v>5.5</v>
      </c>
      <c r="J477" s="12" t="n">
        <f aca="false">'Fleet Pricing'!L477</f>
        <v>154000</v>
      </c>
      <c r="K477" s="12" t="n">
        <f aca="false">'Maintenance &amp; Repair'!J477+'Maintenance &amp; Repair'!K477</f>
        <v>82080</v>
      </c>
      <c r="L477" s="186" t="n">
        <f aca="false">IFERROR(K477/J477,0)</f>
        <v>0.532987012987013</v>
      </c>
      <c r="M477" s="9" t="n">
        <f aca="false">MAX(0,'Engineering Assumptions'!$G$43-G477)</f>
        <v>0</v>
      </c>
      <c r="N477" s="187" t="str">
        <f aca="false">IF(G477&gt;=20,"REPLACE",IF(L477&gt;0.6,"REPLACE",IF(G477&gt;=15,"REPLACE",IF(OR(G477&gt;=11,L477&gt;0.4),"MONITOR","KEEP"))))</f>
        <v>REPLACE</v>
      </c>
      <c r="O477" s="188" t="str">
        <f aca="false">IF(G477&gt;=20,"End of life (age &gt; 20)",IF(L477&gt;0.6,"Repairs exceed 60% of revenue",IF(G477&gt;=15,"Age 15+ → replace",IF(OR(G477&gt;=11,L477&gt;0.4),"Watch costs; plan replacement","Healthy — continue operating"))))</f>
        <v>End of life (age &gt; 20)</v>
      </c>
      <c r="P477" s="188" t="str">
        <f aca="false">'Engineering Assumptions'!H43</f>
        <v>MAHINDRA 575 / TAFE 45DI ~Rs. 4.5–6.5M</v>
      </c>
    </row>
    <row r="478" customFormat="false" ht="15" hidden="false" customHeight="true" outlineLevel="0" collapsed="false">
      <c r="A478" s="9" t="n">
        <v>448</v>
      </c>
      <c r="B478" s="184" t="s">
        <v>143</v>
      </c>
      <c r="C478" s="184" t="s">
        <v>2484</v>
      </c>
      <c r="D478" s="184" t="s">
        <v>1275</v>
      </c>
      <c r="E478" s="184" t="s">
        <v>1277</v>
      </c>
      <c r="F478" s="45" t="s">
        <v>1276</v>
      </c>
      <c r="G478" s="9" t="n">
        <v>46</v>
      </c>
      <c r="H478" s="185" t="n">
        <f aca="false">'Engineering Assumptions'!$F$43*0.03*1</f>
        <v>0.165</v>
      </c>
      <c r="I478" s="185" t="n">
        <f aca="false">'Engineering Assumptions'!$F$43*1</f>
        <v>5.5</v>
      </c>
      <c r="J478" s="12" t="n">
        <f aca="false">'Fleet Pricing'!L478</f>
        <v>124500</v>
      </c>
      <c r="K478" s="12" t="n">
        <f aca="false">'Maintenance &amp; Repair'!J478+'Maintenance &amp; Repair'!K478</f>
        <v>82080</v>
      </c>
      <c r="L478" s="186" t="n">
        <f aca="false">IFERROR(K478/J478,0)</f>
        <v>0.659277108433735</v>
      </c>
      <c r="M478" s="9" t="n">
        <f aca="false">MAX(0,'Engineering Assumptions'!$G$43-G478)</f>
        <v>0</v>
      </c>
      <c r="N478" s="187" t="str">
        <f aca="false">IF(G478&gt;=20,"REPLACE",IF(L478&gt;0.6,"REPLACE",IF(G478&gt;=15,"REPLACE",IF(OR(G478&gt;=11,L478&gt;0.4),"MONITOR","KEEP"))))</f>
        <v>REPLACE</v>
      </c>
      <c r="O478" s="188" t="str">
        <f aca="false">IF(G478&gt;=20,"End of life (age &gt; 20)",IF(L478&gt;0.6,"Repairs exceed 60% of revenue",IF(G478&gt;=15,"Age 15+ → replace",IF(OR(G478&gt;=11,L478&gt;0.4),"Watch costs; plan replacement","Healthy — continue operating"))))</f>
        <v>End of life (age &gt; 20)</v>
      </c>
      <c r="P478" s="188" t="str">
        <f aca="false">'Engineering Assumptions'!H43</f>
        <v>MAHINDRA 575 / TAFE 45DI ~Rs. 4.5–6.5M</v>
      </c>
    </row>
    <row r="479" customFormat="false" ht="15" hidden="false" customHeight="true" outlineLevel="0" collapsed="false">
      <c r="A479" s="9" t="n">
        <v>449</v>
      </c>
      <c r="B479" s="184" t="s">
        <v>143</v>
      </c>
      <c r="C479" s="184" t="s">
        <v>2485</v>
      </c>
      <c r="D479" s="184" t="s">
        <v>1278</v>
      </c>
      <c r="E479" s="184" t="s">
        <v>1281</v>
      </c>
      <c r="F479" s="45" t="s">
        <v>1280</v>
      </c>
      <c r="G479" s="9" t="n">
        <v>52</v>
      </c>
      <c r="H479" s="185" t="n">
        <f aca="false">'Engineering Assumptions'!$F$43*0.03*1</f>
        <v>0.165</v>
      </c>
      <c r="I479" s="185" t="n">
        <f aca="false">'Engineering Assumptions'!$F$43*1</f>
        <v>5.5</v>
      </c>
      <c r="J479" s="12" t="n">
        <f aca="false">'Fleet Pricing'!L479</f>
        <v>124500</v>
      </c>
      <c r="K479" s="12" t="n">
        <f aca="false">'Maintenance &amp; Repair'!J479+'Maintenance &amp; Repair'!K479</f>
        <v>82080</v>
      </c>
      <c r="L479" s="186" t="n">
        <f aca="false">IFERROR(K479/J479,0)</f>
        <v>0.659277108433735</v>
      </c>
      <c r="M479" s="9" t="n">
        <f aca="false">MAX(0,'Engineering Assumptions'!$G$43-G479)</f>
        <v>0</v>
      </c>
      <c r="N479" s="187" t="str">
        <f aca="false">IF(G479&gt;=20,"REPLACE",IF(L479&gt;0.6,"REPLACE",IF(G479&gt;=15,"REPLACE",IF(OR(G479&gt;=11,L479&gt;0.4),"MONITOR","KEEP"))))</f>
        <v>REPLACE</v>
      </c>
      <c r="O479" s="188" t="str">
        <f aca="false">IF(G479&gt;=20,"End of life (age &gt; 20)",IF(L479&gt;0.6,"Repairs exceed 60% of revenue",IF(G479&gt;=15,"Age 15+ → replace",IF(OR(G479&gt;=11,L479&gt;0.4),"Watch costs; plan replacement","Healthy — continue operating"))))</f>
        <v>End of life (age &gt; 20)</v>
      </c>
      <c r="P479" s="188" t="str">
        <f aca="false">'Engineering Assumptions'!H43</f>
        <v>MAHINDRA 575 / TAFE 45DI ~Rs. 4.5–6.5M</v>
      </c>
    </row>
    <row r="480" customFormat="false" ht="15" hidden="false" customHeight="true" outlineLevel="0" collapsed="false">
      <c r="A480" s="9" t="n">
        <v>450</v>
      </c>
      <c r="B480" s="184" t="s">
        <v>143</v>
      </c>
      <c r="C480" s="184" t="s">
        <v>2313</v>
      </c>
      <c r="D480" s="184" t="s">
        <v>1283</v>
      </c>
      <c r="E480" s="184" t="s">
        <v>1269</v>
      </c>
      <c r="F480" s="45" t="s">
        <v>472</v>
      </c>
      <c r="G480" s="9" t="n">
        <v>30</v>
      </c>
      <c r="H480" s="185" t="n">
        <f aca="false">'Engineering Assumptions'!$F$43*0.03*1</f>
        <v>0.165</v>
      </c>
      <c r="I480" s="185" t="n">
        <f aca="false">'Engineering Assumptions'!$F$43*1</f>
        <v>5.5</v>
      </c>
      <c r="J480" s="12" t="n">
        <f aca="false">'Fleet Pricing'!L480</f>
        <v>124500</v>
      </c>
      <c r="K480" s="12" t="n">
        <f aca="false">'Maintenance &amp; Repair'!J480+'Maintenance &amp; Repair'!K480</f>
        <v>82080</v>
      </c>
      <c r="L480" s="186" t="n">
        <f aca="false">IFERROR(K480/J480,0)</f>
        <v>0.659277108433735</v>
      </c>
      <c r="M480" s="9" t="n">
        <f aca="false">MAX(0,'Engineering Assumptions'!$G$43-G480)</f>
        <v>0</v>
      </c>
      <c r="N480" s="187" t="str">
        <f aca="false">IF(G480&gt;=20,"REPLACE",IF(L480&gt;0.6,"REPLACE",IF(G480&gt;=15,"REPLACE",IF(OR(G480&gt;=11,L480&gt;0.4),"MONITOR","KEEP"))))</f>
        <v>REPLACE</v>
      </c>
      <c r="O480" s="188" t="str">
        <f aca="false">IF(G480&gt;=20,"End of life (age &gt; 20)",IF(L480&gt;0.6,"Repairs exceed 60% of revenue",IF(G480&gt;=15,"Age 15+ → replace",IF(OR(G480&gt;=11,L480&gt;0.4),"Watch costs; plan replacement","Healthy — continue operating"))))</f>
        <v>End of life (age &gt; 20)</v>
      </c>
      <c r="P480" s="188" t="str">
        <f aca="false">'Engineering Assumptions'!H43</f>
        <v>MAHINDRA 575 / TAFE 45DI ~Rs. 4.5–6.5M</v>
      </c>
    </row>
    <row r="481" customFormat="false" ht="15" hidden="false" customHeight="true" outlineLevel="0" collapsed="false">
      <c r="A481" s="9" t="n">
        <v>451</v>
      </c>
      <c r="B481" s="184" t="s">
        <v>143</v>
      </c>
      <c r="C481" s="184" t="s">
        <v>2313</v>
      </c>
      <c r="D481" s="184"/>
      <c r="E481" s="184"/>
      <c r="F481" s="45" t="s">
        <v>472</v>
      </c>
      <c r="G481" s="9" t="n">
        <v>30</v>
      </c>
      <c r="H481" s="185" t="n">
        <f aca="false">'Engineering Assumptions'!$F$43*0.03*1</f>
        <v>0.165</v>
      </c>
      <c r="I481" s="185" t="n">
        <f aca="false">'Engineering Assumptions'!$F$43*1</f>
        <v>5.5</v>
      </c>
      <c r="J481" s="12" t="n">
        <f aca="false">'Fleet Pricing'!L481</f>
        <v>124500</v>
      </c>
      <c r="K481" s="12" t="n">
        <f aca="false">'Maintenance &amp; Repair'!J481+'Maintenance &amp; Repair'!K481</f>
        <v>82080</v>
      </c>
      <c r="L481" s="186" t="n">
        <f aca="false">IFERROR(K481/J481,0)</f>
        <v>0.659277108433735</v>
      </c>
      <c r="M481" s="9" t="n">
        <f aca="false">MAX(0,'Engineering Assumptions'!$G$43-G481)</f>
        <v>0</v>
      </c>
      <c r="N481" s="187" t="str">
        <f aca="false">IF(G481&gt;=20,"REPLACE",IF(L481&gt;0.6,"REPLACE",IF(G481&gt;=15,"REPLACE",IF(OR(G481&gt;=11,L481&gt;0.4),"MONITOR","KEEP"))))</f>
        <v>REPLACE</v>
      </c>
      <c r="O481" s="188" t="str">
        <f aca="false">IF(G481&gt;=20,"End of life (age &gt; 20)",IF(L481&gt;0.6,"Repairs exceed 60% of revenue",IF(G481&gt;=15,"Age 15+ → replace",IF(OR(G481&gt;=11,L481&gt;0.4),"Watch costs; plan replacement","Healthy — continue operating"))))</f>
        <v>End of life (age &gt; 20)</v>
      </c>
      <c r="P481" s="188" t="str">
        <f aca="false">'Engineering Assumptions'!H43</f>
        <v>MAHINDRA 575 / TAFE 45DI ~Rs. 4.5–6.5M</v>
      </c>
    </row>
    <row r="482" customFormat="false" ht="15" hidden="false" customHeight="true" outlineLevel="0" collapsed="false">
      <c r="A482" s="9" t="n">
        <v>452</v>
      </c>
      <c r="B482" s="184" t="s">
        <v>143</v>
      </c>
      <c r="C482" s="184" t="s">
        <v>2483</v>
      </c>
      <c r="D482" s="184"/>
      <c r="E482" s="184"/>
      <c r="F482" s="45" t="s">
        <v>472</v>
      </c>
      <c r="G482" s="9" t="n">
        <v>30</v>
      </c>
      <c r="H482" s="185" t="n">
        <f aca="false">'Engineering Assumptions'!$F$43*0.03*1</f>
        <v>0.165</v>
      </c>
      <c r="I482" s="185" t="n">
        <f aca="false">'Engineering Assumptions'!$F$43*1</f>
        <v>5.5</v>
      </c>
      <c r="J482" s="12" t="n">
        <f aca="false">'Fleet Pricing'!L482</f>
        <v>124500</v>
      </c>
      <c r="K482" s="12" t="n">
        <f aca="false">'Maintenance &amp; Repair'!J482+'Maintenance &amp; Repair'!K482</f>
        <v>82080</v>
      </c>
      <c r="L482" s="186" t="n">
        <f aca="false">IFERROR(K482/J482,0)</f>
        <v>0.659277108433735</v>
      </c>
      <c r="M482" s="9" t="n">
        <f aca="false">MAX(0,'Engineering Assumptions'!$G$43-G482)</f>
        <v>0</v>
      </c>
      <c r="N482" s="187" t="str">
        <f aca="false">IF(G482&gt;=20,"REPLACE",IF(L482&gt;0.6,"REPLACE",IF(G482&gt;=15,"REPLACE",IF(OR(G482&gt;=11,L482&gt;0.4),"MONITOR","KEEP"))))</f>
        <v>REPLACE</v>
      </c>
      <c r="O482" s="188" t="str">
        <f aca="false">IF(G482&gt;=20,"End of life (age &gt; 20)",IF(L482&gt;0.6,"Repairs exceed 60% of revenue",IF(G482&gt;=15,"Age 15+ → replace",IF(OR(G482&gt;=11,L482&gt;0.4),"Watch costs; plan replacement","Healthy — continue operating"))))</f>
        <v>End of life (age &gt; 20)</v>
      </c>
      <c r="P482" s="188" t="str">
        <f aca="false">'Engineering Assumptions'!H43</f>
        <v>MAHINDRA 575 / TAFE 45DI ~Rs. 4.5–6.5M</v>
      </c>
    </row>
    <row r="483" customFormat="false" ht="15" hidden="false" customHeight="true" outlineLevel="0" collapsed="false">
      <c r="A483" s="42" t="s">
        <v>1284</v>
      </c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</row>
    <row r="484" customFormat="false" ht="15" hidden="false" customHeight="true" outlineLevel="0" collapsed="false">
      <c r="A484" s="9" t="n">
        <v>453</v>
      </c>
      <c r="B484" s="184" t="s">
        <v>145</v>
      </c>
      <c r="C484" s="184" t="s">
        <v>2486</v>
      </c>
      <c r="D484" s="184" t="s">
        <v>1286</v>
      </c>
      <c r="E484" s="184" t="s">
        <v>1288</v>
      </c>
      <c r="F484" s="45" t="s">
        <v>397</v>
      </c>
      <c r="G484" s="9" t="n">
        <v>9</v>
      </c>
      <c r="H484" s="185" t="n">
        <f aca="false">'Engineering Assumptions'!$F$44*0.22*1</f>
        <v>0.099</v>
      </c>
      <c r="I484" s="185" t="n">
        <f aca="false">'Engineering Assumptions'!$F$44*1</f>
        <v>0.45</v>
      </c>
      <c r="J484" s="12" t="n">
        <f aca="false">'Fleet Pricing'!L484</f>
        <v>47000</v>
      </c>
      <c r="K484" s="12" t="n">
        <f aca="false">'Maintenance &amp; Repair'!J484+'Maintenance &amp; Repair'!K484</f>
        <v>6900</v>
      </c>
      <c r="L484" s="186" t="n">
        <f aca="false">IFERROR(K484/J484,0)</f>
        <v>0.146808510638298</v>
      </c>
      <c r="M484" s="9" t="n">
        <f aca="false">MAX(0,'Engineering Assumptions'!$G$44-G484)</f>
        <v>0</v>
      </c>
      <c r="N484" s="187" t="str">
        <f aca="false">IF(G484&gt;=20,"REPLACE",IF(L484&gt;0.6,"REPLACE",IF(G484&gt;=15,"REPLACE",IF(OR(G484&gt;=11,L484&gt;0.4),"MONITOR","KEEP"))))</f>
        <v>KEEP</v>
      </c>
      <c r="O484" s="188" t="str">
        <f aca="false">IF(G484&gt;=20,"End of life (age &gt; 20)",IF(L484&gt;0.6,"Repairs exceed 60% of revenue",IF(G484&gt;=15,"Age 15+ → replace",IF(OR(G484&gt;=11,L484&gt;0.4),"Watch costs; plan replacement","Healthy — continue operating"))))</f>
        <v>Healthy — continue operating</v>
      </c>
      <c r="P484" s="188" t="str">
        <f aca="false">'Engineering Assumptions'!H44</f>
        <v>BAJAJ Platina / HONDA CD110 ~Rs. 400k–500k</v>
      </c>
    </row>
    <row r="485" customFormat="false" ht="15" hidden="false" customHeight="true" outlineLevel="0" collapsed="false">
      <c r="A485" s="9" t="n">
        <v>454</v>
      </c>
      <c r="B485" s="184" t="s">
        <v>145</v>
      </c>
      <c r="C485" s="184" t="s">
        <v>2486</v>
      </c>
      <c r="D485" s="184" t="s">
        <v>1294</v>
      </c>
      <c r="E485" s="184" t="s">
        <v>1295</v>
      </c>
      <c r="F485" s="45" t="s">
        <v>397</v>
      </c>
      <c r="G485" s="9" t="n">
        <v>9</v>
      </c>
      <c r="H485" s="185" t="n">
        <f aca="false">'Engineering Assumptions'!$F$44*0.22*1</f>
        <v>0.099</v>
      </c>
      <c r="I485" s="185" t="n">
        <f aca="false">'Engineering Assumptions'!$F$44*1</f>
        <v>0.45</v>
      </c>
      <c r="J485" s="12" t="n">
        <f aca="false">'Fleet Pricing'!L485</f>
        <v>47000</v>
      </c>
      <c r="K485" s="12" t="n">
        <f aca="false">'Maintenance &amp; Repair'!J485+'Maintenance &amp; Repair'!K485</f>
        <v>6900</v>
      </c>
      <c r="L485" s="186" t="n">
        <f aca="false">IFERROR(K485/J485,0)</f>
        <v>0.146808510638298</v>
      </c>
      <c r="M485" s="9" t="n">
        <f aca="false">MAX(0,'Engineering Assumptions'!$G$44-G485)</f>
        <v>0</v>
      </c>
      <c r="N485" s="187" t="str">
        <f aca="false">IF(G485&gt;=20,"REPLACE",IF(L485&gt;0.6,"REPLACE",IF(G485&gt;=15,"REPLACE",IF(OR(G485&gt;=11,L485&gt;0.4),"MONITOR","KEEP"))))</f>
        <v>KEEP</v>
      </c>
      <c r="O485" s="188" t="str">
        <f aca="false">IF(G485&gt;=20,"End of life (age &gt; 20)",IF(L485&gt;0.6,"Repairs exceed 60% of revenue",IF(G485&gt;=15,"Age 15+ → replace",IF(OR(G485&gt;=11,L485&gt;0.4),"Watch costs; plan replacement","Healthy — continue operating"))))</f>
        <v>Healthy — continue operating</v>
      </c>
      <c r="P485" s="188" t="str">
        <f aca="false">'Engineering Assumptions'!H44</f>
        <v>BAJAJ Platina / HONDA CD110 ~Rs. 400k–500k</v>
      </c>
    </row>
    <row r="486" customFormat="false" ht="15" hidden="false" customHeight="true" outlineLevel="0" collapsed="false">
      <c r="A486" s="9" t="n">
        <v>455</v>
      </c>
      <c r="B486" s="184" t="s">
        <v>145</v>
      </c>
      <c r="C486" s="184" t="s">
        <v>2487</v>
      </c>
      <c r="D486" s="184" t="s">
        <v>1328</v>
      </c>
      <c r="E486" s="184" t="s">
        <v>1330</v>
      </c>
      <c r="F486" s="45" t="s">
        <v>397</v>
      </c>
      <c r="G486" s="9" t="n">
        <v>9</v>
      </c>
      <c r="H486" s="185" t="n">
        <f aca="false">'Engineering Assumptions'!$F$44*0.22*1</f>
        <v>0.099</v>
      </c>
      <c r="I486" s="185" t="n">
        <f aca="false">'Engineering Assumptions'!$F$44*1</f>
        <v>0.45</v>
      </c>
      <c r="J486" s="12" t="n">
        <f aca="false">'Fleet Pricing'!L486</f>
        <v>47000</v>
      </c>
      <c r="K486" s="12" t="n">
        <f aca="false">'Maintenance &amp; Repair'!J486+'Maintenance &amp; Repair'!K486</f>
        <v>6900</v>
      </c>
      <c r="L486" s="186" t="n">
        <f aca="false">IFERROR(K486/J486,0)</f>
        <v>0.146808510638298</v>
      </c>
      <c r="M486" s="9" t="n">
        <f aca="false">MAX(0,'Engineering Assumptions'!$G$44-G486)</f>
        <v>0</v>
      </c>
      <c r="N486" s="187" t="str">
        <f aca="false">IF(G486&gt;=20,"REPLACE",IF(L486&gt;0.6,"REPLACE",IF(G486&gt;=15,"REPLACE",IF(OR(G486&gt;=11,L486&gt;0.4),"MONITOR","KEEP"))))</f>
        <v>KEEP</v>
      </c>
      <c r="O486" s="188" t="str">
        <f aca="false">IF(G486&gt;=20,"End of life (age &gt; 20)",IF(L486&gt;0.6,"Repairs exceed 60% of revenue",IF(G486&gt;=15,"Age 15+ → replace",IF(OR(G486&gt;=11,L486&gt;0.4),"Watch costs; plan replacement","Healthy — continue operating"))))</f>
        <v>Healthy — continue operating</v>
      </c>
      <c r="P486" s="188" t="str">
        <f aca="false">'Engineering Assumptions'!H44</f>
        <v>BAJAJ Platina / HONDA CD110 ~Rs. 400k–500k</v>
      </c>
    </row>
    <row r="487" customFormat="false" ht="15" hidden="false" customHeight="true" outlineLevel="0" collapsed="false">
      <c r="A487" s="9" t="n">
        <v>456</v>
      </c>
      <c r="B487" s="184" t="s">
        <v>145</v>
      </c>
      <c r="C487" s="184" t="s">
        <v>2488</v>
      </c>
      <c r="D487" s="184" t="s">
        <v>1356</v>
      </c>
      <c r="E487" s="184" t="s">
        <v>1357</v>
      </c>
      <c r="F487" s="45" t="s">
        <v>397</v>
      </c>
      <c r="G487" s="9" t="n">
        <v>9</v>
      </c>
      <c r="H487" s="185" t="n">
        <f aca="false">'Engineering Assumptions'!$F$44*0.22*1</f>
        <v>0.099</v>
      </c>
      <c r="I487" s="185" t="n">
        <f aca="false">'Engineering Assumptions'!$F$44*1</f>
        <v>0.45</v>
      </c>
      <c r="J487" s="12" t="n">
        <f aca="false">'Fleet Pricing'!L487</f>
        <v>47000</v>
      </c>
      <c r="K487" s="12" t="n">
        <f aca="false">'Maintenance &amp; Repair'!J487+'Maintenance &amp; Repair'!K487</f>
        <v>6900</v>
      </c>
      <c r="L487" s="186" t="n">
        <f aca="false">IFERROR(K487/J487,0)</f>
        <v>0.146808510638298</v>
      </c>
      <c r="M487" s="9" t="n">
        <f aca="false">MAX(0,'Engineering Assumptions'!$G$44-G487)</f>
        <v>0</v>
      </c>
      <c r="N487" s="187" t="str">
        <f aca="false">IF(G487&gt;=20,"REPLACE",IF(L487&gt;0.6,"REPLACE",IF(G487&gt;=15,"REPLACE",IF(OR(G487&gt;=11,L487&gt;0.4),"MONITOR","KEEP"))))</f>
        <v>KEEP</v>
      </c>
      <c r="O487" s="188" t="str">
        <f aca="false">IF(G487&gt;=20,"End of life (age &gt; 20)",IF(L487&gt;0.6,"Repairs exceed 60% of revenue",IF(G487&gt;=15,"Age 15+ → replace",IF(OR(G487&gt;=11,L487&gt;0.4),"Watch costs; plan replacement","Healthy — continue operating"))))</f>
        <v>Healthy — continue operating</v>
      </c>
      <c r="P487" s="188" t="str">
        <f aca="false">'Engineering Assumptions'!H44</f>
        <v>BAJAJ Platina / HONDA CD110 ~Rs. 400k–500k</v>
      </c>
    </row>
    <row r="488" customFormat="false" ht="15" hidden="false" customHeight="true" outlineLevel="0" collapsed="false">
      <c r="A488" s="9" t="n">
        <v>457</v>
      </c>
      <c r="B488" s="184" t="s">
        <v>145</v>
      </c>
      <c r="C488" s="184" t="s">
        <v>2488</v>
      </c>
      <c r="D488" s="184" t="s">
        <v>1301</v>
      </c>
      <c r="E488" s="184" t="s">
        <v>1302</v>
      </c>
      <c r="F488" s="45" t="s">
        <v>397</v>
      </c>
      <c r="G488" s="9" t="n">
        <v>9</v>
      </c>
      <c r="H488" s="185" t="n">
        <f aca="false">'Engineering Assumptions'!$F$44*0.22*1</f>
        <v>0.099</v>
      </c>
      <c r="I488" s="185" t="n">
        <f aca="false">'Engineering Assumptions'!$F$44*1</f>
        <v>0.45</v>
      </c>
      <c r="J488" s="12" t="n">
        <f aca="false">'Fleet Pricing'!L488</f>
        <v>47000</v>
      </c>
      <c r="K488" s="12" t="n">
        <f aca="false">'Maintenance &amp; Repair'!J488+'Maintenance &amp; Repair'!K488</f>
        <v>6900</v>
      </c>
      <c r="L488" s="186" t="n">
        <f aca="false">IFERROR(K488/J488,0)</f>
        <v>0.146808510638298</v>
      </c>
      <c r="M488" s="9" t="n">
        <f aca="false">MAX(0,'Engineering Assumptions'!$G$44-G488)</f>
        <v>0</v>
      </c>
      <c r="N488" s="187" t="str">
        <f aca="false">IF(G488&gt;=20,"REPLACE",IF(L488&gt;0.6,"REPLACE",IF(G488&gt;=15,"REPLACE",IF(OR(G488&gt;=11,L488&gt;0.4),"MONITOR","KEEP"))))</f>
        <v>KEEP</v>
      </c>
      <c r="O488" s="188" t="str">
        <f aca="false">IF(G488&gt;=20,"End of life (age &gt; 20)",IF(L488&gt;0.6,"Repairs exceed 60% of revenue",IF(G488&gt;=15,"Age 15+ → replace",IF(OR(G488&gt;=11,L488&gt;0.4),"Watch costs; plan replacement","Healthy — continue operating"))))</f>
        <v>Healthy — continue operating</v>
      </c>
      <c r="P488" s="188" t="str">
        <f aca="false">'Engineering Assumptions'!H44</f>
        <v>BAJAJ Platina / HONDA CD110 ~Rs. 400k–500k</v>
      </c>
    </row>
    <row r="489" customFormat="false" ht="15" hidden="false" customHeight="true" outlineLevel="0" collapsed="false">
      <c r="A489" s="9" t="n">
        <v>458</v>
      </c>
      <c r="B489" s="184" t="s">
        <v>145</v>
      </c>
      <c r="C489" s="184" t="s">
        <v>2489</v>
      </c>
      <c r="D489" s="184" t="s">
        <v>1296</v>
      </c>
      <c r="E489" s="184" t="s">
        <v>1298</v>
      </c>
      <c r="F489" s="45" t="s">
        <v>318</v>
      </c>
      <c r="G489" s="9" t="n">
        <v>10</v>
      </c>
      <c r="H489" s="185" t="n">
        <f aca="false">'Engineering Assumptions'!$F$44*0.22*1</f>
        <v>0.099</v>
      </c>
      <c r="I489" s="185" t="n">
        <f aca="false">'Engineering Assumptions'!$F$44*1</f>
        <v>0.45</v>
      </c>
      <c r="J489" s="12" t="n">
        <f aca="false">'Fleet Pricing'!L489</f>
        <v>47000</v>
      </c>
      <c r="K489" s="12" t="n">
        <f aca="false">'Maintenance &amp; Repair'!J489+'Maintenance &amp; Repair'!K489</f>
        <v>6900</v>
      </c>
      <c r="L489" s="186" t="n">
        <f aca="false">IFERROR(K489/J489,0)</f>
        <v>0.146808510638298</v>
      </c>
      <c r="M489" s="9" t="n">
        <f aca="false">MAX(0,'Engineering Assumptions'!$G$44-G489)</f>
        <v>0</v>
      </c>
      <c r="N489" s="187" t="str">
        <f aca="false">IF(G489&gt;=20,"REPLACE",IF(L489&gt;0.6,"REPLACE",IF(G489&gt;=15,"REPLACE",IF(OR(G489&gt;=11,L489&gt;0.4),"MONITOR","KEEP"))))</f>
        <v>KEEP</v>
      </c>
      <c r="O489" s="188" t="str">
        <f aca="false">IF(G489&gt;=20,"End of life (age &gt; 20)",IF(L489&gt;0.6,"Repairs exceed 60% of revenue",IF(G489&gt;=15,"Age 15+ → replace",IF(OR(G489&gt;=11,L489&gt;0.4),"Watch costs; plan replacement","Healthy — continue operating"))))</f>
        <v>Healthy — continue operating</v>
      </c>
      <c r="P489" s="188" t="str">
        <f aca="false">'Engineering Assumptions'!H44</f>
        <v>BAJAJ Platina / HONDA CD110 ~Rs. 400k–500k</v>
      </c>
    </row>
    <row r="490" customFormat="false" ht="15" hidden="false" customHeight="true" outlineLevel="0" collapsed="false">
      <c r="A490" s="9" t="n">
        <v>459</v>
      </c>
      <c r="B490" s="184" t="s">
        <v>145</v>
      </c>
      <c r="C490" s="184" t="s">
        <v>2486</v>
      </c>
      <c r="D490" s="184" t="s">
        <v>1299</v>
      </c>
      <c r="E490" s="184" t="s">
        <v>1300</v>
      </c>
      <c r="F490" s="45" t="s">
        <v>318</v>
      </c>
      <c r="G490" s="9" t="n">
        <v>10</v>
      </c>
      <c r="H490" s="185" t="n">
        <f aca="false">'Engineering Assumptions'!$F$44*0.22*1</f>
        <v>0.099</v>
      </c>
      <c r="I490" s="185" t="n">
        <f aca="false">'Engineering Assumptions'!$F$44*1</f>
        <v>0.45</v>
      </c>
      <c r="J490" s="12" t="n">
        <f aca="false">'Fleet Pricing'!L490</f>
        <v>47000</v>
      </c>
      <c r="K490" s="12" t="n">
        <f aca="false">'Maintenance &amp; Repair'!J490+'Maintenance &amp; Repair'!K490</f>
        <v>6900</v>
      </c>
      <c r="L490" s="186" t="n">
        <f aca="false">IFERROR(K490/J490,0)</f>
        <v>0.146808510638298</v>
      </c>
      <c r="M490" s="9" t="n">
        <f aca="false">MAX(0,'Engineering Assumptions'!$G$44-G490)</f>
        <v>0</v>
      </c>
      <c r="N490" s="187" t="str">
        <f aca="false">IF(G490&gt;=20,"REPLACE",IF(L490&gt;0.6,"REPLACE",IF(G490&gt;=15,"REPLACE",IF(OR(G490&gt;=11,L490&gt;0.4),"MONITOR","KEEP"))))</f>
        <v>KEEP</v>
      </c>
      <c r="O490" s="188" t="str">
        <f aca="false">IF(G490&gt;=20,"End of life (age &gt; 20)",IF(L490&gt;0.6,"Repairs exceed 60% of revenue",IF(G490&gt;=15,"Age 15+ → replace",IF(OR(G490&gt;=11,L490&gt;0.4),"Watch costs; plan replacement","Healthy — continue operating"))))</f>
        <v>Healthy — continue operating</v>
      </c>
      <c r="P490" s="188" t="str">
        <f aca="false">'Engineering Assumptions'!H44</f>
        <v>BAJAJ Platina / HONDA CD110 ~Rs. 400k–500k</v>
      </c>
    </row>
    <row r="491" customFormat="false" ht="15" hidden="false" customHeight="true" outlineLevel="0" collapsed="false">
      <c r="A491" s="9" t="n">
        <v>460</v>
      </c>
      <c r="B491" s="184" t="s">
        <v>145</v>
      </c>
      <c r="C491" s="184" t="s">
        <v>2486</v>
      </c>
      <c r="D491" s="184" t="s">
        <v>1340</v>
      </c>
      <c r="E491" s="184" t="s">
        <v>1341</v>
      </c>
      <c r="F491" s="45" t="s">
        <v>318</v>
      </c>
      <c r="G491" s="9" t="n">
        <v>10</v>
      </c>
      <c r="H491" s="185" t="n">
        <f aca="false">'Engineering Assumptions'!$F$44*0.22*1</f>
        <v>0.099</v>
      </c>
      <c r="I491" s="185" t="n">
        <f aca="false">'Engineering Assumptions'!$F$44*1</f>
        <v>0.45</v>
      </c>
      <c r="J491" s="12" t="n">
        <f aca="false">'Fleet Pricing'!L491</f>
        <v>47000</v>
      </c>
      <c r="K491" s="12" t="n">
        <f aca="false">'Maintenance &amp; Repair'!J491+'Maintenance &amp; Repair'!K491</f>
        <v>6900</v>
      </c>
      <c r="L491" s="186" t="n">
        <f aca="false">IFERROR(K491/J491,0)</f>
        <v>0.146808510638298</v>
      </c>
      <c r="M491" s="9" t="n">
        <f aca="false">MAX(0,'Engineering Assumptions'!$G$44-G491)</f>
        <v>0</v>
      </c>
      <c r="N491" s="187" t="str">
        <f aca="false">IF(G491&gt;=20,"REPLACE",IF(L491&gt;0.6,"REPLACE",IF(G491&gt;=15,"REPLACE",IF(OR(G491&gt;=11,L491&gt;0.4),"MONITOR","KEEP"))))</f>
        <v>KEEP</v>
      </c>
      <c r="O491" s="188" t="str">
        <f aca="false">IF(G491&gt;=20,"End of life (age &gt; 20)",IF(L491&gt;0.6,"Repairs exceed 60% of revenue",IF(G491&gt;=15,"Age 15+ → replace",IF(OR(G491&gt;=11,L491&gt;0.4),"Watch costs; plan replacement","Healthy — continue operating"))))</f>
        <v>Healthy — continue operating</v>
      </c>
      <c r="P491" s="188" t="str">
        <f aca="false">'Engineering Assumptions'!H44</f>
        <v>BAJAJ Platina / HONDA CD110 ~Rs. 400k–500k</v>
      </c>
    </row>
    <row r="492" customFormat="false" ht="15" hidden="false" customHeight="true" outlineLevel="0" collapsed="false">
      <c r="A492" s="9" t="n">
        <v>461</v>
      </c>
      <c r="B492" s="184" t="s">
        <v>145</v>
      </c>
      <c r="C492" s="184" t="s">
        <v>2486</v>
      </c>
      <c r="D492" s="184" t="s">
        <v>1344</v>
      </c>
      <c r="E492" s="184" t="s">
        <v>1345</v>
      </c>
      <c r="F492" s="45" t="s">
        <v>318</v>
      </c>
      <c r="G492" s="9" t="n">
        <v>10</v>
      </c>
      <c r="H492" s="185" t="n">
        <f aca="false">'Engineering Assumptions'!$F$44*0.22*1</f>
        <v>0.099</v>
      </c>
      <c r="I492" s="185" t="n">
        <f aca="false">'Engineering Assumptions'!$F$44*1</f>
        <v>0.45</v>
      </c>
      <c r="J492" s="12" t="n">
        <f aca="false">'Fleet Pricing'!L492</f>
        <v>47000</v>
      </c>
      <c r="K492" s="12" t="n">
        <f aca="false">'Maintenance &amp; Repair'!J492+'Maintenance &amp; Repair'!K492</f>
        <v>6900</v>
      </c>
      <c r="L492" s="186" t="n">
        <f aca="false">IFERROR(K492/J492,0)</f>
        <v>0.146808510638298</v>
      </c>
      <c r="M492" s="9" t="n">
        <f aca="false">MAX(0,'Engineering Assumptions'!$G$44-G492)</f>
        <v>0</v>
      </c>
      <c r="N492" s="187" t="str">
        <f aca="false">IF(G492&gt;=20,"REPLACE",IF(L492&gt;0.6,"REPLACE",IF(G492&gt;=15,"REPLACE",IF(OR(G492&gt;=11,L492&gt;0.4),"MONITOR","KEEP"))))</f>
        <v>KEEP</v>
      </c>
      <c r="O492" s="188" t="str">
        <f aca="false">IF(G492&gt;=20,"End of life (age &gt; 20)",IF(L492&gt;0.6,"Repairs exceed 60% of revenue",IF(G492&gt;=15,"Age 15+ → replace",IF(OR(G492&gt;=11,L492&gt;0.4),"Watch costs; plan replacement","Healthy — continue operating"))))</f>
        <v>Healthy — continue operating</v>
      </c>
      <c r="P492" s="188" t="str">
        <f aca="false">'Engineering Assumptions'!H44</f>
        <v>BAJAJ Platina / HONDA CD110 ~Rs. 400k–500k</v>
      </c>
    </row>
    <row r="493" customFormat="false" ht="15" hidden="false" customHeight="true" outlineLevel="0" collapsed="false">
      <c r="A493" s="9" t="n">
        <v>462</v>
      </c>
      <c r="B493" s="184" t="s">
        <v>145</v>
      </c>
      <c r="C493" s="184" t="s">
        <v>2488</v>
      </c>
      <c r="D493" s="184"/>
      <c r="E493" s="184"/>
      <c r="F493" s="45" t="s">
        <v>318</v>
      </c>
      <c r="G493" s="9" t="n">
        <v>10</v>
      </c>
      <c r="H493" s="185" t="n">
        <f aca="false">'Engineering Assumptions'!$F$44*0.22*1</f>
        <v>0.099</v>
      </c>
      <c r="I493" s="185" t="n">
        <f aca="false">'Engineering Assumptions'!$F$44*1</f>
        <v>0.45</v>
      </c>
      <c r="J493" s="12" t="n">
        <f aca="false">'Fleet Pricing'!L493</f>
        <v>47000</v>
      </c>
      <c r="K493" s="12" t="n">
        <f aca="false">'Maintenance &amp; Repair'!J493+'Maintenance &amp; Repair'!K493</f>
        <v>6900</v>
      </c>
      <c r="L493" s="186" t="n">
        <f aca="false">IFERROR(K493/J493,0)</f>
        <v>0.146808510638298</v>
      </c>
      <c r="M493" s="9" t="n">
        <f aca="false">MAX(0,'Engineering Assumptions'!$G$44-G493)</f>
        <v>0</v>
      </c>
      <c r="N493" s="187" t="str">
        <f aca="false">IF(G493&gt;=20,"REPLACE",IF(L493&gt;0.6,"REPLACE",IF(G493&gt;=15,"REPLACE",IF(OR(G493&gt;=11,L493&gt;0.4),"MONITOR","KEEP"))))</f>
        <v>KEEP</v>
      </c>
      <c r="O493" s="188" t="str">
        <f aca="false">IF(G493&gt;=20,"End of life (age &gt; 20)",IF(L493&gt;0.6,"Repairs exceed 60% of revenue",IF(G493&gt;=15,"Age 15+ → replace",IF(OR(G493&gt;=11,L493&gt;0.4),"Watch costs; plan replacement","Healthy — continue operating"))))</f>
        <v>Healthy — continue operating</v>
      </c>
      <c r="P493" s="188" t="str">
        <f aca="false">'Engineering Assumptions'!H44</f>
        <v>BAJAJ Platina / HONDA CD110 ~Rs. 400k–500k</v>
      </c>
    </row>
    <row r="494" customFormat="false" ht="15" hidden="false" customHeight="true" outlineLevel="0" collapsed="false">
      <c r="A494" s="9" t="n">
        <v>463</v>
      </c>
      <c r="B494" s="184" t="s">
        <v>145</v>
      </c>
      <c r="C494" s="184" t="s">
        <v>2486</v>
      </c>
      <c r="D494" s="184" t="s">
        <v>1303</v>
      </c>
      <c r="E494" s="184" t="s">
        <v>1304</v>
      </c>
      <c r="F494" s="45" t="s">
        <v>315</v>
      </c>
      <c r="G494" s="9" t="n">
        <v>11</v>
      </c>
      <c r="H494" s="185" t="n">
        <f aca="false">'Engineering Assumptions'!$F$44*0.22*1</f>
        <v>0.099</v>
      </c>
      <c r="I494" s="185" t="n">
        <f aca="false">'Engineering Assumptions'!$F$44*1</f>
        <v>0.45</v>
      </c>
      <c r="J494" s="12" t="n">
        <f aca="false">'Fleet Pricing'!L494</f>
        <v>47000</v>
      </c>
      <c r="K494" s="12" t="n">
        <f aca="false">'Maintenance &amp; Repair'!J494+'Maintenance &amp; Repair'!K494</f>
        <v>10320</v>
      </c>
      <c r="L494" s="186" t="n">
        <f aca="false">IFERROR(K494/J494,0)</f>
        <v>0.219574468085106</v>
      </c>
      <c r="M494" s="9" t="n">
        <f aca="false">MAX(0,'Engineering Assumptions'!$G$44-G494)</f>
        <v>0</v>
      </c>
      <c r="N494" s="187" t="str">
        <f aca="false">IF(G494&gt;=20,"REPLACE",IF(L494&gt;0.6,"REPLACE",IF(G494&gt;=15,"REPLACE",IF(OR(G494&gt;=11,L494&gt;0.4),"MONITOR","KEEP"))))</f>
        <v>MONITOR</v>
      </c>
      <c r="O494" s="188" t="str">
        <f aca="false">IF(G494&gt;=20,"End of life (age &gt; 20)",IF(L494&gt;0.6,"Repairs exceed 60% of revenue",IF(G494&gt;=15,"Age 15+ → replace",IF(OR(G494&gt;=11,L494&gt;0.4),"Watch costs; plan replacement","Healthy — continue operating"))))</f>
        <v>Watch costs; plan replacement</v>
      </c>
      <c r="P494" s="188" t="str">
        <f aca="false">'Engineering Assumptions'!H44</f>
        <v>BAJAJ Platina / HONDA CD110 ~Rs. 400k–500k</v>
      </c>
    </row>
    <row r="495" customFormat="false" ht="15" hidden="false" customHeight="true" outlineLevel="0" collapsed="false">
      <c r="A495" s="9" t="n">
        <v>464</v>
      </c>
      <c r="B495" s="184" t="s">
        <v>145</v>
      </c>
      <c r="C495" s="184" t="s">
        <v>2486</v>
      </c>
      <c r="D495" s="184" t="s">
        <v>1342</v>
      </c>
      <c r="E495" s="184" t="s">
        <v>1343</v>
      </c>
      <c r="F495" s="45" t="s">
        <v>315</v>
      </c>
      <c r="G495" s="9" t="n">
        <v>11</v>
      </c>
      <c r="H495" s="185" t="n">
        <f aca="false">'Engineering Assumptions'!$F$44*0.22*1</f>
        <v>0.099</v>
      </c>
      <c r="I495" s="185" t="n">
        <f aca="false">'Engineering Assumptions'!$F$44*1</f>
        <v>0.45</v>
      </c>
      <c r="J495" s="12" t="n">
        <f aca="false">'Fleet Pricing'!L495</f>
        <v>47000</v>
      </c>
      <c r="K495" s="12" t="n">
        <f aca="false">'Maintenance &amp; Repair'!J495+'Maintenance &amp; Repair'!K495</f>
        <v>10320</v>
      </c>
      <c r="L495" s="186" t="n">
        <f aca="false">IFERROR(K495/J495,0)</f>
        <v>0.219574468085106</v>
      </c>
      <c r="M495" s="9" t="n">
        <f aca="false">MAX(0,'Engineering Assumptions'!$G$44-G495)</f>
        <v>0</v>
      </c>
      <c r="N495" s="187" t="str">
        <f aca="false">IF(G495&gt;=20,"REPLACE",IF(L495&gt;0.6,"REPLACE",IF(G495&gt;=15,"REPLACE",IF(OR(G495&gt;=11,L495&gt;0.4),"MONITOR","KEEP"))))</f>
        <v>MONITOR</v>
      </c>
      <c r="O495" s="188" t="str">
        <f aca="false">IF(G495&gt;=20,"End of life (age &gt; 20)",IF(L495&gt;0.6,"Repairs exceed 60% of revenue",IF(G495&gt;=15,"Age 15+ → replace",IF(OR(G495&gt;=11,L495&gt;0.4),"Watch costs; plan replacement","Healthy — continue operating"))))</f>
        <v>Watch costs; plan replacement</v>
      </c>
      <c r="P495" s="188" t="str">
        <f aca="false">'Engineering Assumptions'!H44</f>
        <v>BAJAJ Platina / HONDA CD110 ~Rs. 400k–500k</v>
      </c>
    </row>
    <row r="496" customFormat="false" ht="15" hidden="false" customHeight="true" outlineLevel="0" collapsed="false">
      <c r="A496" s="9" t="n">
        <v>465</v>
      </c>
      <c r="B496" s="184" t="s">
        <v>145</v>
      </c>
      <c r="C496" s="184" t="s">
        <v>2490</v>
      </c>
      <c r="D496" s="184" t="s">
        <v>1305</v>
      </c>
      <c r="E496" s="184" t="s">
        <v>1307</v>
      </c>
      <c r="F496" s="45" t="s">
        <v>315</v>
      </c>
      <c r="G496" s="9" t="n">
        <v>11</v>
      </c>
      <c r="H496" s="185" t="n">
        <f aca="false">'Engineering Assumptions'!$F$44*0.22*1</f>
        <v>0.099</v>
      </c>
      <c r="I496" s="185" t="n">
        <f aca="false">'Engineering Assumptions'!$F$44*1</f>
        <v>0.45</v>
      </c>
      <c r="J496" s="12" t="n">
        <f aca="false">'Fleet Pricing'!L496</f>
        <v>47000</v>
      </c>
      <c r="K496" s="12" t="n">
        <f aca="false">'Maintenance &amp; Repair'!J496+'Maintenance &amp; Repair'!K496</f>
        <v>10320</v>
      </c>
      <c r="L496" s="186" t="n">
        <f aca="false">IFERROR(K496/J496,0)</f>
        <v>0.219574468085106</v>
      </c>
      <c r="M496" s="9" t="n">
        <f aca="false">MAX(0,'Engineering Assumptions'!$G$44-G496)</f>
        <v>0</v>
      </c>
      <c r="N496" s="187" t="str">
        <f aca="false">IF(G496&gt;=20,"REPLACE",IF(L496&gt;0.6,"REPLACE",IF(G496&gt;=15,"REPLACE",IF(OR(G496&gt;=11,L496&gt;0.4),"MONITOR","KEEP"))))</f>
        <v>MONITOR</v>
      </c>
      <c r="O496" s="188" t="str">
        <f aca="false">IF(G496&gt;=20,"End of life (age &gt; 20)",IF(L496&gt;0.6,"Repairs exceed 60% of revenue",IF(G496&gt;=15,"Age 15+ → replace",IF(OR(G496&gt;=11,L496&gt;0.4),"Watch costs; plan replacement","Healthy — continue operating"))))</f>
        <v>Watch costs; plan replacement</v>
      </c>
      <c r="P496" s="188" t="str">
        <f aca="false">'Engineering Assumptions'!H44</f>
        <v>BAJAJ Platina / HONDA CD110 ~Rs. 400k–500k</v>
      </c>
    </row>
    <row r="497" customFormat="false" ht="15" hidden="false" customHeight="true" outlineLevel="0" collapsed="false">
      <c r="A497" s="9" t="n">
        <v>466</v>
      </c>
      <c r="B497" s="184" t="s">
        <v>145</v>
      </c>
      <c r="C497" s="184" t="s">
        <v>2490</v>
      </c>
      <c r="D497" s="184" t="s">
        <v>1346</v>
      </c>
      <c r="E497" s="184" t="s">
        <v>1347</v>
      </c>
      <c r="F497" s="45" t="s">
        <v>315</v>
      </c>
      <c r="G497" s="9" t="n">
        <v>11</v>
      </c>
      <c r="H497" s="185" t="n">
        <f aca="false">'Engineering Assumptions'!$F$44*0.22*1</f>
        <v>0.099</v>
      </c>
      <c r="I497" s="185" t="n">
        <f aca="false">'Engineering Assumptions'!$F$44*1</f>
        <v>0.45</v>
      </c>
      <c r="J497" s="12" t="n">
        <f aca="false">'Fleet Pricing'!L497</f>
        <v>47000</v>
      </c>
      <c r="K497" s="12" t="n">
        <f aca="false">'Maintenance &amp; Repair'!J497+'Maintenance &amp; Repair'!K497</f>
        <v>10320</v>
      </c>
      <c r="L497" s="186" t="n">
        <f aca="false">IFERROR(K497/J497,0)</f>
        <v>0.219574468085106</v>
      </c>
      <c r="M497" s="9" t="n">
        <f aca="false">MAX(0,'Engineering Assumptions'!$G$44-G497)</f>
        <v>0</v>
      </c>
      <c r="N497" s="187" t="str">
        <f aca="false">IF(G497&gt;=20,"REPLACE",IF(L497&gt;0.6,"REPLACE",IF(G497&gt;=15,"REPLACE",IF(OR(G497&gt;=11,L497&gt;0.4),"MONITOR","KEEP"))))</f>
        <v>MONITOR</v>
      </c>
      <c r="O497" s="188" t="str">
        <f aca="false">IF(G497&gt;=20,"End of life (age &gt; 20)",IF(L497&gt;0.6,"Repairs exceed 60% of revenue",IF(G497&gt;=15,"Age 15+ → replace",IF(OR(G497&gt;=11,L497&gt;0.4),"Watch costs; plan replacement","Healthy — continue operating"))))</f>
        <v>Watch costs; plan replacement</v>
      </c>
      <c r="P497" s="188" t="str">
        <f aca="false">'Engineering Assumptions'!H44</f>
        <v>BAJAJ Platina / HONDA CD110 ~Rs. 400k–500k</v>
      </c>
    </row>
    <row r="498" customFormat="false" ht="15" hidden="false" customHeight="true" outlineLevel="0" collapsed="false">
      <c r="A498" s="9" t="n">
        <v>467</v>
      </c>
      <c r="B498" s="184" t="s">
        <v>145</v>
      </c>
      <c r="C498" s="184" t="s">
        <v>2491</v>
      </c>
      <c r="D498" s="184" t="s">
        <v>1308</v>
      </c>
      <c r="E498" s="184" t="s">
        <v>1310</v>
      </c>
      <c r="F498" s="45" t="s">
        <v>380</v>
      </c>
      <c r="G498" s="9" t="n">
        <v>13</v>
      </c>
      <c r="H498" s="185" t="n">
        <f aca="false">'Engineering Assumptions'!$F$44*0.12*1</f>
        <v>0.054</v>
      </c>
      <c r="I498" s="185" t="n">
        <f aca="false">'Engineering Assumptions'!$F$44*1</f>
        <v>0.45</v>
      </c>
      <c r="J498" s="12" t="n">
        <f aca="false">'Fleet Pricing'!L498</f>
        <v>42000</v>
      </c>
      <c r="K498" s="12" t="n">
        <f aca="false">'Maintenance &amp; Repair'!J498+'Maintenance &amp; Repair'!K498</f>
        <v>10320</v>
      </c>
      <c r="L498" s="186" t="n">
        <f aca="false">IFERROR(K498/J498,0)</f>
        <v>0.245714285714286</v>
      </c>
      <c r="M498" s="9" t="n">
        <f aca="false">MAX(0,'Engineering Assumptions'!$G$44-G498)</f>
        <v>0</v>
      </c>
      <c r="N498" s="187" t="str">
        <f aca="false">IF(G498&gt;=20,"REPLACE",IF(L498&gt;0.6,"REPLACE",IF(G498&gt;=15,"REPLACE",IF(OR(G498&gt;=11,L498&gt;0.4),"MONITOR","KEEP"))))</f>
        <v>MONITOR</v>
      </c>
      <c r="O498" s="188" t="str">
        <f aca="false">IF(G498&gt;=20,"End of life (age &gt; 20)",IF(L498&gt;0.6,"Repairs exceed 60% of revenue",IF(G498&gt;=15,"Age 15+ → replace",IF(OR(G498&gt;=11,L498&gt;0.4),"Watch costs; plan replacement","Healthy — continue operating"))))</f>
        <v>Watch costs; plan replacement</v>
      </c>
      <c r="P498" s="188" t="str">
        <f aca="false">'Engineering Assumptions'!H44</f>
        <v>BAJAJ Platina / HONDA CD110 ~Rs. 400k–500k</v>
      </c>
    </row>
    <row r="499" customFormat="false" ht="15" hidden="false" customHeight="true" outlineLevel="0" collapsed="false">
      <c r="A499" s="9" t="n">
        <v>468</v>
      </c>
      <c r="B499" s="184" t="s">
        <v>145</v>
      </c>
      <c r="C499" s="184" t="s">
        <v>2491</v>
      </c>
      <c r="D499" s="184" t="s">
        <v>1350</v>
      </c>
      <c r="E499" s="184" t="s">
        <v>1351</v>
      </c>
      <c r="F499" s="45" t="s">
        <v>380</v>
      </c>
      <c r="G499" s="9" t="n">
        <v>13</v>
      </c>
      <c r="H499" s="185" t="n">
        <f aca="false">'Engineering Assumptions'!$F$44*0.12*1</f>
        <v>0.054</v>
      </c>
      <c r="I499" s="185" t="n">
        <f aca="false">'Engineering Assumptions'!$F$44*1</f>
        <v>0.45</v>
      </c>
      <c r="J499" s="12" t="n">
        <f aca="false">'Fleet Pricing'!L499</f>
        <v>42000</v>
      </c>
      <c r="K499" s="12" t="n">
        <f aca="false">'Maintenance &amp; Repair'!J499+'Maintenance &amp; Repair'!K499</f>
        <v>10320</v>
      </c>
      <c r="L499" s="186" t="n">
        <f aca="false">IFERROR(K499/J499,0)</f>
        <v>0.245714285714286</v>
      </c>
      <c r="M499" s="9" t="n">
        <f aca="false">MAX(0,'Engineering Assumptions'!$G$44-G499)</f>
        <v>0</v>
      </c>
      <c r="N499" s="187" t="str">
        <f aca="false">IF(G499&gt;=20,"REPLACE",IF(L499&gt;0.6,"REPLACE",IF(G499&gt;=15,"REPLACE",IF(OR(G499&gt;=11,L499&gt;0.4),"MONITOR","KEEP"))))</f>
        <v>MONITOR</v>
      </c>
      <c r="O499" s="188" t="str">
        <f aca="false">IF(G499&gt;=20,"End of life (age &gt; 20)",IF(L499&gt;0.6,"Repairs exceed 60% of revenue",IF(G499&gt;=15,"Age 15+ → replace",IF(OR(G499&gt;=11,L499&gt;0.4),"Watch costs; plan replacement","Healthy — continue operating"))))</f>
        <v>Watch costs; plan replacement</v>
      </c>
      <c r="P499" s="188" t="str">
        <f aca="false">'Engineering Assumptions'!H44</f>
        <v>BAJAJ Platina / HONDA CD110 ~Rs. 400k–500k</v>
      </c>
    </row>
    <row r="500" customFormat="false" ht="15" hidden="false" customHeight="true" outlineLevel="0" collapsed="false">
      <c r="A500" s="9" t="n">
        <v>469</v>
      </c>
      <c r="B500" s="184" t="s">
        <v>145</v>
      </c>
      <c r="C500" s="184" t="s">
        <v>2486</v>
      </c>
      <c r="D500" s="184" t="s">
        <v>1311</v>
      </c>
      <c r="E500" s="184" t="s">
        <v>1312</v>
      </c>
      <c r="F500" s="45" t="s">
        <v>310</v>
      </c>
      <c r="G500" s="9" t="n">
        <v>14</v>
      </c>
      <c r="H500" s="185" t="n">
        <f aca="false">'Engineering Assumptions'!$F$44*0.12*1</f>
        <v>0.054</v>
      </c>
      <c r="I500" s="185" t="n">
        <f aca="false">'Engineering Assumptions'!$F$44*1</f>
        <v>0.45</v>
      </c>
      <c r="J500" s="12" t="n">
        <f aca="false">'Fleet Pricing'!L500</f>
        <v>42000</v>
      </c>
      <c r="K500" s="12" t="n">
        <f aca="false">'Maintenance &amp; Repair'!J500+'Maintenance &amp; Repair'!K500</f>
        <v>10320</v>
      </c>
      <c r="L500" s="186" t="n">
        <f aca="false">IFERROR(K500/J500,0)</f>
        <v>0.245714285714286</v>
      </c>
      <c r="M500" s="9" t="n">
        <f aca="false">MAX(0,'Engineering Assumptions'!$G$44-G500)</f>
        <v>0</v>
      </c>
      <c r="N500" s="187" t="str">
        <f aca="false">IF(G500&gt;=20,"REPLACE",IF(L500&gt;0.6,"REPLACE",IF(G500&gt;=15,"REPLACE",IF(OR(G500&gt;=11,L500&gt;0.4),"MONITOR","KEEP"))))</f>
        <v>MONITOR</v>
      </c>
      <c r="O500" s="188" t="str">
        <f aca="false">IF(G500&gt;=20,"End of life (age &gt; 20)",IF(L500&gt;0.6,"Repairs exceed 60% of revenue",IF(G500&gt;=15,"Age 15+ → replace",IF(OR(G500&gt;=11,L500&gt;0.4),"Watch costs; plan replacement","Healthy — continue operating"))))</f>
        <v>Watch costs; plan replacement</v>
      </c>
      <c r="P500" s="188" t="str">
        <f aca="false">'Engineering Assumptions'!H44</f>
        <v>BAJAJ Platina / HONDA CD110 ~Rs. 400k–500k</v>
      </c>
    </row>
    <row r="501" customFormat="false" ht="15" hidden="false" customHeight="true" outlineLevel="0" collapsed="false">
      <c r="A501" s="9" t="n">
        <v>470</v>
      </c>
      <c r="B501" s="184" t="s">
        <v>145</v>
      </c>
      <c r="C501" s="184" t="s">
        <v>2486</v>
      </c>
      <c r="D501" s="184" t="s">
        <v>1334</v>
      </c>
      <c r="E501" s="184" t="s">
        <v>1335</v>
      </c>
      <c r="F501" s="45" t="s">
        <v>310</v>
      </c>
      <c r="G501" s="9" t="n">
        <v>14</v>
      </c>
      <c r="H501" s="185" t="n">
        <f aca="false">'Engineering Assumptions'!$F$44*0.12*1</f>
        <v>0.054</v>
      </c>
      <c r="I501" s="185" t="n">
        <f aca="false">'Engineering Assumptions'!$F$44*1</f>
        <v>0.45</v>
      </c>
      <c r="J501" s="12" t="n">
        <f aca="false">'Fleet Pricing'!L501</f>
        <v>42000</v>
      </c>
      <c r="K501" s="12" t="n">
        <f aca="false">'Maintenance &amp; Repair'!J501+'Maintenance &amp; Repair'!K501</f>
        <v>10320</v>
      </c>
      <c r="L501" s="186" t="n">
        <f aca="false">IFERROR(K501/J501,0)</f>
        <v>0.245714285714286</v>
      </c>
      <c r="M501" s="9" t="n">
        <f aca="false">MAX(0,'Engineering Assumptions'!$G$44-G501)</f>
        <v>0</v>
      </c>
      <c r="N501" s="187" t="str">
        <f aca="false">IF(G501&gt;=20,"REPLACE",IF(L501&gt;0.6,"REPLACE",IF(G501&gt;=15,"REPLACE",IF(OR(G501&gt;=11,L501&gt;0.4),"MONITOR","KEEP"))))</f>
        <v>MONITOR</v>
      </c>
      <c r="O501" s="188" t="str">
        <f aca="false">IF(G501&gt;=20,"End of life (age &gt; 20)",IF(L501&gt;0.6,"Repairs exceed 60% of revenue",IF(G501&gt;=15,"Age 15+ → replace",IF(OR(G501&gt;=11,L501&gt;0.4),"Watch costs; plan replacement","Healthy — continue operating"))))</f>
        <v>Watch costs; plan replacement</v>
      </c>
      <c r="P501" s="188" t="str">
        <f aca="false">'Engineering Assumptions'!H44</f>
        <v>BAJAJ Platina / HONDA CD110 ~Rs. 400k–500k</v>
      </c>
    </row>
    <row r="502" customFormat="false" ht="15" hidden="false" customHeight="true" outlineLevel="0" collapsed="false">
      <c r="A502" s="9" t="n">
        <v>471</v>
      </c>
      <c r="B502" s="184" t="s">
        <v>145</v>
      </c>
      <c r="C502" s="184" t="s">
        <v>2486</v>
      </c>
      <c r="D502" s="184" t="s">
        <v>1336</v>
      </c>
      <c r="E502" s="184" t="s">
        <v>1337</v>
      </c>
      <c r="F502" s="45" t="s">
        <v>310</v>
      </c>
      <c r="G502" s="9" t="n">
        <v>14</v>
      </c>
      <c r="H502" s="185" t="n">
        <f aca="false">'Engineering Assumptions'!$F$44*0.12*1</f>
        <v>0.054</v>
      </c>
      <c r="I502" s="185" t="n">
        <f aca="false">'Engineering Assumptions'!$F$44*1</f>
        <v>0.45</v>
      </c>
      <c r="J502" s="12" t="n">
        <f aca="false">'Fleet Pricing'!L502</f>
        <v>42000</v>
      </c>
      <c r="K502" s="12" t="n">
        <f aca="false">'Maintenance &amp; Repair'!J502+'Maintenance &amp; Repair'!K502</f>
        <v>10320</v>
      </c>
      <c r="L502" s="186" t="n">
        <f aca="false">IFERROR(K502/J502,0)</f>
        <v>0.245714285714286</v>
      </c>
      <c r="M502" s="9" t="n">
        <f aca="false">MAX(0,'Engineering Assumptions'!$G$44-G502)</f>
        <v>0</v>
      </c>
      <c r="N502" s="187" t="str">
        <f aca="false">IF(G502&gt;=20,"REPLACE",IF(L502&gt;0.6,"REPLACE",IF(G502&gt;=15,"REPLACE",IF(OR(G502&gt;=11,L502&gt;0.4),"MONITOR","KEEP"))))</f>
        <v>MONITOR</v>
      </c>
      <c r="O502" s="188" t="str">
        <f aca="false">IF(G502&gt;=20,"End of life (age &gt; 20)",IF(L502&gt;0.6,"Repairs exceed 60% of revenue",IF(G502&gt;=15,"Age 15+ → replace",IF(OR(G502&gt;=11,L502&gt;0.4),"Watch costs; plan replacement","Healthy — continue operating"))))</f>
        <v>Watch costs; plan replacement</v>
      </c>
      <c r="P502" s="188" t="str">
        <f aca="false">'Engineering Assumptions'!H44</f>
        <v>BAJAJ Platina / HONDA CD110 ~Rs. 400k–500k</v>
      </c>
    </row>
    <row r="503" customFormat="false" ht="15" hidden="false" customHeight="true" outlineLevel="0" collapsed="false">
      <c r="A503" s="9" t="n">
        <v>472</v>
      </c>
      <c r="B503" s="184" t="s">
        <v>145</v>
      </c>
      <c r="C503" s="184" t="s">
        <v>2491</v>
      </c>
      <c r="D503" s="184" t="s">
        <v>1313</v>
      </c>
      <c r="E503" s="184" t="s">
        <v>1314</v>
      </c>
      <c r="F503" s="45" t="s">
        <v>310</v>
      </c>
      <c r="G503" s="9" t="n">
        <v>14</v>
      </c>
      <c r="H503" s="185" t="n">
        <f aca="false">'Engineering Assumptions'!$F$44*0.12*1</f>
        <v>0.054</v>
      </c>
      <c r="I503" s="185" t="n">
        <f aca="false">'Engineering Assumptions'!$F$44*1</f>
        <v>0.45</v>
      </c>
      <c r="J503" s="12" t="n">
        <f aca="false">'Fleet Pricing'!L503</f>
        <v>42000</v>
      </c>
      <c r="K503" s="12" t="n">
        <f aca="false">'Maintenance &amp; Repair'!J503+'Maintenance &amp; Repair'!K503</f>
        <v>10320</v>
      </c>
      <c r="L503" s="186" t="n">
        <f aca="false">IFERROR(K503/J503,0)</f>
        <v>0.245714285714286</v>
      </c>
      <c r="M503" s="9" t="n">
        <f aca="false">MAX(0,'Engineering Assumptions'!$G$44-G503)</f>
        <v>0</v>
      </c>
      <c r="N503" s="187" t="str">
        <f aca="false">IF(G503&gt;=20,"REPLACE",IF(L503&gt;0.6,"REPLACE",IF(G503&gt;=15,"REPLACE",IF(OR(G503&gt;=11,L503&gt;0.4),"MONITOR","KEEP"))))</f>
        <v>MONITOR</v>
      </c>
      <c r="O503" s="188" t="str">
        <f aca="false">IF(G503&gt;=20,"End of life (age &gt; 20)",IF(L503&gt;0.6,"Repairs exceed 60% of revenue",IF(G503&gt;=15,"Age 15+ → replace",IF(OR(G503&gt;=11,L503&gt;0.4),"Watch costs; plan replacement","Healthy — continue operating"))))</f>
        <v>Watch costs; plan replacement</v>
      </c>
      <c r="P503" s="188" t="str">
        <f aca="false">'Engineering Assumptions'!H44</f>
        <v>BAJAJ Platina / HONDA CD110 ~Rs. 400k–500k</v>
      </c>
    </row>
    <row r="504" customFormat="false" ht="15" hidden="false" customHeight="true" outlineLevel="0" collapsed="false">
      <c r="A504" s="9" t="n">
        <v>473</v>
      </c>
      <c r="B504" s="184" t="s">
        <v>145</v>
      </c>
      <c r="C504" s="184" t="s">
        <v>2491</v>
      </c>
      <c r="D504" s="184" t="s">
        <v>1338</v>
      </c>
      <c r="E504" s="184" t="s">
        <v>1339</v>
      </c>
      <c r="F504" s="45" t="s">
        <v>310</v>
      </c>
      <c r="G504" s="9" t="n">
        <v>14</v>
      </c>
      <c r="H504" s="185" t="n">
        <f aca="false">'Engineering Assumptions'!$F$44*0.12*1</f>
        <v>0.054</v>
      </c>
      <c r="I504" s="185" t="n">
        <f aca="false">'Engineering Assumptions'!$F$44*1</f>
        <v>0.45</v>
      </c>
      <c r="J504" s="12" t="n">
        <f aca="false">'Fleet Pricing'!L504</f>
        <v>42000</v>
      </c>
      <c r="K504" s="12" t="n">
        <f aca="false">'Maintenance &amp; Repair'!J504+'Maintenance &amp; Repair'!K504</f>
        <v>10320</v>
      </c>
      <c r="L504" s="186" t="n">
        <f aca="false">IFERROR(K504/J504,0)</f>
        <v>0.245714285714286</v>
      </c>
      <c r="M504" s="9" t="n">
        <f aca="false">MAX(0,'Engineering Assumptions'!$G$44-G504)</f>
        <v>0</v>
      </c>
      <c r="N504" s="187" t="str">
        <f aca="false">IF(G504&gt;=20,"REPLACE",IF(L504&gt;0.6,"REPLACE",IF(G504&gt;=15,"REPLACE",IF(OR(G504&gt;=11,L504&gt;0.4),"MONITOR","KEEP"))))</f>
        <v>MONITOR</v>
      </c>
      <c r="O504" s="188" t="str">
        <f aca="false">IF(G504&gt;=20,"End of life (age &gt; 20)",IF(L504&gt;0.6,"Repairs exceed 60% of revenue",IF(G504&gt;=15,"Age 15+ → replace",IF(OR(G504&gt;=11,L504&gt;0.4),"Watch costs; plan replacement","Healthy — continue operating"))))</f>
        <v>Watch costs; plan replacement</v>
      </c>
      <c r="P504" s="188" t="str">
        <f aca="false">'Engineering Assumptions'!H44</f>
        <v>BAJAJ Platina / HONDA CD110 ~Rs. 400k–500k</v>
      </c>
    </row>
    <row r="505" customFormat="false" ht="15" hidden="false" customHeight="true" outlineLevel="0" collapsed="false">
      <c r="A505" s="9" t="n">
        <v>474</v>
      </c>
      <c r="B505" s="184" t="s">
        <v>145</v>
      </c>
      <c r="C505" s="184" t="s">
        <v>2491</v>
      </c>
      <c r="D505" s="184" t="s">
        <v>1348</v>
      </c>
      <c r="E505" s="184" t="s">
        <v>1349</v>
      </c>
      <c r="F505" s="45" t="s">
        <v>310</v>
      </c>
      <c r="G505" s="9" t="n">
        <v>14</v>
      </c>
      <c r="H505" s="185" t="n">
        <f aca="false">'Engineering Assumptions'!$F$44*0.12*1</f>
        <v>0.054</v>
      </c>
      <c r="I505" s="185" t="n">
        <f aca="false">'Engineering Assumptions'!$F$44*1</f>
        <v>0.45</v>
      </c>
      <c r="J505" s="12" t="n">
        <f aca="false">'Fleet Pricing'!L505</f>
        <v>42000</v>
      </c>
      <c r="K505" s="12" t="n">
        <f aca="false">'Maintenance &amp; Repair'!J505+'Maintenance &amp; Repair'!K505</f>
        <v>10320</v>
      </c>
      <c r="L505" s="186" t="n">
        <f aca="false">IFERROR(K505/J505,0)</f>
        <v>0.245714285714286</v>
      </c>
      <c r="M505" s="9" t="n">
        <f aca="false">MAX(0,'Engineering Assumptions'!$G$44-G505)</f>
        <v>0</v>
      </c>
      <c r="N505" s="187" t="str">
        <f aca="false">IF(G505&gt;=20,"REPLACE",IF(L505&gt;0.6,"REPLACE",IF(G505&gt;=15,"REPLACE",IF(OR(G505&gt;=11,L505&gt;0.4),"MONITOR","KEEP"))))</f>
        <v>MONITOR</v>
      </c>
      <c r="O505" s="188" t="str">
        <f aca="false">IF(G505&gt;=20,"End of life (age &gt; 20)",IF(L505&gt;0.6,"Repairs exceed 60% of revenue",IF(G505&gt;=15,"Age 15+ → replace",IF(OR(G505&gt;=11,L505&gt;0.4),"Watch costs; plan replacement","Healthy — continue operating"))))</f>
        <v>Watch costs; plan replacement</v>
      </c>
      <c r="P505" s="188" t="str">
        <f aca="false">'Engineering Assumptions'!H44</f>
        <v>BAJAJ Platina / HONDA CD110 ~Rs. 400k–500k</v>
      </c>
    </row>
    <row r="506" customFormat="false" ht="15" hidden="false" customHeight="true" outlineLevel="0" collapsed="false">
      <c r="A506" s="9" t="n">
        <v>475</v>
      </c>
      <c r="B506" s="184" t="s">
        <v>145</v>
      </c>
      <c r="C506" s="184" t="s">
        <v>2491</v>
      </c>
      <c r="D506" s="184" t="s">
        <v>1315</v>
      </c>
      <c r="E506" s="184" t="s">
        <v>1316</v>
      </c>
      <c r="F506" s="45" t="s">
        <v>748</v>
      </c>
      <c r="G506" s="9" t="n">
        <v>15</v>
      </c>
      <c r="H506" s="185" t="n">
        <f aca="false">'Engineering Assumptions'!$F$44*0.12*1</f>
        <v>0.054</v>
      </c>
      <c r="I506" s="185" t="n">
        <f aca="false">'Engineering Assumptions'!$F$44*1</f>
        <v>0.45</v>
      </c>
      <c r="J506" s="12" t="n">
        <f aca="false">'Fleet Pricing'!L506</f>
        <v>42000</v>
      </c>
      <c r="K506" s="12" t="n">
        <f aca="false">'Maintenance &amp; Repair'!J506+'Maintenance &amp; Repair'!K506</f>
        <v>10320</v>
      </c>
      <c r="L506" s="186" t="n">
        <f aca="false">IFERROR(K506/J506,0)</f>
        <v>0.245714285714286</v>
      </c>
      <c r="M506" s="9" t="n">
        <f aca="false">MAX(0,'Engineering Assumptions'!$G$44-G506)</f>
        <v>0</v>
      </c>
      <c r="N506" s="187" t="str">
        <f aca="false">IF(G506&gt;=20,"REPLACE",IF(L506&gt;0.6,"REPLACE",IF(G506&gt;=15,"REPLACE",IF(OR(G506&gt;=11,L506&gt;0.4),"MONITOR","KEEP"))))</f>
        <v>REPLACE</v>
      </c>
      <c r="O506" s="188" t="str">
        <f aca="false">IF(G506&gt;=20,"End of life (age &gt; 20)",IF(L506&gt;0.6,"Repairs exceed 60% of revenue",IF(G506&gt;=15,"Age 15+ → replace",IF(OR(G506&gt;=11,L506&gt;0.4),"Watch costs; plan replacement","Healthy — continue operating"))))</f>
        <v>Age 15+ → replace</v>
      </c>
      <c r="P506" s="188" t="str">
        <f aca="false">'Engineering Assumptions'!H44</f>
        <v>BAJAJ Platina / HONDA CD110 ~Rs. 400k–500k</v>
      </c>
    </row>
    <row r="507" customFormat="false" ht="15" hidden="false" customHeight="true" outlineLevel="0" collapsed="false">
      <c r="A507" s="9" t="n">
        <v>476</v>
      </c>
      <c r="B507" s="184" t="s">
        <v>145</v>
      </c>
      <c r="C507" s="184" t="s">
        <v>2491</v>
      </c>
      <c r="D507" s="184" t="s">
        <v>1292</v>
      </c>
      <c r="E507" s="184" t="s">
        <v>1293</v>
      </c>
      <c r="F507" s="45" t="s">
        <v>748</v>
      </c>
      <c r="G507" s="9" t="n">
        <v>15</v>
      </c>
      <c r="H507" s="185" t="n">
        <f aca="false">'Engineering Assumptions'!$F$44*0.12*1</f>
        <v>0.054</v>
      </c>
      <c r="I507" s="185" t="n">
        <f aca="false">'Engineering Assumptions'!$F$44*1</f>
        <v>0.45</v>
      </c>
      <c r="J507" s="12" t="n">
        <f aca="false">'Fleet Pricing'!L507</f>
        <v>42000</v>
      </c>
      <c r="K507" s="12" t="n">
        <f aca="false">'Maintenance &amp; Repair'!J507+'Maintenance &amp; Repair'!K507</f>
        <v>10320</v>
      </c>
      <c r="L507" s="186" t="n">
        <f aca="false">IFERROR(K507/J507,0)</f>
        <v>0.245714285714286</v>
      </c>
      <c r="M507" s="9" t="n">
        <f aca="false">MAX(0,'Engineering Assumptions'!$G$44-G507)</f>
        <v>0</v>
      </c>
      <c r="N507" s="187" t="str">
        <f aca="false">IF(G507&gt;=20,"REPLACE",IF(L507&gt;0.6,"REPLACE",IF(G507&gt;=15,"REPLACE",IF(OR(G507&gt;=11,L507&gt;0.4),"MONITOR","KEEP"))))</f>
        <v>REPLACE</v>
      </c>
      <c r="O507" s="188" t="str">
        <f aca="false">IF(G507&gt;=20,"End of life (age &gt; 20)",IF(L507&gt;0.6,"Repairs exceed 60% of revenue",IF(G507&gt;=15,"Age 15+ → replace",IF(OR(G507&gt;=11,L507&gt;0.4),"Watch costs; plan replacement","Healthy — continue operating"))))</f>
        <v>Age 15+ → replace</v>
      </c>
      <c r="P507" s="188" t="str">
        <f aca="false">'Engineering Assumptions'!H44</f>
        <v>BAJAJ Platina / HONDA CD110 ~Rs. 400k–500k</v>
      </c>
    </row>
    <row r="508" customFormat="false" ht="15" hidden="false" customHeight="true" outlineLevel="0" collapsed="false">
      <c r="A508" s="9" t="n">
        <v>477</v>
      </c>
      <c r="B508" s="184" t="s">
        <v>145</v>
      </c>
      <c r="C508" s="184" t="s">
        <v>2491</v>
      </c>
      <c r="D508" s="184" t="s">
        <v>1352</v>
      </c>
      <c r="E508" s="184" t="s">
        <v>1353</v>
      </c>
      <c r="F508" s="45" t="s">
        <v>748</v>
      </c>
      <c r="G508" s="9" t="n">
        <v>15</v>
      </c>
      <c r="H508" s="185" t="n">
        <f aca="false">'Engineering Assumptions'!$F$44*0.12*1</f>
        <v>0.054</v>
      </c>
      <c r="I508" s="185" t="n">
        <f aca="false">'Engineering Assumptions'!$F$44*1</f>
        <v>0.45</v>
      </c>
      <c r="J508" s="12" t="n">
        <f aca="false">'Fleet Pricing'!L508</f>
        <v>42000</v>
      </c>
      <c r="K508" s="12" t="n">
        <f aca="false">'Maintenance &amp; Repair'!J508+'Maintenance &amp; Repair'!K508</f>
        <v>10320</v>
      </c>
      <c r="L508" s="186" t="n">
        <f aca="false">IFERROR(K508/J508,0)</f>
        <v>0.245714285714286</v>
      </c>
      <c r="M508" s="9" t="n">
        <f aca="false">MAX(0,'Engineering Assumptions'!$G$44-G508)</f>
        <v>0</v>
      </c>
      <c r="N508" s="187" t="str">
        <f aca="false">IF(G508&gt;=20,"REPLACE",IF(L508&gt;0.6,"REPLACE",IF(G508&gt;=15,"REPLACE",IF(OR(G508&gt;=11,L508&gt;0.4),"MONITOR","KEEP"))))</f>
        <v>REPLACE</v>
      </c>
      <c r="O508" s="188" t="str">
        <f aca="false">IF(G508&gt;=20,"End of life (age &gt; 20)",IF(L508&gt;0.6,"Repairs exceed 60% of revenue",IF(G508&gt;=15,"Age 15+ → replace",IF(OR(G508&gt;=11,L508&gt;0.4),"Watch costs; plan replacement","Healthy — continue operating"))))</f>
        <v>Age 15+ → replace</v>
      </c>
      <c r="P508" s="188" t="str">
        <f aca="false">'Engineering Assumptions'!H44</f>
        <v>BAJAJ Platina / HONDA CD110 ~Rs. 400k–500k</v>
      </c>
    </row>
    <row r="509" customFormat="false" ht="15" hidden="false" customHeight="true" outlineLevel="0" collapsed="false">
      <c r="A509" s="9" t="n">
        <v>478</v>
      </c>
      <c r="B509" s="184" t="s">
        <v>145</v>
      </c>
      <c r="C509" s="184" t="s">
        <v>2492</v>
      </c>
      <c r="D509" s="184" t="s">
        <v>1317</v>
      </c>
      <c r="E509" s="184" t="s">
        <v>1319</v>
      </c>
      <c r="F509" s="45" t="s">
        <v>810</v>
      </c>
      <c r="G509" s="9" t="n">
        <v>19</v>
      </c>
      <c r="H509" s="185" t="n">
        <f aca="false">'Engineering Assumptions'!$F$44*0.06*1</f>
        <v>0.027</v>
      </c>
      <c r="I509" s="185" t="n">
        <f aca="false">'Engineering Assumptions'!$F$44*1</f>
        <v>0.45</v>
      </c>
      <c r="J509" s="12" t="n">
        <f aca="false">'Fleet Pricing'!L509</f>
        <v>36500</v>
      </c>
      <c r="K509" s="12" t="n">
        <f aca="false">'Maintenance &amp; Repair'!J509+'Maintenance &amp; Repair'!K509</f>
        <v>14670</v>
      </c>
      <c r="L509" s="186" t="n">
        <f aca="false">IFERROR(K509/J509,0)</f>
        <v>0.401917808219178</v>
      </c>
      <c r="M509" s="9" t="n">
        <f aca="false">MAX(0,'Engineering Assumptions'!$G$44-G509)</f>
        <v>0</v>
      </c>
      <c r="N509" s="187" t="str">
        <f aca="false">IF(G509&gt;=20,"REPLACE",IF(L509&gt;0.6,"REPLACE",IF(G509&gt;=15,"REPLACE",IF(OR(G509&gt;=11,L509&gt;0.4),"MONITOR","KEEP"))))</f>
        <v>REPLACE</v>
      </c>
      <c r="O509" s="188" t="str">
        <f aca="false">IF(G509&gt;=20,"End of life (age &gt; 20)",IF(L509&gt;0.6,"Repairs exceed 60% of revenue",IF(G509&gt;=15,"Age 15+ → replace",IF(OR(G509&gt;=11,L509&gt;0.4),"Watch costs; plan replacement","Healthy — continue operating"))))</f>
        <v>Age 15+ → replace</v>
      </c>
      <c r="P509" s="188" t="str">
        <f aca="false">'Engineering Assumptions'!H44</f>
        <v>BAJAJ Platina / HONDA CD110 ~Rs. 400k–500k</v>
      </c>
    </row>
    <row r="510" customFormat="false" ht="15" hidden="false" customHeight="true" outlineLevel="0" collapsed="false">
      <c r="A510" s="9" t="n">
        <v>479</v>
      </c>
      <c r="B510" s="184" t="s">
        <v>145</v>
      </c>
      <c r="C510" s="184" t="s">
        <v>2493</v>
      </c>
      <c r="D510" s="184" t="s">
        <v>1320</v>
      </c>
      <c r="E510" s="184" t="s">
        <v>1322</v>
      </c>
      <c r="F510" s="45" t="s">
        <v>348</v>
      </c>
      <c r="G510" s="9" t="n">
        <v>20</v>
      </c>
      <c r="H510" s="185" t="n">
        <f aca="false">'Engineering Assumptions'!$F$44*0.06*1</f>
        <v>0.027</v>
      </c>
      <c r="I510" s="185" t="n">
        <f aca="false">'Engineering Assumptions'!$F$44*1</f>
        <v>0.45</v>
      </c>
      <c r="J510" s="12" t="n">
        <f aca="false">'Fleet Pricing'!L510</f>
        <v>36500</v>
      </c>
      <c r="K510" s="12" t="n">
        <f aca="false">'Maintenance &amp; Repair'!J510+'Maintenance &amp; Repair'!K510</f>
        <v>14670</v>
      </c>
      <c r="L510" s="186" t="n">
        <f aca="false">IFERROR(K510/J510,0)</f>
        <v>0.401917808219178</v>
      </c>
      <c r="M510" s="9" t="n">
        <f aca="false">MAX(0,'Engineering Assumptions'!$G$44-G510)</f>
        <v>0</v>
      </c>
      <c r="N510" s="187" t="str">
        <f aca="false">IF(G510&gt;=20,"REPLACE",IF(L510&gt;0.6,"REPLACE",IF(G510&gt;=15,"REPLACE",IF(OR(G510&gt;=11,L510&gt;0.4),"MONITOR","KEEP"))))</f>
        <v>REPLACE</v>
      </c>
      <c r="O510" s="188" t="str">
        <f aca="false">IF(G510&gt;=20,"End of life (age &gt; 20)",IF(L510&gt;0.6,"Repairs exceed 60% of revenue",IF(G510&gt;=15,"Age 15+ → replace",IF(OR(G510&gt;=11,L510&gt;0.4),"Watch costs; plan replacement","Healthy — continue operating"))))</f>
        <v>End of life (age &gt; 20)</v>
      </c>
      <c r="P510" s="188" t="str">
        <f aca="false">'Engineering Assumptions'!H44</f>
        <v>BAJAJ Platina / HONDA CD110 ~Rs. 400k–500k</v>
      </c>
    </row>
    <row r="511" customFormat="false" ht="15" hidden="false" customHeight="true" outlineLevel="0" collapsed="false">
      <c r="A511" s="9" t="n">
        <v>480</v>
      </c>
      <c r="B511" s="184" t="s">
        <v>145</v>
      </c>
      <c r="C511" s="184" t="s">
        <v>2493</v>
      </c>
      <c r="D511" s="184" t="s">
        <v>1289</v>
      </c>
      <c r="E511" s="184" t="s">
        <v>1291</v>
      </c>
      <c r="F511" s="45" t="s">
        <v>348</v>
      </c>
      <c r="G511" s="9" t="n">
        <v>20</v>
      </c>
      <c r="H511" s="185" t="n">
        <f aca="false">'Engineering Assumptions'!$F$44*0.06*1</f>
        <v>0.027</v>
      </c>
      <c r="I511" s="185" t="n">
        <f aca="false">'Engineering Assumptions'!$F$44*1</f>
        <v>0.45</v>
      </c>
      <c r="J511" s="12" t="n">
        <f aca="false">'Fleet Pricing'!L511</f>
        <v>36500</v>
      </c>
      <c r="K511" s="12" t="n">
        <f aca="false">'Maintenance &amp; Repair'!J511+'Maintenance &amp; Repair'!K511</f>
        <v>14670</v>
      </c>
      <c r="L511" s="186" t="n">
        <f aca="false">IFERROR(K511/J511,0)</f>
        <v>0.401917808219178</v>
      </c>
      <c r="M511" s="9" t="n">
        <f aca="false">MAX(0,'Engineering Assumptions'!$G$44-G511)</f>
        <v>0</v>
      </c>
      <c r="N511" s="187" t="str">
        <f aca="false">IF(G511&gt;=20,"REPLACE",IF(L511&gt;0.6,"REPLACE",IF(G511&gt;=15,"REPLACE",IF(OR(G511&gt;=11,L511&gt;0.4),"MONITOR","KEEP"))))</f>
        <v>REPLACE</v>
      </c>
      <c r="O511" s="188" t="str">
        <f aca="false">IF(G511&gt;=20,"End of life (age &gt; 20)",IF(L511&gt;0.6,"Repairs exceed 60% of revenue",IF(G511&gt;=15,"Age 15+ → replace",IF(OR(G511&gt;=11,L511&gt;0.4),"Watch costs; plan replacement","Healthy — continue operating"))))</f>
        <v>End of life (age &gt; 20)</v>
      </c>
      <c r="P511" s="188" t="str">
        <f aca="false">'Engineering Assumptions'!H44</f>
        <v>BAJAJ Platina / HONDA CD110 ~Rs. 400k–500k</v>
      </c>
    </row>
    <row r="512" customFormat="false" ht="15" hidden="false" customHeight="true" outlineLevel="0" collapsed="false">
      <c r="A512" s="9" t="n">
        <v>481</v>
      </c>
      <c r="B512" s="184" t="s">
        <v>145</v>
      </c>
      <c r="C512" s="184" t="s">
        <v>2494</v>
      </c>
      <c r="D512" s="184" t="s">
        <v>1324</v>
      </c>
      <c r="E512" s="184" t="s">
        <v>1326</v>
      </c>
      <c r="F512" s="45" t="s">
        <v>348</v>
      </c>
      <c r="G512" s="9" t="n">
        <v>20</v>
      </c>
      <c r="H512" s="185" t="n">
        <f aca="false">'Engineering Assumptions'!$F$44*0.06*1</f>
        <v>0.027</v>
      </c>
      <c r="I512" s="185" t="n">
        <f aca="false">'Engineering Assumptions'!$F$44*1</f>
        <v>0.45</v>
      </c>
      <c r="J512" s="12" t="n">
        <f aca="false">'Fleet Pricing'!L512</f>
        <v>36500</v>
      </c>
      <c r="K512" s="12" t="n">
        <f aca="false">'Maintenance &amp; Repair'!J512+'Maintenance &amp; Repair'!K512</f>
        <v>14670</v>
      </c>
      <c r="L512" s="186" t="n">
        <f aca="false">IFERROR(K512/J512,0)</f>
        <v>0.401917808219178</v>
      </c>
      <c r="M512" s="9" t="n">
        <f aca="false">MAX(0,'Engineering Assumptions'!$G$44-G512)</f>
        <v>0</v>
      </c>
      <c r="N512" s="187" t="str">
        <f aca="false">IF(G512&gt;=20,"REPLACE",IF(L512&gt;0.6,"REPLACE",IF(G512&gt;=15,"REPLACE",IF(OR(G512&gt;=11,L512&gt;0.4),"MONITOR","KEEP"))))</f>
        <v>REPLACE</v>
      </c>
      <c r="O512" s="188" t="str">
        <f aca="false">IF(G512&gt;=20,"End of life (age &gt; 20)",IF(L512&gt;0.6,"Repairs exceed 60% of revenue",IF(G512&gt;=15,"Age 15+ → replace",IF(OR(G512&gt;=11,L512&gt;0.4),"Watch costs; plan replacement","Healthy — continue operating"))))</f>
        <v>End of life (age &gt; 20)</v>
      </c>
      <c r="P512" s="188" t="str">
        <f aca="false">'Engineering Assumptions'!H44</f>
        <v>BAJAJ Platina / HONDA CD110 ~Rs. 400k–500k</v>
      </c>
    </row>
    <row r="513" customFormat="false" ht="15" hidden="false" customHeight="true" outlineLevel="0" collapsed="false">
      <c r="A513" s="9" t="n">
        <v>482</v>
      </c>
      <c r="B513" s="184" t="s">
        <v>145</v>
      </c>
      <c r="C513" s="184" t="s">
        <v>2495</v>
      </c>
      <c r="D513" s="184"/>
      <c r="E513" s="184"/>
      <c r="F513" s="45" t="s">
        <v>353</v>
      </c>
      <c r="G513" s="9" t="n">
        <v>22</v>
      </c>
      <c r="H513" s="185" t="n">
        <f aca="false">'Engineering Assumptions'!$F$44*0.06*1</f>
        <v>0.027</v>
      </c>
      <c r="I513" s="185" t="n">
        <f aca="false">'Engineering Assumptions'!$F$44*1</f>
        <v>0.45</v>
      </c>
      <c r="J513" s="12" t="n">
        <f aca="false">'Fleet Pricing'!L513</f>
        <v>33500</v>
      </c>
      <c r="K513" s="12" t="n">
        <f aca="false">'Maintenance &amp; Repair'!J513+'Maintenance &amp; Repair'!K513</f>
        <v>19800</v>
      </c>
      <c r="L513" s="186" t="n">
        <f aca="false">IFERROR(K513/J513,0)</f>
        <v>0.591044776119403</v>
      </c>
      <c r="M513" s="9" t="n">
        <f aca="false">MAX(0,'Engineering Assumptions'!$G$44-G513)</f>
        <v>0</v>
      </c>
      <c r="N513" s="187" t="str">
        <f aca="false">IF(G513&gt;=20,"REPLACE",IF(L513&gt;0.6,"REPLACE",IF(G513&gt;=15,"REPLACE",IF(OR(G513&gt;=11,L513&gt;0.4),"MONITOR","KEEP"))))</f>
        <v>REPLACE</v>
      </c>
      <c r="O513" s="188" t="str">
        <f aca="false">IF(G513&gt;=20,"End of life (age &gt; 20)",IF(L513&gt;0.6,"Repairs exceed 60% of revenue",IF(G513&gt;=15,"Age 15+ → replace",IF(OR(G513&gt;=11,L513&gt;0.4),"Watch costs; plan replacement","Healthy — continue operating"))))</f>
        <v>End of life (age &gt; 20)</v>
      </c>
      <c r="P513" s="188" t="str">
        <f aca="false">'Engineering Assumptions'!H44</f>
        <v>BAJAJ Platina / HONDA CD110 ~Rs. 400k–500k</v>
      </c>
    </row>
    <row r="514" customFormat="false" ht="15" hidden="false" customHeight="true" outlineLevel="0" collapsed="false">
      <c r="A514" s="9" t="n">
        <v>483</v>
      </c>
      <c r="B514" s="184" t="s">
        <v>145</v>
      </c>
      <c r="C514" s="184" t="s">
        <v>2496</v>
      </c>
      <c r="D514" s="184" t="s">
        <v>1331</v>
      </c>
      <c r="E514" s="184" t="s">
        <v>1333</v>
      </c>
      <c r="F514" s="45" t="s">
        <v>423</v>
      </c>
      <c r="G514" s="9" t="n">
        <v>23</v>
      </c>
      <c r="H514" s="185" t="n">
        <f aca="false">'Engineering Assumptions'!$F$44*0.06*1</f>
        <v>0.027</v>
      </c>
      <c r="I514" s="185" t="n">
        <f aca="false">'Engineering Assumptions'!$F$44*1</f>
        <v>0.45</v>
      </c>
      <c r="J514" s="12" t="n">
        <f aca="false">'Fleet Pricing'!L514</f>
        <v>33500</v>
      </c>
      <c r="K514" s="12" t="n">
        <f aca="false">'Maintenance &amp; Repair'!J514+'Maintenance &amp; Repair'!K514</f>
        <v>19800</v>
      </c>
      <c r="L514" s="186" t="n">
        <f aca="false">IFERROR(K514/J514,0)</f>
        <v>0.591044776119403</v>
      </c>
      <c r="M514" s="9" t="n">
        <f aca="false">MAX(0,'Engineering Assumptions'!$G$44-G514)</f>
        <v>0</v>
      </c>
      <c r="N514" s="187" t="str">
        <f aca="false">IF(G514&gt;=20,"REPLACE",IF(L514&gt;0.6,"REPLACE",IF(G514&gt;=15,"REPLACE",IF(OR(G514&gt;=11,L514&gt;0.4),"MONITOR","KEEP"))))</f>
        <v>REPLACE</v>
      </c>
      <c r="O514" s="188" t="str">
        <f aca="false">IF(G514&gt;=20,"End of life (age &gt; 20)",IF(L514&gt;0.6,"Repairs exceed 60% of revenue",IF(G514&gt;=15,"Age 15+ → replace",IF(OR(G514&gt;=11,L514&gt;0.4),"Watch costs; plan replacement","Healthy — continue operating"))))</f>
        <v>End of life (age &gt; 20)</v>
      </c>
      <c r="P514" s="188" t="str">
        <f aca="false">'Engineering Assumptions'!H44</f>
        <v>BAJAJ Platina / HONDA CD110 ~Rs. 400k–500k</v>
      </c>
    </row>
    <row r="515" customFormat="false" ht="15" hidden="false" customHeight="true" outlineLevel="0" collapsed="false">
      <c r="A515" s="9" t="n">
        <v>484</v>
      </c>
      <c r="B515" s="184" t="s">
        <v>145</v>
      </c>
      <c r="C515" s="184" t="s">
        <v>2313</v>
      </c>
      <c r="D515" s="184" t="s">
        <v>1371</v>
      </c>
      <c r="E515" s="184" t="s">
        <v>1372</v>
      </c>
      <c r="F515" s="45" t="s">
        <v>472</v>
      </c>
      <c r="G515" s="9" t="n">
        <v>30</v>
      </c>
      <c r="H515" s="185" t="n">
        <f aca="false">'Engineering Assumptions'!$F$44*0.03*1</f>
        <v>0.0135</v>
      </c>
      <c r="I515" s="185" t="n">
        <f aca="false">'Engineering Assumptions'!$F$44*1</f>
        <v>0.45</v>
      </c>
      <c r="J515" s="12" t="n">
        <f aca="false">'Fleet Pricing'!L515</f>
        <v>29500</v>
      </c>
      <c r="K515" s="12" t="n">
        <f aca="false">'Maintenance &amp; Repair'!J515+'Maintenance &amp; Repair'!K515</f>
        <v>19800</v>
      </c>
      <c r="L515" s="186" t="n">
        <f aca="false">IFERROR(K515/J515,0)</f>
        <v>0.671186440677966</v>
      </c>
      <c r="M515" s="9" t="n">
        <f aca="false">MAX(0,'Engineering Assumptions'!$G$44-G515)</f>
        <v>0</v>
      </c>
      <c r="N515" s="187" t="str">
        <f aca="false">IF(G515&gt;=20,"REPLACE",IF(L515&gt;0.6,"REPLACE",IF(G515&gt;=15,"REPLACE",IF(OR(G515&gt;=11,L515&gt;0.4),"MONITOR","KEEP"))))</f>
        <v>REPLACE</v>
      </c>
      <c r="O515" s="188" t="str">
        <f aca="false">IF(G515&gt;=20,"End of life (age &gt; 20)",IF(L515&gt;0.6,"Repairs exceed 60% of revenue",IF(G515&gt;=15,"Age 15+ → replace",IF(OR(G515&gt;=11,L515&gt;0.4),"Watch costs; plan replacement","Healthy — continue operating"))))</f>
        <v>End of life (age &gt; 20)</v>
      </c>
      <c r="P515" s="188" t="str">
        <f aca="false">'Engineering Assumptions'!H44</f>
        <v>BAJAJ Platina / HONDA CD110 ~Rs. 400k–500k</v>
      </c>
    </row>
    <row r="516" customFormat="false" ht="15" hidden="false" customHeight="true" outlineLevel="0" collapsed="false">
      <c r="A516" s="9" t="n">
        <v>485</v>
      </c>
      <c r="B516" s="184" t="s">
        <v>145</v>
      </c>
      <c r="C516" s="184" t="s">
        <v>2313</v>
      </c>
      <c r="D516" s="184"/>
      <c r="E516" s="184"/>
      <c r="F516" s="45" t="s">
        <v>472</v>
      </c>
      <c r="G516" s="9" t="n">
        <v>30</v>
      </c>
      <c r="H516" s="185" t="n">
        <f aca="false">'Engineering Assumptions'!$F$44*0.03*1</f>
        <v>0.0135</v>
      </c>
      <c r="I516" s="185" t="n">
        <f aca="false">'Engineering Assumptions'!$F$44*1</f>
        <v>0.45</v>
      </c>
      <c r="J516" s="12" t="n">
        <f aca="false">'Fleet Pricing'!L516</f>
        <v>29500</v>
      </c>
      <c r="K516" s="12" t="n">
        <f aca="false">'Maintenance &amp; Repair'!J516+'Maintenance &amp; Repair'!K516</f>
        <v>19800</v>
      </c>
      <c r="L516" s="186" t="n">
        <f aca="false">IFERROR(K516/J516,0)</f>
        <v>0.671186440677966</v>
      </c>
      <c r="M516" s="9" t="n">
        <f aca="false">MAX(0,'Engineering Assumptions'!$G$44-G516)</f>
        <v>0</v>
      </c>
      <c r="N516" s="187" t="str">
        <f aca="false">IF(G516&gt;=20,"REPLACE",IF(L516&gt;0.6,"REPLACE",IF(G516&gt;=15,"REPLACE",IF(OR(G516&gt;=11,L516&gt;0.4),"MONITOR","KEEP"))))</f>
        <v>REPLACE</v>
      </c>
      <c r="O516" s="188" t="str">
        <f aca="false">IF(G516&gt;=20,"End of life (age &gt; 20)",IF(L516&gt;0.6,"Repairs exceed 60% of revenue",IF(G516&gt;=15,"Age 15+ → replace",IF(OR(G516&gt;=11,L516&gt;0.4),"Watch costs; plan replacement","Healthy — continue operating"))))</f>
        <v>End of life (age &gt; 20)</v>
      </c>
      <c r="P516" s="188" t="str">
        <f aca="false">'Engineering Assumptions'!H44</f>
        <v>BAJAJ Platina / HONDA CD110 ~Rs. 400k–500k</v>
      </c>
    </row>
    <row r="517" customFormat="false" ht="15" hidden="false" customHeight="true" outlineLevel="0" collapsed="false">
      <c r="A517" s="9" t="n">
        <v>486</v>
      </c>
      <c r="B517" s="184" t="s">
        <v>145</v>
      </c>
      <c r="C517" s="184" t="s">
        <v>2313</v>
      </c>
      <c r="D517" s="184"/>
      <c r="E517" s="184"/>
      <c r="F517" s="45" t="s">
        <v>472</v>
      </c>
      <c r="G517" s="9" t="n">
        <v>30</v>
      </c>
      <c r="H517" s="185" t="n">
        <f aca="false">'Engineering Assumptions'!$F$44*0.03*1</f>
        <v>0.0135</v>
      </c>
      <c r="I517" s="185" t="n">
        <f aca="false">'Engineering Assumptions'!$F$44*1</f>
        <v>0.45</v>
      </c>
      <c r="J517" s="12" t="n">
        <f aca="false">'Fleet Pricing'!L517</f>
        <v>29500</v>
      </c>
      <c r="K517" s="12" t="n">
        <f aca="false">'Maintenance &amp; Repair'!J517+'Maintenance &amp; Repair'!K517</f>
        <v>19800</v>
      </c>
      <c r="L517" s="186" t="n">
        <f aca="false">IFERROR(K517/J517,0)</f>
        <v>0.671186440677966</v>
      </c>
      <c r="M517" s="9" t="n">
        <f aca="false">MAX(0,'Engineering Assumptions'!$G$44-G517)</f>
        <v>0</v>
      </c>
      <c r="N517" s="187" t="str">
        <f aca="false">IF(G517&gt;=20,"REPLACE",IF(L517&gt;0.6,"REPLACE",IF(G517&gt;=15,"REPLACE",IF(OR(G517&gt;=11,L517&gt;0.4),"MONITOR","KEEP"))))</f>
        <v>REPLACE</v>
      </c>
      <c r="O517" s="188" t="str">
        <f aca="false">IF(G517&gt;=20,"End of life (age &gt; 20)",IF(L517&gt;0.6,"Repairs exceed 60% of revenue",IF(G517&gt;=15,"Age 15+ → replace",IF(OR(G517&gt;=11,L517&gt;0.4),"Watch costs; plan replacement","Healthy — continue operating"))))</f>
        <v>End of life (age &gt; 20)</v>
      </c>
      <c r="P517" s="188" t="str">
        <f aca="false">'Engineering Assumptions'!H44</f>
        <v>BAJAJ Platina / HONDA CD110 ~Rs. 400k–500k</v>
      </c>
    </row>
    <row r="518" customFormat="false" ht="15" hidden="false" customHeight="true" outlineLevel="0" collapsed="false">
      <c r="A518" s="9" t="n">
        <v>487</v>
      </c>
      <c r="B518" s="184" t="s">
        <v>145</v>
      </c>
      <c r="C518" s="184" t="s">
        <v>2313</v>
      </c>
      <c r="D518" s="184"/>
      <c r="E518" s="184"/>
      <c r="F518" s="45" t="s">
        <v>472</v>
      </c>
      <c r="G518" s="9" t="n">
        <v>30</v>
      </c>
      <c r="H518" s="185" t="n">
        <f aca="false">'Engineering Assumptions'!$F$44*0.03*1</f>
        <v>0.0135</v>
      </c>
      <c r="I518" s="185" t="n">
        <f aca="false">'Engineering Assumptions'!$F$44*1</f>
        <v>0.45</v>
      </c>
      <c r="J518" s="12" t="n">
        <f aca="false">'Fleet Pricing'!L518</f>
        <v>29500</v>
      </c>
      <c r="K518" s="12" t="n">
        <f aca="false">'Maintenance &amp; Repair'!J518+'Maintenance &amp; Repair'!K518</f>
        <v>19800</v>
      </c>
      <c r="L518" s="186" t="n">
        <f aca="false">IFERROR(K518/J518,0)</f>
        <v>0.671186440677966</v>
      </c>
      <c r="M518" s="9" t="n">
        <f aca="false">MAX(0,'Engineering Assumptions'!$G$44-G518)</f>
        <v>0</v>
      </c>
      <c r="N518" s="187" t="str">
        <f aca="false">IF(G518&gt;=20,"REPLACE",IF(L518&gt;0.6,"REPLACE",IF(G518&gt;=15,"REPLACE",IF(OR(G518&gt;=11,L518&gt;0.4),"MONITOR","KEEP"))))</f>
        <v>REPLACE</v>
      </c>
      <c r="O518" s="188" t="str">
        <f aca="false">IF(G518&gt;=20,"End of life (age &gt; 20)",IF(L518&gt;0.6,"Repairs exceed 60% of revenue",IF(G518&gt;=15,"Age 15+ → replace",IF(OR(G518&gt;=11,L518&gt;0.4),"Watch costs; plan replacement","Healthy — continue operating"))))</f>
        <v>End of life (age &gt; 20)</v>
      </c>
      <c r="P518" s="188" t="str">
        <f aca="false">'Engineering Assumptions'!H44</f>
        <v>BAJAJ Platina / HONDA CD110 ~Rs. 400k–500k</v>
      </c>
    </row>
    <row r="519" customFormat="false" ht="41.25" hidden="false" customHeight="true" outlineLevel="0" collapsed="false">
      <c r="A519" s="9" t="n">
        <v>488</v>
      </c>
      <c r="B519" s="184" t="s">
        <v>145</v>
      </c>
      <c r="C519" s="184" t="s">
        <v>2313</v>
      </c>
      <c r="D519" s="184"/>
      <c r="E519" s="184"/>
      <c r="F519" s="45" t="s">
        <v>2119</v>
      </c>
      <c r="G519" s="9" t="n">
        <v>30</v>
      </c>
      <c r="H519" s="185" t="n">
        <f aca="false">'Engineering Assumptions'!$F$44*0.03*1</f>
        <v>0.0135</v>
      </c>
      <c r="I519" s="185" t="n">
        <f aca="false">'Engineering Assumptions'!$F$44*1</f>
        <v>0.45</v>
      </c>
      <c r="J519" s="12" t="n">
        <f aca="false">'Fleet Pricing'!L519</f>
        <v>29500</v>
      </c>
      <c r="K519" s="12" t="n">
        <f aca="false">'Maintenance &amp; Repair'!J519+'Maintenance &amp; Repair'!K519</f>
        <v>19800</v>
      </c>
      <c r="L519" s="186" t="n">
        <f aca="false">IFERROR(K519/J519,0)</f>
        <v>0.671186440677966</v>
      </c>
      <c r="M519" s="9" t="n">
        <f aca="false">MAX(0,'Engineering Assumptions'!$G$44-G519)</f>
        <v>0</v>
      </c>
      <c r="N519" s="187" t="str">
        <f aca="false">IF(G519&gt;=20,"REPLACE",IF(L519&gt;0.6,"REPLACE",IF(G519&gt;=15,"REPLACE",IF(OR(G519&gt;=11,L519&gt;0.4),"MONITOR","KEEP"))))</f>
        <v>REPLACE</v>
      </c>
      <c r="O519" s="188" t="str">
        <f aca="false">IF(G519&gt;=20,"End of life (age &gt; 20)",IF(L519&gt;0.6,"Repairs exceed 60% of revenue",IF(G519&gt;=15,"Age 15+ → replace",IF(OR(G519&gt;=11,L519&gt;0.4),"Watch costs; plan replacement","Healthy — continue operating"))))</f>
        <v>End of life (age &gt; 20)</v>
      </c>
      <c r="P519" s="188" t="str">
        <f aca="false">'Engineering Assumptions'!H44</f>
        <v>BAJAJ Platina / HONDA CD110 ~Rs. 400k–500k</v>
      </c>
    </row>
    <row r="520" customFormat="false" ht="41.25" hidden="false" customHeight="true" outlineLevel="0" collapsed="false">
      <c r="A520" s="9" t="n">
        <v>489</v>
      </c>
      <c r="B520" s="184" t="s">
        <v>145</v>
      </c>
      <c r="C520" s="184" t="s">
        <v>2313</v>
      </c>
      <c r="D520" s="184"/>
      <c r="E520" s="184"/>
      <c r="F520" s="45" t="s">
        <v>2120</v>
      </c>
      <c r="G520" s="9" t="n">
        <v>30</v>
      </c>
      <c r="H520" s="185" t="n">
        <f aca="false">'Engineering Assumptions'!$F$44*0.03*1</f>
        <v>0.0135</v>
      </c>
      <c r="I520" s="185" t="n">
        <f aca="false">'Engineering Assumptions'!$F$44*1</f>
        <v>0.45</v>
      </c>
      <c r="J520" s="12" t="n">
        <f aca="false">'Fleet Pricing'!L520</f>
        <v>29500</v>
      </c>
      <c r="K520" s="12" t="n">
        <f aca="false">'Maintenance &amp; Repair'!J520+'Maintenance &amp; Repair'!K520</f>
        <v>19800</v>
      </c>
      <c r="L520" s="186" t="n">
        <f aca="false">IFERROR(K520/J520,0)</f>
        <v>0.671186440677966</v>
      </c>
      <c r="M520" s="9" t="n">
        <f aca="false">MAX(0,'Engineering Assumptions'!$G$44-G520)</f>
        <v>0</v>
      </c>
      <c r="N520" s="187" t="str">
        <f aca="false">IF(G520&gt;=20,"REPLACE",IF(L520&gt;0.6,"REPLACE",IF(G520&gt;=15,"REPLACE",IF(OR(G520&gt;=11,L520&gt;0.4),"MONITOR","KEEP"))))</f>
        <v>REPLACE</v>
      </c>
      <c r="O520" s="188" t="str">
        <f aca="false">IF(G520&gt;=20,"End of life (age &gt; 20)",IF(L520&gt;0.6,"Repairs exceed 60% of revenue",IF(G520&gt;=15,"Age 15+ → replace",IF(OR(G520&gt;=11,L520&gt;0.4),"Watch costs; plan replacement","Healthy — continue operating"))))</f>
        <v>End of life (age &gt; 20)</v>
      </c>
      <c r="P520" s="188" t="str">
        <f aca="false">'Engineering Assumptions'!H44</f>
        <v>BAJAJ Platina / HONDA CD110 ~Rs. 400k–500k</v>
      </c>
    </row>
    <row r="521" customFormat="false" ht="41.25" hidden="false" customHeight="true" outlineLevel="0" collapsed="false">
      <c r="A521" s="9" t="n">
        <v>490</v>
      </c>
      <c r="B521" s="184" t="s">
        <v>145</v>
      </c>
      <c r="C521" s="184" t="s">
        <v>2313</v>
      </c>
      <c r="D521" s="184"/>
      <c r="E521" s="184"/>
      <c r="F521" s="45" t="s">
        <v>2121</v>
      </c>
      <c r="G521" s="9" t="n">
        <v>30</v>
      </c>
      <c r="H521" s="185" t="n">
        <f aca="false">'Engineering Assumptions'!$F$44*0.03*1</f>
        <v>0.0135</v>
      </c>
      <c r="I521" s="185" t="n">
        <f aca="false">'Engineering Assumptions'!$F$44*1</f>
        <v>0.45</v>
      </c>
      <c r="J521" s="12" t="n">
        <f aca="false">'Fleet Pricing'!L521</f>
        <v>29500</v>
      </c>
      <c r="K521" s="12" t="n">
        <f aca="false">'Maintenance &amp; Repair'!J521+'Maintenance &amp; Repair'!K521</f>
        <v>19800</v>
      </c>
      <c r="L521" s="186" t="n">
        <f aca="false">IFERROR(K521/J521,0)</f>
        <v>0.671186440677966</v>
      </c>
      <c r="M521" s="9" t="n">
        <f aca="false">MAX(0,'Engineering Assumptions'!$G$44-G521)</f>
        <v>0</v>
      </c>
      <c r="N521" s="187" t="str">
        <f aca="false">IF(G521&gt;=20,"REPLACE",IF(L521&gt;0.6,"REPLACE",IF(G521&gt;=15,"REPLACE",IF(OR(G521&gt;=11,L521&gt;0.4),"MONITOR","KEEP"))))</f>
        <v>REPLACE</v>
      </c>
      <c r="O521" s="188" t="str">
        <f aca="false">IF(G521&gt;=20,"End of life (age &gt; 20)",IF(L521&gt;0.6,"Repairs exceed 60% of revenue",IF(G521&gt;=15,"Age 15+ → replace",IF(OR(G521&gt;=11,L521&gt;0.4),"Watch costs; plan replacement","Healthy — continue operating"))))</f>
        <v>End of life (age &gt; 20)</v>
      </c>
      <c r="P521" s="188" t="str">
        <f aca="false">'Engineering Assumptions'!H44</f>
        <v>BAJAJ Platina / HONDA CD110 ~Rs. 400k–500k</v>
      </c>
    </row>
    <row r="522" customFormat="false" ht="54.75" hidden="false" customHeight="true" outlineLevel="0" collapsed="false">
      <c r="A522" s="9" t="n">
        <v>491</v>
      </c>
      <c r="B522" s="184" t="s">
        <v>145</v>
      </c>
      <c r="C522" s="184" t="s">
        <v>2313</v>
      </c>
      <c r="D522" s="184"/>
      <c r="E522" s="184"/>
      <c r="F522" s="45" t="s">
        <v>2122</v>
      </c>
      <c r="G522" s="9" t="n">
        <v>30</v>
      </c>
      <c r="H522" s="185" t="n">
        <f aca="false">'Engineering Assumptions'!$F$44*0.03*1</f>
        <v>0.0135</v>
      </c>
      <c r="I522" s="185" t="n">
        <f aca="false">'Engineering Assumptions'!$F$44*1</f>
        <v>0.45</v>
      </c>
      <c r="J522" s="12" t="n">
        <f aca="false">'Fleet Pricing'!L522</f>
        <v>29500</v>
      </c>
      <c r="K522" s="12" t="n">
        <f aca="false">'Maintenance &amp; Repair'!J522+'Maintenance &amp; Repair'!K522</f>
        <v>19800</v>
      </c>
      <c r="L522" s="186" t="n">
        <f aca="false">IFERROR(K522/J522,0)</f>
        <v>0.671186440677966</v>
      </c>
      <c r="M522" s="9" t="n">
        <f aca="false">MAX(0,'Engineering Assumptions'!$G$44-G522)</f>
        <v>0</v>
      </c>
      <c r="N522" s="187" t="str">
        <f aca="false">IF(G522&gt;=20,"REPLACE",IF(L522&gt;0.6,"REPLACE",IF(G522&gt;=15,"REPLACE",IF(OR(G522&gt;=11,L522&gt;0.4),"MONITOR","KEEP"))))</f>
        <v>REPLACE</v>
      </c>
      <c r="O522" s="188" t="str">
        <f aca="false">IF(G522&gt;=20,"End of life (age &gt; 20)",IF(L522&gt;0.6,"Repairs exceed 60% of revenue",IF(G522&gt;=15,"Age 15+ → replace",IF(OR(G522&gt;=11,L522&gt;0.4),"Watch costs; plan replacement","Healthy — continue operating"))))</f>
        <v>End of life (age &gt; 20)</v>
      </c>
      <c r="P522" s="188" t="str">
        <f aca="false">'Engineering Assumptions'!H44</f>
        <v>BAJAJ Platina / HONDA CD110 ~Rs. 400k–500k</v>
      </c>
    </row>
    <row r="523" customFormat="false" ht="15" hidden="false" customHeight="true" outlineLevel="0" collapsed="false">
      <c r="A523" s="9" t="n">
        <v>492</v>
      </c>
      <c r="B523" s="184" t="s">
        <v>145</v>
      </c>
      <c r="C523" s="184" t="s">
        <v>2313</v>
      </c>
      <c r="D523" s="184"/>
      <c r="E523" s="184"/>
      <c r="F523" s="45" t="s">
        <v>472</v>
      </c>
      <c r="G523" s="9" t="n">
        <v>30</v>
      </c>
      <c r="H523" s="185" t="n">
        <f aca="false">'Engineering Assumptions'!$F$44*0.03*1</f>
        <v>0.0135</v>
      </c>
      <c r="I523" s="185" t="n">
        <f aca="false">'Engineering Assumptions'!$F$44*1</f>
        <v>0.45</v>
      </c>
      <c r="J523" s="12" t="n">
        <f aca="false">'Fleet Pricing'!L523</f>
        <v>29500</v>
      </c>
      <c r="K523" s="12" t="n">
        <f aca="false">'Maintenance &amp; Repair'!J523+'Maintenance &amp; Repair'!K523</f>
        <v>19800</v>
      </c>
      <c r="L523" s="186" t="n">
        <f aca="false">IFERROR(K523/J523,0)</f>
        <v>0.671186440677966</v>
      </c>
      <c r="M523" s="9" t="n">
        <f aca="false">MAX(0,'Engineering Assumptions'!$G$44-G523)</f>
        <v>0</v>
      </c>
      <c r="N523" s="187" t="str">
        <f aca="false">IF(G523&gt;=20,"REPLACE",IF(L523&gt;0.6,"REPLACE",IF(G523&gt;=15,"REPLACE",IF(OR(G523&gt;=11,L523&gt;0.4),"MONITOR","KEEP"))))</f>
        <v>REPLACE</v>
      </c>
      <c r="O523" s="188" t="str">
        <f aca="false">IF(G523&gt;=20,"End of life (age &gt; 20)",IF(L523&gt;0.6,"Repairs exceed 60% of revenue",IF(G523&gt;=15,"Age 15+ → replace",IF(OR(G523&gt;=11,L523&gt;0.4),"Watch costs; plan replacement","Healthy — continue operating"))))</f>
        <v>End of life (age &gt; 20)</v>
      </c>
      <c r="P523" s="188" t="str">
        <f aca="false">'Engineering Assumptions'!H44</f>
        <v>BAJAJ Platina / HONDA CD110 ~Rs. 400k–500k</v>
      </c>
    </row>
    <row r="524" customFormat="false" ht="41.25" hidden="false" customHeight="true" outlineLevel="0" collapsed="false">
      <c r="A524" s="9" t="n">
        <v>493</v>
      </c>
      <c r="B524" s="184" t="s">
        <v>145</v>
      </c>
      <c r="C524" s="184" t="s">
        <v>2313</v>
      </c>
      <c r="D524" s="184"/>
      <c r="E524" s="184"/>
      <c r="F524" s="45" t="s">
        <v>2124</v>
      </c>
      <c r="G524" s="9" t="n">
        <v>30</v>
      </c>
      <c r="H524" s="185" t="n">
        <f aca="false">'Engineering Assumptions'!$F$44*0.03*1</f>
        <v>0.0135</v>
      </c>
      <c r="I524" s="185" t="n">
        <f aca="false">'Engineering Assumptions'!$F$44*1</f>
        <v>0.45</v>
      </c>
      <c r="J524" s="12" t="n">
        <f aca="false">'Fleet Pricing'!L524</f>
        <v>29500</v>
      </c>
      <c r="K524" s="12" t="n">
        <f aca="false">'Maintenance &amp; Repair'!J524+'Maintenance &amp; Repair'!K524</f>
        <v>19800</v>
      </c>
      <c r="L524" s="186" t="n">
        <f aca="false">IFERROR(K524/J524,0)</f>
        <v>0.671186440677966</v>
      </c>
      <c r="M524" s="9" t="n">
        <f aca="false">MAX(0,'Engineering Assumptions'!$G$44-G524)</f>
        <v>0</v>
      </c>
      <c r="N524" s="187" t="str">
        <f aca="false">IF(G524&gt;=20,"REPLACE",IF(L524&gt;0.6,"REPLACE",IF(G524&gt;=15,"REPLACE",IF(OR(G524&gt;=11,L524&gt;0.4),"MONITOR","KEEP"))))</f>
        <v>REPLACE</v>
      </c>
      <c r="O524" s="188" t="str">
        <f aca="false">IF(G524&gt;=20,"End of life (age &gt; 20)",IF(L524&gt;0.6,"Repairs exceed 60% of revenue",IF(G524&gt;=15,"Age 15+ → replace",IF(OR(G524&gt;=11,L524&gt;0.4),"Watch costs; plan replacement","Healthy — continue operating"))))</f>
        <v>End of life (age &gt; 20)</v>
      </c>
      <c r="P524" s="188" t="str">
        <f aca="false">'Engineering Assumptions'!H44</f>
        <v>BAJAJ Platina / HONDA CD110 ~Rs. 400k–500k</v>
      </c>
    </row>
    <row r="525" customFormat="false" ht="41.25" hidden="false" customHeight="true" outlineLevel="0" collapsed="false">
      <c r="A525" s="9" t="n">
        <v>494</v>
      </c>
      <c r="B525" s="184" t="s">
        <v>145</v>
      </c>
      <c r="C525" s="184" t="s">
        <v>2313</v>
      </c>
      <c r="D525" s="184"/>
      <c r="E525" s="184"/>
      <c r="F525" s="45" t="s">
        <v>1354</v>
      </c>
      <c r="G525" s="9" t="n">
        <v>30</v>
      </c>
      <c r="H525" s="185" t="n">
        <f aca="false">'Engineering Assumptions'!$F$44*0.03*1</f>
        <v>0.0135</v>
      </c>
      <c r="I525" s="185" t="n">
        <f aca="false">'Engineering Assumptions'!$F$44*1</f>
        <v>0.45</v>
      </c>
      <c r="J525" s="12" t="n">
        <f aca="false">'Fleet Pricing'!L525</f>
        <v>29500</v>
      </c>
      <c r="K525" s="12" t="n">
        <f aca="false">'Maintenance &amp; Repair'!J525+'Maintenance &amp; Repair'!K525</f>
        <v>19800</v>
      </c>
      <c r="L525" s="186" t="n">
        <f aca="false">IFERROR(K525/J525,0)</f>
        <v>0.671186440677966</v>
      </c>
      <c r="M525" s="9" t="n">
        <f aca="false">MAX(0,'Engineering Assumptions'!$G$44-G525)</f>
        <v>0</v>
      </c>
      <c r="N525" s="187" t="str">
        <f aca="false">IF(G525&gt;=20,"REPLACE",IF(L525&gt;0.6,"REPLACE",IF(G525&gt;=15,"REPLACE",IF(OR(G525&gt;=11,L525&gt;0.4),"MONITOR","KEEP"))))</f>
        <v>REPLACE</v>
      </c>
      <c r="O525" s="188" t="str">
        <f aca="false">IF(G525&gt;=20,"End of life (age &gt; 20)",IF(L525&gt;0.6,"Repairs exceed 60% of revenue",IF(G525&gt;=15,"Age 15+ → replace",IF(OR(G525&gt;=11,L525&gt;0.4),"Watch costs; plan replacement","Healthy — continue operating"))))</f>
        <v>End of life (age &gt; 20)</v>
      </c>
      <c r="P525" s="188" t="str">
        <f aca="false">'Engineering Assumptions'!H44</f>
        <v>BAJAJ Platina / HONDA CD110 ~Rs. 400k–500k</v>
      </c>
    </row>
    <row r="526" customFormat="false" ht="54.75" hidden="false" customHeight="true" outlineLevel="0" collapsed="false">
      <c r="A526" s="9" t="n">
        <v>495</v>
      </c>
      <c r="B526" s="184" t="s">
        <v>145</v>
      </c>
      <c r="C526" s="184" t="s">
        <v>2313</v>
      </c>
      <c r="D526" s="184"/>
      <c r="E526" s="184"/>
      <c r="F526" s="45" t="s">
        <v>2127</v>
      </c>
      <c r="G526" s="9" t="n">
        <v>30</v>
      </c>
      <c r="H526" s="185" t="n">
        <f aca="false">'Engineering Assumptions'!$F$44*0.03*1</f>
        <v>0.0135</v>
      </c>
      <c r="I526" s="185" t="n">
        <f aca="false">'Engineering Assumptions'!$F$44*1</f>
        <v>0.45</v>
      </c>
      <c r="J526" s="12" t="n">
        <f aca="false">'Fleet Pricing'!L526</f>
        <v>29500</v>
      </c>
      <c r="K526" s="12" t="n">
        <f aca="false">'Maintenance &amp; Repair'!J526+'Maintenance &amp; Repair'!K526</f>
        <v>19800</v>
      </c>
      <c r="L526" s="186" t="n">
        <f aca="false">IFERROR(K526/J526,0)</f>
        <v>0.671186440677966</v>
      </c>
      <c r="M526" s="9" t="n">
        <f aca="false">MAX(0,'Engineering Assumptions'!$G$44-G526)</f>
        <v>0</v>
      </c>
      <c r="N526" s="187" t="str">
        <f aca="false">IF(G526&gt;=20,"REPLACE",IF(L526&gt;0.6,"REPLACE",IF(G526&gt;=15,"REPLACE",IF(OR(G526&gt;=11,L526&gt;0.4),"MONITOR","KEEP"))))</f>
        <v>REPLACE</v>
      </c>
      <c r="O526" s="188" t="str">
        <f aca="false">IF(G526&gt;=20,"End of life (age &gt; 20)",IF(L526&gt;0.6,"Repairs exceed 60% of revenue",IF(G526&gt;=15,"Age 15+ → replace",IF(OR(G526&gt;=11,L526&gt;0.4),"Watch costs; plan replacement","Healthy — continue operating"))))</f>
        <v>End of life (age &gt; 20)</v>
      </c>
      <c r="P526" s="188" t="str">
        <f aca="false">'Engineering Assumptions'!H44</f>
        <v>BAJAJ Platina / HONDA CD110 ~Rs. 400k–500k</v>
      </c>
    </row>
    <row r="527" customFormat="false" ht="54.75" hidden="false" customHeight="true" outlineLevel="0" collapsed="false">
      <c r="A527" s="9" t="n">
        <v>496</v>
      </c>
      <c r="B527" s="184" t="s">
        <v>145</v>
      </c>
      <c r="C527" s="184" t="s">
        <v>2313</v>
      </c>
      <c r="D527" s="184"/>
      <c r="E527" s="184"/>
      <c r="F527" s="45" t="s">
        <v>1358</v>
      </c>
      <c r="G527" s="9" t="n">
        <v>30</v>
      </c>
      <c r="H527" s="185" t="n">
        <f aca="false">'Engineering Assumptions'!$F$44*0.03*1</f>
        <v>0.0135</v>
      </c>
      <c r="I527" s="185" t="n">
        <f aca="false">'Engineering Assumptions'!$F$44*1</f>
        <v>0.45</v>
      </c>
      <c r="J527" s="12" t="n">
        <f aca="false">'Fleet Pricing'!L527</f>
        <v>29500</v>
      </c>
      <c r="K527" s="12" t="n">
        <f aca="false">'Maintenance &amp; Repair'!J527+'Maintenance &amp; Repair'!K527</f>
        <v>19800</v>
      </c>
      <c r="L527" s="186" t="n">
        <f aca="false">IFERROR(K527/J527,0)</f>
        <v>0.671186440677966</v>
      </c>
      <c r="M527" s="9" t="n">
        <f aca="false">MAX(0,'Engineering Assumptions'!$G$44-G527)</f>
        <v>0</v>
      </c>
      <c r="N527" s="187" t="str">
        <f aca="false">IF(G527&gt;=20,"REPLACE",IF(L527&gt;0.6,"REPLACE",IF(G527&gt;=15,"REPLACE",IF(OR(G527&gt;=11,L527&gt;0.4),"MONITOR","KEEP"))))</f>
        <v>REPLACE</v>
      </c>
      <c r="O527" s="188" t="str">
        <f aca="false">IF(G527&gt;=20,"End of life (age &gt; 20)",IF(L527&gt;0.6,"Repairs exceed 60% of revenue",IF(G527&gt;=15,"Age 15+ → replace",IF(OR(G527&gt;=11,L527&gt;0.4),"Watch costs; plan replacement","Healthy — continue operating"))))</f>
        <v>End of life (age &gt; 20)</v>
      </c>
      <c r="P527" s="188" t="str">
        <f aca="false">'Engineering Assumptions'!H44</f>
        <v>BAJAJ Platina / HONDA CD110 ~Rs. 400k–500k</v>
      </c>
    </row>
    <row r="528" customFormat="false" ht="54.75" hidden="false" customHeight="true" outlineLevel="0" collapsed="false">
      <c r="A528" s="9" t="n">
        <v>497</v>
      </c>
      <c r="B528" s="184" t="s">
        <v>145</v>
      </c>
      <c r="C528" s="184" t="s">
        <v>2313</v>
      </c>
      <c r="D528" s="184"/>
      <c r="E528" s="184"/>
      <c r="F528" s="45" t="s">
        <v>1360</v>
      </c>
      <c r="G528" s="9" t="n">
        <v>30</v>
      </c>
      <c r="H528" s="185" t="n">
        <f aca="false">'Engineering Assumptions'!$F$44*0.03*1</f>
        <v>0.0135</v>
      </c>
      <c r="I528" s="185" t="n">
        <f aca="false">'Engineering Assumptions'!$F$44*1</f>
        <v>0.45</v>
      </c>
      <c r="J528" s="12" t="n">
        <f aca="false">'Fleet Pricing'!L528</f>
        <v>29500</v>
      </c>
      <c r="K528" s="12" t="n">
        <f aca="false">'Maintenance &amp; Repair'!J528+'Maintenance &amp; Repair'!K528</f>
        <v>19800</v>
      </c>
      <c r="L528" s="186" t="n">
        <f aca="false">IFERROR(K528/J528,0)</f>
        <v>0.671186440677966</v>
      </c>
      <c r="M528" s="9" t="n">
        <f aca="false">MAX(0,'Engineering Assumptions'!$G$44-G528)</f>
        <v>0</v>
      </c>
      <c r="N528" s="187" t="str">
        <f aca="false">IF(G528&gt;=20,"REPLACE",IF(L528&gt;0.6,"REPLACE",IF(G528&gt;=15,"REPLACE",IF(OR(G528&gt;=11,L528&gt;0.4),"MONITOR","KEEP"))))</f>
        <v>REPLACE</v>
      </c>
      <c r="O528" s="188" t="str">
        <f aca="false">IF(G528&gt;=20,"End of life (age &gt; 20)",IF(L528&gt;0.6,"Repairs exceed 60% of revenue",IF(G528&gt;=15,"Age 15+ → replace",IF(OR(G528&gt;=11,L528&gt;0.4),"Watch costs; plan replacement","Healthy — continue operating"))))</f>
        <v>End of life (age &gt; 20)</v>
      </c>
      <c r="P528" s="188" t="str">
        <f aca="false">'Engineering Assumptions'!H44</f>
        <v>BAJAJ Platina / HONDA CD110 ~Rs. 400k–500k</v>
      </c>
    </row>
    <row r="529" customFormat="false" ht="15" hidden="false" customHeight="true" outlineLevel="0" collapsed="false">
      <c r="A529" s="9" t="n">
        <v>498</v>
      </c>
      <c r="B529" s="184" t="s">
        <v>145</v>
      </c>
      <c r="C529" s="184" t="s">
        <v>2313</v>
      </c>
      <c r="D529" s="184"/>
      <c r="E529" s="184"/>
      <c r="F529" s="45" t="s">
        <v>472</v>
      </c>
      <c r="G529" s="9" t="n">
        <v>30</v>
      </c>
      <c r="H529" s="185" t="n">
        <f aca="false">'Engineering Assumptions'!$F$44*0.03*1</f>
        <v>0.0135</v>
      </c>
      <c r="I529" s="185" t="n">
        <f aca="false">'Engineering Assumptions'!$F$44*1</f>
        <v>0.45</v>
      </c>
      <c r="J529" s="12" t="n">
        <f aca="false">'Fleet Pricing'!L529</f>
        <v>29500</v>
      </c>
      <c r="K529" s="12" t="n">
        <f aca="false">'Maintenance &amp; Repair'!J529+'Maintenance &amp; Repair'!K529</f>
        <v>19800</v>
      </c>
      <c r="L529" s="186" t="n">
        <f aca="false">IFERROR(K529/J529,0)</f>
        <v>0.671186440677966</v>
      </c>
      <c r="M529" s="9" t="n">
        <f aca="false">MAX(0,'Engineering Assumptions'!$G$44-G529)</f>
        <v>0</v>
      </c>
      <c r="N529" s="187" t="str">
        <f aca="false">IF(G529&gt;=20,"REPLACE",IF(L529&gt;0.6,"REPLACE",IF(G529&gt;=15,"REPLACE",IF(OR(G529&gt;=11,L529&gt;0.4),"MONITOR","KEEP"))))</f>
        <v>REPLACE</v>
      </c>
      <c r="O529" s="188" t="str">
        <f aca="false">IF(G529&gt;=20,"End of life (age &gt; 20)",IF(L529&gt;0.6,"Repairs exceed 60% of revenue",IF(G529&gt;=15,"Age 15+ → replace",IF(OR(G529&gt;=11,L529&gt;0.4),"Watch costs; plan replacement","Healthy — continue operating"))))</f>
        <v>End of life (age &gt; 20)</v>
      </c>
      <c r="P529" s="188" t="str">
        <f aca="false">'Engineering Assumptions'!H44</f>
        <v>BAJAJ Platina / HONDA CD110 ~Rs. 400k–500k</v>
      </c>
    </row>
    <row r="530" customFormat="false" ht="15" hidden="false" customHeight="true" outlineLevel="0" collapsed="false">
      <c r="A530" s="9" t="n">
        <v>499</v>
      </c>
      <c r="B530" s="184" t="s">
        <v>145</v>
      </c>
      <c r="C530" s="184" t="s">
        <v>2313</v>
      </c>
      <c r="D530" s="184"/>
      <c r="E530" s="184"/>
      <c r="F530" s="45" t="s">
        <v>472</v>
      </c>
      <c r="G530" s="9" t="n">
        <v>30</v>
      </c>
      <c r="H530" s="185" t="n">
        <f aca="false">'Engineering Assumptions'!$F$44*0.03*1</f>
        <v>0.0135</v>
      </c>
      <c r="I530" s="185" t="n">
        <f aca="false">'Engineering Assumptions'!$F$44*1</f>
        <v>0.45</v>
      </c>
      <c r="J530" s="12" t="n">
        <f aca="false">'Fleet Pricing'!L530</f>
        <v>29500</v>
      </c>
      <c r="K530" s="12" t="n">
        <f aca="false">'Maintenance &amp; Repair'!J530+'Maintenance &amp; Repair'!K530</f>
        <v>19800</v>
      </c>
      <c r="L530" s="186" t="n">
        <f aca="false">IFERROR(K530/J530,0)</f>
        <v>0.671186440677966</v>
      </c>
      <c r="M530" s="9" t="n">
        <f aca="false">MAX(0,'Engineering Assumptions'!$G$44-G530)</f>
        <v>0</v>
      </c>
      <c r="N530" s="187" t="str">
        <f aca="false">IF(G530&gt;=20,"REPLACE",IF(L530&gt;0.6,"REPLACE",IF(G530&gt;=15,"REPLACE",IF(OR(G530&gt;=11,L530&gt;0.4),"MONITOR","KEEP"))))</f>
        <v>REPLACE</v>
      </c>
      <c r="O530" s="188" t="str">
        <f aca="false">IF(G530&gt;=20,"End of life (age &gt; 20)",IF(L530&gt;0.6,"Repairs exceed 60% of revenue",IF(G530&gt;=15,"Age 15+ → replace",IF(OR(G530&gt;=11,L530&gt;0.4),"Watch costs; plan replacement","Healthy — continue operating"))))</f>
        <v>End of life (age &gt; 20)</v>
      </c>
      <c r="P530" s="188" t="str">
        <f aca="false">'Engineering Assumptions'!H44</f>
        <v>BAJAJ Platina / HONDA CD110 ~Rs. 400k–500k</v>
      </c>
    </row>
    <row r="531" customFormat="false" ht="15" hidden="false" customHeight="true" outlineLevel="0" collapsed="false">
      <c r="A531" s="9" t="n">
        <v>500</v>
      </c>
      <c r="B531" s="184" t="s">
        <v>145</v>
      </c>
      <c r="C531" s="184" t="s">
        <v>2313</v>
      </c>
      <c r="D531" s="184"/>
      <c r="E531" s="184"/>
      <c r="F531" s="45" t="s">
        <v>472</v>
      </c>
      <c r="G531" s="9" t="n">
        <v>30</v>
      </c>
      <c r="H531" s="185" t="n">
        <f aca="false">'Engineering Assumptions'!$F$44*0.03*1</f>
        <v>0.0135</v>
      </c>
      <c r="I531" s="185" t="n">
        <f aca="false">'Engineering Assumptions'!$F$44*1</f>
        <v>0.45</v>
      </c>
      <c r="J531" s="12" t="n">
        <f aca="false">'Fleet Pricing'!L531</f>
        <v>29500</v>
      </c>
      <c r="K531" s="12" t="n">
        <f aca="false">'Maintenance &amp; Repair'!J531+'Maintenance &amp; Repair'!K531</f>
        <v>19800</v>
      </c>
      <c r="L531" s="186" t="n">
        <f aca="false">IFERROR(K531/J531,0)</f>
        <v>0.671186440677966</v>
      </c>
      <c r="M531" s="9" t="n">
        <f aca="false">MAX(0,'Engineering Assumptions'!$G$44-G531)</f>
        <v>0</v>
      </c>
      <c r="N531" s="187" t="str">
        <f aca="false">IF(G531&gt;=20,"REPLACE",IF(L531&gt;0.6,"REPLACE",IF(G531&gt;=15,"REPLACE",IF(OR(G531&gt;=11,L531&gt;0.4),"MONITOR","KEEP"))))</f>
        <v>REPLACE</v>
      </c>
      <c r="O531" s="188" t="str">
        <f aca="false">IF(G531&gt;=20,"End of life (age &gt; 20)",IF(L531&gt;0.6,"Repairs exceed 60% of revenue",IF(G531&gt;=15,"Age 15+ → replace",IF(OR(G531&gt;=11,L531&gt;0.4),"Watch costs; plan replacement","Healthy — continue operating"))))</f>
        <v>End of life (age &gt; 20)</v>
      </c>
      <c r="P531" s="188" t="str">
        <f aca="false">'Engineering Assumptions'!H44</f>
        <v>BAJAJ Platina / HONDA CD110 ~Rs. 400k–500k</v>
      </c>
    </row>
    <row r="532" customFormat="false" ht="15" hidden="false" customHeight="true" outlineLevel="0" collapsed="false">
      <c r="A532" s="9" t="n">
        <v>501</v>
      </c>
      <c r="B532" s="184" t="s">
        <v>145</v>
      </c>
      <c r="C532" s="184" t="s">
        <v>2313</v>
      </c>
      <c r="D532" s="184"/>
      <c r="E532" s="184"/>
      <c r="F532" s="45" t="s">
        <v>472</v>
      </c>
      <c r="G532" s="9" t="n">
        <v>30</v>
      </c>
      <c r="H532" s="185" t="n">
        <f aca="false">'Engineering Assumptions'!$F$44*0.03*1</f>
        <v>0.0135</v>
      </c>
      <c r="I532" s="185" t="n">
        <f aca="false">'Engineering Assumptions'!$F$44*1</f>
        <v>0.45</v>
      </c>
      <c r="J532" s="12" t="n">
        <f aca="false">'Fleet Pricing'!L532</f>
        <v>29500</v>
      </c>
      <c r="K532" s="12" t="n">
        <f aca="false">'Maintenance &amp; Repair'!J532+'Maintenance &amp; Repair'!K532</f>
        <v>19800</v>
      </c>
      <c r="L532" s="186" t="n">
        <f aca="false">IFERROR(K532/J532,0)</f>
        <v>0.671186440677966</v>
      </c>
      <c r="M532" s="9" t="n">
        <f aca="false">MAX(0,'Engineering Assumptions'!$G$44-G532)</f>
        <v>0</v>
      </c>
      <c r="N532" s="187" t="str">
        <f aca="false">IF(G532&gt;=20,"REPLACE",IF(L532&gt;0.6,"REPLACE",IF(G532&gt;=15,"REPLACE",IF(OR(G532&gt;=11,L532&gt;0.4),"MONITOR","KEEP"))))</f>
        <v>REPLACE</v>
      </c>
      <c r="O532" s="188" t="str">
        <f aca="false">IF(G532&gt;=20,"End of life (age &gt; 20)",IF(L532&gt;0.6,"Repairs exceed 60% of revenue",IF(G532&gt;=15,"Age 15+ → replace",IF(OR(G532&gt;=11,L532&gt;0.4),"Watch costs; plan replacement","Healthy — continue operating"))))</f>
        <v>End of life (age &gt; 20)</v>
      </c>
      <c r="P532" s="188" t="str">
        <f aca="false">'Engineering Assumptions'!H44</f>
        <v>BAJAJ Platina / HONDA CD110 ~Rs. 400k–500k</v>
      </c>
    </row>
    <row r="533" customFormat="false" ht="41.25" hidden="false" customHeight="true" outlineLevel="0" collapsed="false">
      <c r="A533" s="9" t="n">
        <v>502</v>
      </c>
      <c r="B533" s="184" t="s">
        <v>145</v>
      </c>
      <c r="C533" s="184" t="s">
        <v>2313</v>
      </c>
      <c r="D533" s="184"/>
      <c r="E533" s="184"/>
      <c r="F533" s="45" t="s">
        <v>1366</v>
      </c>
      <c r="G533" s="9" t="n">
        <v>30</v>
      </c>
      <c r="H533" s="185" t="n">
        <f aca="false">'Engineering Assumptions'!$F$44*0.03*1</f>
        <v>0.0135</v>
      </c>
      <c r="I533" s="185" t="n">
        <f aca="false">'Engineering Assumptions'!$F$44*1</f>
        <v>0.45</v>
      </c>
      <c r="J533" s="12" t="n">
        <f aca="false">'Fleet Pricing'!L533</f>
        <v>29500</v>
      </c>
      <c r="K533" s="12" t="n">
        <f aca="false">'Maintenance &amp; Repair'!J533+'Maintenance &amp; Repair'!K533</f>
        <v>19800</v>
      </c>
      <c r="L533" s="186" t="n">
        <f aca="false">IFERROR(K533/J533,0)</f>
        <v>0.671186440677966</v>
      </c>
      <c r="M533" s="9" t="n">
        <f aca="false">MAX(0,'Engineering Assumptions'!$G$44-G533)</f>
        <v>0</v>
      </c>
      <c r="N533" s="187" t="str">
        <f aca="false">IF(G533&gt;=20,"REPLACE",IF(L533&gt;0.6,"REPLACE",IF(G533&gt;=15,"REPLACE",IF(OR(G533&gt;=11,L533&gt;0.4),"MONITOR","KEEP"))))</f>
        <v>REPLACE</v>
      </c>
      <c r="O533" s="188" t="str">
        <f aca="false">IF(G533&gt;=20,"End of life (age &gt; 20)",IF(L533&gt;0.6,"Repairs exceed 60% of revenue",IF(G533&gt;=15,"Age 15+ → replace",IF(OR(G533&gt;=11,L533&gt;0.4),"Watch costs; plan replacement","Healthy — continue operating"))))</f>
        <v>End of life (age &gt; 20)</v>
      </c>
      <c r="P533" s="188" t="str">
        <f aca="false">'Engineering Assumptions'!H44</f>
        <v>BAJAJ Platina / HONDA CD110 ~Rs. 400k–500k</v>
      </c>
    </row>
    <row r="534" customFormat="false" ht="54.75" hidden="false" customHeight="true" outlineLevel="0" collapsed="false">
      <c r="A534" s="9" t="n">
        <v>503</v>
      </c>
      <c r="B534" s="184" t="s">
        <v>145</v>
      </c>
      <c r="C534" s="184" t="s">
        <v>2313</v>
      </c>
      <c r="D534" s="184"/>
      <c r="E534" s="184"/>
      <c r="F534" s="45" t="s">
        <v>1368</v>
      </c>
      <c r="G534" s="9" t="n">
        <v>30</v>
      </c>
      <c r="H534" s="185" t="n">
        <f aca="false">'Engineering Assumptions'!$F$44*0.03*1</f>
        <v>0.0135</v>
      </c>
      <c r="I534" s="185" t="n">
        <f aca="false">'Engineering Assumptions'!$F$44*1</f>
        <v>0.45</v>
      </c>
      <c r="J534" s="12" t="n">
        <f aca="false">'Fleet Pricing'!L534</f>
        <v>29500</v>
      </c>
      <c r="K534" s="12" t="n">
        <f aca="false">'Maintenance &amp; Repair'!J534+'Maintenance &amp; Repair'!K534</f>
        <v>19800</v>
      </c>
      <c r="L534" s="186" t="n">
        <f aca="false">IFERROR(K534/J534,0)</f>
        <v>0.671186440677966</v>
      </c>
      <c r="M534" s="9" t="n">
        <f aca="false">MAX(0,'Engineering Assumptions'!$G$44-G534)</f>
        <v>0</v>
      </c>
      <c r="N534" s="187" t="str">
        <f aca="false">IF(G534&gt;=20,"REPLACE",IF(L534&gt;0.6,"REPLACE",IF(G534&gt;=15,"REPLACE",IF(OR(G534&gt;=11,L534&gt;0.4),"MONITOR","KEEP"))))</f>
        <v>REPLACE</v>
      </c>
      <c r="O534" s="188" t="str">
        <f aca="false">IF(G534&gt;=20,"End of life (age &gt; 20)",IF(L534&gt;0.6,"Repairs exceed 60% of revenue",IF(G534&gt;=15,"Age 15+ → replace",IF(OR(G534&gt;=11,L534&gt;0.4),"Watch costs; plan replacement","Healthy — continue operating"))))</f>
        <v>End of life (age &gt; 20)</v>
      </c>
      <c r="P534" s="188" t="str">
        <f aca="false">'Engineering Assumptions'!H44</f>
        <v>BAJAJ Platina / HONDA CD110 ~Rs. 400k–500k</v>
      </c>
    </row>
    <row r="535" customFormat="false" ht="15" hidden="false" customHeight="true" outlineLevel="0" collapsed="false">
      <c r="A535" s="9" t="n">
        <v>504</v>
      </c>
      <c r="B535" s="184" t="s">
        <v>145</v>
      </c>
      <c r="C535" s="184" t="s">
        <v>2497</v>
      </c>
      <c r="D535" s="184"/>
      <c r="E535" s="184"/>
      <c r="F535" s="45" t="s">
        <v>472</v>
      </c>
      <c r="G535" s="9" t="n">
        <v>30</v>
      </c>
      <c r="H535" s="185" t="n">
        <f aca="false">'Engineering Assumptions'!$F$44*0.03*1</f>
        <v>0.0135</v>
      </c>
      <c r="I535" s="185" t="n">
        <f aca="false">'Engineering Assumptions'!$F$44*1</f>
        <v>0.45</v>
      </c>
      <c r="J535" s="12" t="n">
        <f aca="false">'Fleet Pricing'!L535</f>
        <v>29500</v>
      </c>
      <c r="K535" s="12" t="n">
        <f aca="false">'Maintenance &amp; Repair'!J535+'Maintenance &amp; Repair'!K535</f>
        <v>19800</v>
      </c>
      <c r="L535" s="186" t="n">
        <f aca="false">IFERROR(K535/J535,0)</f>
        <v>0.671186440677966</v>
      </c>
      <c r="M535" s="9" t="n">
        <f aca="false">MAX(0,'Engineering Assumptions'!$G$44-G535)</f>
        <v>0</v>
      </c>
      <c r="N535" s="187" t="str">
        <f aca="false">IF(G535&gt;=20,"REPLACE",IF(L535&gt;0.6,"REPLACE",IF(G535&gt;=15,"REPLACE",IF(OR(G535&gt;=11,L535&gt;0.4),"MONITOR","KEEP"))))</f>
        <v>REPLACE</v>
      </c>
      <c r="O535" s="188" t="str">
        <f aca="false">IF(G535&gt;=20,"End of life (age &gt; 20)",IF(L535&gt;0.6,"Repairs exceed 60% of revenue",IF(G535&gt;=15,"Age 15+ → replace",IF(OR(G535&gt;=11,L535&gt;0.4),"Watch costs; plan replacement","Healthy — continue operating"))))</f>
        <v>End of life (age &gt; 20)</v>
      </c>
      <c r="P535" s="188" t="str">
        <f aca="false">'Engineering Assumptions'!H44</f>
        <v>BAJAJ Platina / HONDA CD110 ~Rs. 400k–500k</v>
      </c>
    </row>
    <row r="536" customFormat="false" ht="41.25" hidden="false" customHeight="true" outlineLevel="0" collapsed="false">
      <c r="A536" s="9" t="n">
        <v>505</v>
      </c>
      <c r="B536" s="184" t="s">
        <v>145</v>
      </c>
      <c r="C536" s="184" t="s">
        <v>2498</v>
      </c>
      <c r="D536" s="184"/>
      <c r="E536" s="184"/>
      <c r="F536" s="45" t="s">
        <v>1373</v>
      </c>
      <c r="G536" s="9" t="n">
        <v>30</v>
      </c>
      <c r="H536" s="185" t="n">
        <f aca="false">'Engineering Assumptions'!$F$44*0.03*1</f>
        <v>0.0135</v>
      </c>
      <c r="I536" s="185" t="n">
        <f aca="false">'Engineering Assumptions'!$F$44*1</f>
        <v>0.45</v>
      </c>
      <c r="J536" s="12" t="n">
        <f aca="false">'Fleet Pricing'!L536</f>
        <v>29500</v>
      </c>
      <c r="K536" s="12" t="n">
        <f aca="false">'Maintenance &amp; Repair'!J536+'Maintenance &amp; Repair'!K536</f>
        <v>19800</v>
      </c>
      <c r="L536" s="186" t="n">
        <f aca="false">IFERROR(K536/J536,0)</f>
        <v>0.671186440677966</v>
      </c>
      <c r="M536" s="9" t="n">
        <f aca="false">MAX(0,'Engineering Assumptions'!$G$44-G536)</f>
        <v>0</v>
      </c>
      <c r="N536" s="187" t="str">
        <f aca="false">IF(G536&gt;=20,"REPLACE",IF(L536&gt;0.6,"REPLACE",IF(G536&gt;=15,"REPLACE",IF(OR(G536&gt;=11,L536&gt;0.4),"MONITOR","KEEP"))))</f>
        <v>REPLACE</v>
      </c>
      <c r="O536" s="188" t="str">
        <f aca="false">IF(G536&gt;=20,"End of life (age &gt; 20)",IF(L536&gt;0.6,"Repairs exceed 60% of revenue",IF(G536&gt;=15,"Age 15+ → replace",IF(OR(G536&gt;=11,L536&gt;0.4),"Watch costs; plan replacement","Healthy — continue operating"))))</f>
        <v>End of life (age &gt; 20)</v>
      </c>
      <c r="P536" s="188" t="str">
        <f aca="false">'Engineering Assumptions'!H44</f>
        <v>BAJAJ Platina / HONDA CD110 ~Rs. 400k–500k</v>
      </c>
    </row>
    <row r="537" customFormat="false" ht="15" hidden="false" customHeight="true" outlineLevel="0" collapsed="false">
      <c r="A537" s="42" t="s">
        <v>1375</v>
      </c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</row>
    <row r="538" customFormat="false" ht="15" hidden="false" customHeight="true" outlineLevel="0" collapsed="false">
      <c r="A538" s="9" t="n">
        <v>506</v>
      </c>
      <c r="B538" s="184" t="s">
        <v>147</v>
      </c>
      <c r="C538" s="184" t="s">
        <v>2499</v>
      </c>
      <c r="D538" s="184" t="s">
        <v>1376</v>
      </c>
      <c r="E538" s="184" t="s">
        <v>1244</v>
      </c>
      <c r="F538" s="45" t="s">
        <v>397</v>
      </c>
      <c r="G538" s="9" t="n">
        <v>9</v>
      </c>
      <c r="H538" s="185" t="n">
        <f aca="false">'Engineering Assumptions'!$F$45*0.22*1</f>
        <v>1.43</v>
      </c>
      <c r="I538" s="185" t="n">
        <f aca="false">'Engineering Assumptions'!$F$45*1</f>
        <v>6.5</v>
      </c>
      <c r="J538" s="12" t="n">
        <f aca="false">'Fleet Pricing'!L538</f>
        <v>164000</v>
      </c>
      <c r="K538" s="12" t="n">
        <f aca="false">'Maintenance &amp; Repair'!J538+'Maintenance &amp; Repair'!K538</f>
        <v>29100</v>
      </c>
      <c r="L538" s="186" t="n">
        <f aca="false">IFERROR(K538/J538,0)</f>
        <v>0.177439024390244</v>
      </c>
      <c r="M538" s="9" t="n">
        <f aca="false">MAX(0,'Engineering Assumptions'!$G$45-G538)</f>
        <v>6</v>
      </c>
      <c r="N538" s="187" t="str">
        <f aca="false">IF(G538&gt;=20,"REPLACE",IF(L538&gt;0.6,"REPLACE",IF(G538&gt;=15,"REPLACE",IF(OR(G538&gt;=11,L538&gt;0.4),"MONITOR","KEEP"))))</f>
        <v>KEEP</v>
      </c>
      <c r="O538" s="188" t="str">
        <f aca="false">IF(G538&gt;=20,"End of life (age &gt; 20)",IF(L538&gt;0.6,"Repairs exceed 60% of revenue",IF(G538&gt;=15,"Age 15+ → replace",IF(OR(G538&gt;=11,L538&gt;0.4),"Watch costs; plan replacement","Healthy — continue operating"))))</f>
        <v>Healthy — continue operating</v>
      </c>
      <c r="P538" s="188" t="str">
        <f aca="false">'Engineering Assumptions'!H45</f>
        <v>Farm tractor + bowser combo ~Rs. 6–7M</v>
      </c>
    </row>
    <row r="539" customFormat="false" ht="15" hidden="false" customHeight="true" outlineLevel="0" collapsed="false">
      <c r="A539" s="9" t="n">
        <v>507</v>
      </c>
      <c r="B539" s="184" t="s">
        <v>147</v>
      </c>
      <c r="C539" s="184" t="s">
        <v>2499</v>
      </c>
      <c r="D539" s="184" t="s">
        <v>1377</v>
      </c>
      <c r="E539" s="184" t="s">
        <v>1242</v>
      </c>
      <c r="F539" s="45" t="s">
        <v>397</v>
      </c>
      <c r="G539" s="9" t="n">
        <v>9</v>
      </c>
      <c r="H539" s="185" t="n">
        <f aca="false">'Engineering Assumptions'!$F$45*0.22*1</f>
        <v>1.43</v>
      </c>
      <c r="I539" s="185" t="n">
        <f aca="false">'Engineering Assumptions'!$F$45*1</f>
        <v>6.5</v>
      </c>
      <c r="J539" s="12" t="n">
        <f aca="false">'Fleet Pricing'!L539</f>
        <v>164000</v>
      </c>
      <c r="K539" s="12" t="n">
        <f aca="false">'Maintenance &amp; Repair'!J539+'Maintenance &amp; Repair'!K539</f>
        <v>29100</v>
      </c>
      <c r="L539" s="186" t="n">
        <f aca="false">IFERROR(K539/J539,0)</f>
        <v>0.177439024390244</v>
      </c>
      <c r="M539" s="9" t="n">
        <f aca="false">MAX(0,'Engineering Assumptions'!$G$45-G539)</f>
        <v>6</v>
      </c>
      <c r="N539" s="187" t="str">
        <f aca="false">IF(G539&gt;=20,"REPLACE",IF(L539&gt;0.6,"REPLACE",IF(G539&gt;=15,"REPLACE",IF(OR(G539&gt;=11,L539&gt;0.4),"MONITOR","KEEP"))))</f>
        <v>KEEP</v>
      </c>
      <c r="O539" s="188" t="str">
        <f aca="false">IF(G539&gt;=20,"End of life (age &gt; 20)",IF(L539&gt;0.6,"Repairs exceed 60% of revenue",IF(G539&gt;=15,"Age 15+ → replace",IF(OR(G539&gt;=11,L539&gt;0.4),"Watch costs; plan replacement","Healthy — continue operating"))))</f>
        <v>Healthy — continue operating</v>
      </c>
      <c r="P539" s="188" t="str">
        <f aca="false">'Engineering Assumptions'!H45</f>
        <v>Farm tractor + bowser combo ~Rs. 6–7M</v>
      </c>
    </row>
    <row r="540" customFormat="false" ht="15" hidden="false" customHeight="true" outlineLevel="0" collapsed="false">
      <c r="A540" s="9" t="n">
        <v>508</v>
      </c>
      <c r="B540" s="184" t="s">
        <v>147</v>
      </c>
      <c r="C540" s="184" t="s">
        <v>2500</v>
      </c>
      <c r="D540" s="184" t="s">
        <v>1378</v>
      </c>
      <c r="E540" s="184"/>
      <c r="F540" s="45" t="s">
        <v>397</v>
      </c>
      <c r="G540" s="9" t="n">
        <v>9</v>
      </c>
      <c r="H540" s="185" t="n">
        <f aca="false">'Engineering Assumptions'!$F$45*0.22*1</f>
        <v>1.43</v>
      </c>
      <c r="I540" s="185" t="n">
        <f aca="false">'Engineering Assumptions'!$F$45*1</f>
        <v>6.5</v>
      </c>
      <c r="J540" s="12" t="n">
        <f aca="false">'Fleet Pricing'!L540</f>
        <v>164000</v>
      </c>
      <c r="K540" s="12" t="n">
        <f aca="false">'Maintenance &amp; Repair'!J540+'Maintenance &amp; Repair'!K540</f>
        <v>29100</v>
      </c>
      <c r="L540" s="186" t="n">
        <f aca="false">IFERROR(K540/J540,0)</f>
        <v>0.177439024390244</v>
      </c>
      <c r="M540" s="9" t="n">
        <f aca="false">MAX(0,'Engineering Assumptions'!$G$45-G540)</f>
        <v>6</v>
      </c>
      <c r="N540" s="187" t="str">
        <f aca="false">IF(G540&gt;=20,"REPLACE",IF(L540&gt;0.6,"REPLACE",IF(G540&gt;=15,"REPLACE",IF(OR(G540&gt;=11,L540&gt;0.4),"MONITOR","KEEP"))))</f>
        <v>KEEP</v>
      </c>
      <c r="O540" s="188" t="str">
        <f aca="false">IF(G540&gt;=20,"End of life (age &gt; 20)",IF(L540&gt;0.6,"Repairs exceed 60% of revenue",IF(G540&gt;=15,"Age 15+ → replace",IF(OR(G540&gt;=11,L540&gt;0.4),"Watch costs; plan replacement","Healthy — continue operating"))))</f>
        <v>Healthy — continue operating</v>
      </c>
      <c r="P540" s="188" t="str">
        <f aca="false">'Engineering Assumptions'!H45</f>
        <v>Farm tractor + bowser combo ~Rs. 6–7M</v>
      </c>
    </row>
    <row r="541" customFormat="false" ht="15" hidden="false" customHeight="true" outlineLevel="0" collapsed="false">
      <c r="A541" s="9" t="n">
        <v>509</v>
      </c>
      <c r="B541" s="184" t="s">
        <v>147</v>
      </c>
      <c r="C541" s="184" t="s">
        <v>2501</v>
      </c>
      <c r="D541" s="184" t="s">
        <v>1380</v>
      </c>
      <c r="E541" s="184" t="s">
        <v>1238</v>
      </c>
      <c r="F541" s="45" t="s">
        <v>397</v>
      </c>
      <c r="G541" s="9" t="n">
        <v>9</v>
      </c>
      <c r="H541" s="185" t="n">
        <f aca="false">'Engineering Assumptions'!$F$45*0.22*1</f>
        <v>1.43</v>
      </c>
      <c r="I541" s="185" t="n">
        <f aca="false">'Engineering Assumptions'!$F$45*1</f>
        <v>6.5</v>
      </c>
      <c r="J541" s="12" t="n">
        <f aca="false">'Fleet Pricing'!L541</f>
        <v>164000</v>
      </c>
      <c r="K541" s="12" t="n">
        <f aca="false">'Maintenance &amp; Repair'!J541+'Maintenance &amp; Repair'!K541</f>
        <v>29100</v>
      </c>
      <c r="L541" s="186" t="n">
        <f aca="false">IFERROR(K541/J541,0)</f>
        <v>0.177439024390244</v>
      </c>
      <c r="M541" s="9" t="n">
        <f aca="false">MAX(0,'Engineering Assumptions'!$G$45-G541)</f>
        <v>6</v>
      </c>
      <c r="N541" s="187" t="str">
        <f aca="false">IF(G541&gt;=20,"REPLACE",IF(L541&gt;0.6,"REPLACE",IF(G541&gt;=15,"REPLACE",IF(OR(G541&gt;=11,L541&gt;0.4),"MONITOR","KEEP"))))</f>
        <v>KEEP</v>
      </c>
      <c r="O541" s="188" t="str">
        <f aca="false">IF(G541&gt;=20,"End of life (age &gt; 20)",IF(L541&gt;0.6,"Repairs exceed 60% of revenue",IF(G541&gt;=15,"Age 15+ → replace",IF(OR(G541&gt;=11,L541&gt;0.4),"Watch costs; plan replacement","Healthy — continue operating"))))</f>
        <v>Healthy — continue operating</v>
      </c>
      <c r="P541" s="188" t="str">
        <f aca="false">'Engineering Assumptions'!H45</f>
        <v>Farm tractor + bowser combo ~Rs. 6–7M</v>
      </c>
    </row>
    <row r="542" customFormat="false" ht="15" hidden="false" customHeight="true" outlineLevel="0" collapsed="false">
      <c r="A542" s="9" t="n">
        <v>510</v>
      </c>
      <c r="B542" s="184" t="s">
        <v>147</v>
      </c>
      <c r="C542" s="184" t="s">
        <v>2501</v>
      </c>
      <c r="D542" s="184" t="s">
        <v>1381</v>
      </c>
      <c r="E542" s="184"/>
      <c r="F542" s="45" t="s">
        <v>472</v>
      </c>
      <c r="G542" s="9" t="n">
        <v>30</v>
      </c>
      <c r="H542" s="185" t="n">
        <f aca="false">'Engineering Assumptions'!$F$45*0.03*1</f>
        <v>0.195</v>
      </c>
      <c r="I542" s="185" t="n">
        <f aca="false">'Engineering Assumptions'!$F$45*1</f>
        <v>6.5</v>
      </c>
      <c r="J542" s="12" t="n">
        <f aca="false">'Fleet Pricing'!L542</f>
        <v>104000</v>
      </c>
      <c r="K542" s="12" t="n">
        <f aca="false">'Maintenance &amp; Repair'!J542+'Maintenance &amp; Repair'!K542</f>
        <v>82080</v>
      </c>
      <c r="L542" s="186" t="n">
        <f aca="false">IFERROR(K542/J542,0)</f>
        <v>0.789230769230769</v>
      </c>
      <c r="M542" s="9" t="n">
        <f aca="false">MAX(0,'Engineering Assumptions'!$G$45-G542)</f>
        <v>0</v>
      </c>
      <c r="N542" s="187" t="str">
        <f aca="false">IF(G542&gt;=20,"REPLACE",IF(L542&gt;0.6,"REPLACE",IF(G542&gt;=15,"REPLACE",IF(OR(G542&gt;=11,L542&gt;0.4),"MONITOR","KEEP"))))</f>
        <v>REPLACE</v>
      </c>
      <c r="O542" s="188" t="str">
        <f aca="false">IF(G542&gt;=20,"End of life (age &gt; 20)",IF(L542&gt;0.6,"Repairs exceed 60% of revenue",IF(G542&gt;=15,"Age 15+ → replace",IF(OR(G542&gt;=11,L542&gt;0.4),"Watch costs; plan replacement","Healthy — continue operating"))))</f>
        <v>End of life (age &gt; 20)</v>
      </c>
      <c r="P542" s="188" t="str">
        <f aca="false">'Engineering Assumptions'!H45</f>
        <v>Farm tractor + bowser combo ~Rs. 6–7M</v>
      </c>
    </row>
    <row r="543" customFormat="false" ht="15" hidden="false" customHeight="true" outlineLevel="0" collapsed="false">
      <c r="A543" s="9" t="n">
        <v>511</v>
      </c>
      <c r="B543" s="184" t="s">
        <v>147</v>
      </c>
      <c r="C543" s="184" t="s">
        <v>2501</v>
      </c>
      <c r="D543" s="184" t="s">
        <v>1382</v>
      </c>
      <c r="E543" s="184"/>
      <c r="F543" s="45" t="s">
        <v>472</v>
      </c>
      <c r="G543" s="9" t="n">
        <v>30</v>
      </c>
      <c r="H543" s="185" t="n">
        <f aca="false">'Engineering Assumptions'!$F$45*0.03*1</f>
        <v>0.195</v>
      </c>
      <c r="I543" s="185" t="n">
        <f aca="false">'Engineering Assumptions'!$F$45*1</f>
        <v>6.5</v>
      </c>
      <c r="J543" s="12" t="n">
        <f aca="false">'Fleet Pricing'!L543</f>
        <v>104000</v>
      </c>
      <c r="K543" s="12" t="n">
        <f aca="false">'Maintenance &amp; Repair'!J543+'Maintenance &amp; Repair'!K543</f>
        <v>82080</v>
      </c>
      <c r="L543" s="186" t="n">
        <f aca="false">IFERROR(K543/J543,0)</f>
        <v>0.789230769230769</v>
      </c>
      <c r="M543" s="9" t="n">
        <f aca="false">MAX(0,'Engineering Assumptions'!$G$45-G543)</f>
        <v>0</v>
      </c>
      <c r="N543" s="187" t="str">
        <f aca="false">IF(G543&gt;=20,"REPLACE",IF(L543&gt;0.6,"REPLACE",IF(G543&gt;=15,"REPLACE",IF(OR(G543&gt;=11,L543&gt;0.4),"MONITOR","KEEP"))))</f>
        <v>REPLACE</v>
      </c>
      <c r="O543" s="188" t="str">
        <f aca="false">IF(G543&gt;=20,"End of life (age &gt; 20)",IF(L543&gt;0.6,"Repairs exceed 60% of revenue",IF(G543&gt;=15,"Age 15+ → replace",IF(OR(G543&gt;=11,L543&gt;0.4),"Watch costs; plan replacement","Healthy — continue operating"))))</f>
        <v>End of life (age &gt; 20)</v>
      </c>
      <c r="P543" s="188" t="str">
        <f aca="false">'Engineering Assumptions'!H45</f>
        <v>Farm tractor + bowser combo ~Rs. 6–7M</v>
      </c>
    </row>
    <row r="544" customFormat="false" ht="15" hidden="false" customHeight="true" outlineLevel="0" collapsed="false">
      <c r="A544" s="9" t="n">
        <v>512</v>
      </c>
      <c r="B544" s="184" t="s">
        <v>147</v>
      </c>
      <c r="C544" s="184" t="s">
        <v>2501</v>
      </c>
      <c r="D544" s="184" t="s">
        <v>1383</v>
      </c>
      <c r="E544" s="184"/>
      <c r="F544" s="45" t="s">
        <v>472</v>
      </c>
      <c r="G544" s="9" t="n">
        <v>30</v>
      </c>
      <c r="H544" s="185" t="n">
        <f aca="false">'Engineering Assumptions'!$F$45*0.03*1</f>
        <v>0.195</v>
      </c>
      <c r="I544" s="185" t="n">
        <f aca="false">'Engineering Assumptions'!$F$45*1</f>
        <v>6.5</v>
      </c>
      <c r="J544" s="12" t="n">
        <f aca="false">'Fleet Pricing'!L544</f>
        <v>104000</v>
      </c>
      <c r="K544" s="12" t="n">
        <f aca="false">'Maintenance &amp; Repair'!J544+'Maintenance &amp; Repair'!K544</f>
        <v>82080</v>
      </c>
      <c r="L544" s="186" t="n">
        <f aca="false">IFERROR(K544/J544,0)</f>
        <v>0.789230769230769</v>
      </c>
      <c r="M544" s="9" t="n">
        <f aca="false">MAX(0,'Engineering Assumptions'!$G$45-G544)</f>
        <v>0</v>
      </c>
      <c r="N544" s="187" t="str">
        <f aca="false">IF(G544&gt;=20,"REPLACE",IF(L544&gt;0.6,"REPLACE",IF(G544&gt;=15,"REPLACE",IF(OR(G544&gt;=11,L544&gt;0.4),"MONITOR","KEEP"))))</f>
        <v>REPLACE</v>
      </c>
      <c r="O544" s="188" t="str">
        <f aca="false">IF(G544&gt;=20,"End of life (age &gt; 20)",IF(L544&gt;0.6,"Repairs exceed 60% of revenue",IF(G544&gt;=15,"Age 15+ → replace",IF(OR(G544&gt;=11,L544&gt;0.4),"Watch costs; plan replacement","Healthy — continue operating"))))</f>
        <v>End of life (age &gt; 20)</v>
      </c>
      <c r="P544" s="188" t="str">
        <f aca="false">'Engineering Assumptions'!H45</f>
        <v>Farm tractor + bowser combo ~Rs. 6–7M</v>
      </c>
    </row>
    <row r="545" customFormat="false" ht="15" hidden="false" customHeight="true" outlineLevel="0" collapsed="false">
      <c r="A545" s="9" t="n">
        <v>513</v>
      </c>
      <c r="B545" s="184" t="s">
        <v>147</v>
      </c>
      <c r="C545" s="184" t="s">
        <v>2501</v>
      </c>
      <c r="D545" s="184" t="s">
        <v>1384</v>
      </c>
      <c r="E545" s="184"/>
      <c r="F545" s="45" t="s">
        <v>472</v>
      </c>
      <c r="G545" s="9" t="n">
        <v>30</v>
      </c>
      <c r="H545" s="185" t="n">
        <f aca="false">'Engineering Assumptions'!$F$45*0.03*1</f>
        <v>0.195</v>
      </c>
      <c r="I545" s="185" t="n">
        <f aca="false">'Engineering Assumptions'!$F$45*1</f>
        <v>6.5</v>
      </c>
      <c r="J545" s="12" t="n">
        <f aca="false">'Fleet Pricing'!L545</f>
        <v>104000</v>
      </c>
      <c r="K545" s="12" t="n">
        <f aca="false">'Maintenance &amp; Repair'!J545+'Maintenance &amp; Repair'!K545</f>
        <v>82080</v>
      </c>
      <c r="L545" s="186" t="n">
        <f aca="false">IFERROR(K545/J545,0)</f>
        <v>0.789230769230769</v>
      </c>
      <c r="M545" s="9" t="n">
        <f aca="false">MAX(0,'Engineering Assumptions'!$G$45-G545)</f>
        <v>0</v>
      </c>
      <c r="N545" s="187" t="str">
        <f aca="false">IF(G545&gt;=20,"REPLACE",IF(L545&gt;0.6,"REPLACE",IF(G545&gt;=15,"REPLACE",IF(OR(G545&gt;=11,L545&gt;0.4),"MONITOR","KEEP"))))</f>
        <v>REPLACE</v>
      </c>
      <c r="O545" s="188" t="str">
        <f aca="false">IF(G545&gt;=20,"End of life (age &gt; 20)",IF(L545&gt;0.6,"Repairs exceed 60% of revenue",IF(G545&gt;=15,"Age 15+ → replace",IF(OR(G545&gt;=11,L545&gt;0.4),"Watch costs; plan replacement","Healthy — continue operating"))))</f>
        <v>End of life (age &gt; 20)</v>
      </c>
      <c r="P545" s="188" t="str">
        <f aca="false">'Engineering Assumptions'!H45</f>
        <v>Farm tractor + bowser combo ~Rs. 6–7M</v>
      </c>
    </row>
    <row r="546" customFormat="false" ht="15" hidden="false" customHeight="true" outlineLevel="0" collapsed="false">
      <c r="A546" s="9" t="n">
        <v>514</v>
      </c>
      <c r="B546" s="184" t="s">
        <v>147</v>
      </c>
      <c r="C546" s="184" t="s">
        <v>2501</v>
      </c>
      <c r="D546" s="184" t="s">
        <v>1385</v>
      </c>
      <c r="E546" s="184"/>
      <c r="F546" s="45" t="s">
        <v>472</v>
      </c>
      <c r="G546" s="9" t="n">
        <v>30</v>
      </c>
      <c r="H546" s="185" t="n">
        <f aca="false">'Engineering Assumptions'!$F$45*0.03*1</f>
        <v>0.195</v>
      </c>
      <c r="I546" s="185" t="n">
        <f aca="false">'Engineering Assumptions'!$F$45*1</f>
        <v>6.5</v>
      </c>
      <c r="J546" s="12" t="n">
        <f aca="false">'Fleet Pricing'!L546</f>
        <v>104000</v>
      </c>
      <c r="K546" s="12" t="n">
        <f aca="false">'Maintenance &amp; Repair'!J546+'Maintenance &amp; Repair'!K546</f>
        <v>82080</v>
      </c>
      <c r="L546" s="186" t="n">
        <f aca="false">IFERROR(K546/J546,0)</f>
        <v>0.789230769230769</v>
      </c>
      <c r="M546" s="9" t="n">
        <f aca="false">MAX(0,'Engineering Assumptions'!$G$45-G546)</f>
        <v>0</v>
      </c>
      <c r="N546" s="187" t="str">
        <f aca="false">IF(G546&gt;=20,"REPLACE",IF(L546&gt;0.6,"REPLACE",IF(G546&gt;=15,"REPLACE",IF(OR(G546&gt;=11,L546&gt;0.4),"MONITOR","KEEP"))))</f>
        <v>REPLACE</v>
      </c>
      <c r="O546" s="188" t="str">
        <f aca="false">IF(G546&gt;=20,"End of life (age &gt; 20)",IF(L546&gt;0.6,"Repairs exceed 60% of revenue",IF(G546&gt;=15,"Age 15+ → replace",IF(OR(G546&gt;=11,L546&gt;0.4),"Watch costs; plan replacement","Healthy — continue operating"))))</f>
        <v>End of life (age &gt; 20)</v>
      </c>
      <c r="P546" s="188" t="str">
        <f aca="false">'Engineering Assumptions'!H45</f>
        <v>Farm tractor + bowser combo ~Rs. 6–7M</v>
      </c>
    </row>
    <row r="547" customFormat="false" ht="15" hidden="false" customHeight="true" outlineLevel="0" collapsed="false">
      <c r="A547" s="9" t="n">
        <v>515</v>
      </c>
      <c r="B547" s="184" t="s">
        <v>147</v>
      </c>
      <c r="C547" s="184" t="s">
        <v>2501</v>
      </c>
      <c r="D547" s="184" t="s">
        <v>1386</v>
      </c>
      <c r="E547" s="184"/>
      <c r="F547" s="45" t="s">
        <v>472</v>
      </c>
      <c r="G547" s="9" t="n">
        <v>30</v>
      </c>
      <c r="H547" s="185" t="n">
        <f aca="false">'Engineering Assumptions'!$F$45*0.03*1</f>
        <v>0.195</v>
      </c>
      <c r="I547" s="185" t="n">
        <f aca="false">'Engineering Assumptions'!$F$45*1</f>
        <v>6.5</v>
      </c>
      <c r="J547" s="12" t="n">
        <f aca="false">'Fleet Pricing'!L547</f>
        <v>104000</v>
      </c>
      <c r="K547" s="12" t="n">
        <f aca="false">'Maintenance &amp; Repair'!J547+'Maintenance &amp; Repair'!K547</f>
        <v>82080</v>
      </c>
      <c r="L547" s="186" t="n">
        <f aca="false">IFERROR(K547/J547,0)</f>
        <v>0.789230769230769</v>
      </c>
      <c r="M547" s="9" t="n">
        <f aca="false">MAX(0,'Engineering Assumptions'!$G$45-G547)</f>
        <v>0</v>
      </c>
      <c r="N547" s="187" t="str">
        <f aca="false">IF(G547&gt;=20,"REPLACE",IF(L547&gt;0.6,"REPLACE",IF(G547&gt;=15,"REPLACE",IF(OR(G547&gt;=11,L547&gt;0.4),"MONITOR","KEEP"))))</f>
        <v>REPLACE</v>
      </c>
      <c r="O547" s="188" t="str">
        <f aca="false">IF(G547&gt;=20,"End of life (age &gt; 20)",IF(L547&gt;0.6,"Repairs exceed 60% of revenue",IF(G547&gt;=15,"Age 15+ → replace",IF(OR(G547&gt;=11,L547&gt;0.4),"Watch costs; plan replacement","Healthy — continue operating"))))</f>
        <v>End of life (age &gt; 20)</v>
      </c>
      <c r="P547" s="188" t="str">
        <f aca="false">'Engineering Assumptions'!H45</f>
        <v>Farm tractor + bowser combo ~Rs. 6–7M</v>
      </c>
    </row>
    <row r="548" customFormat="false" ht="15" hidden="false" customHeight="true" outlineLevel="0" collapsed="false">
      <c r="A548" s="42" t="s">
        <v>1387</v>
      </c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</row>
    <row r="549" customFormat="false" ht="15" hidden="false" customHeight="true" outlineLevel="0" collapsed="false">
      <c r="A549" s="9" t="n">
        <v>516</v>
      </c>
      <c r="B549" s="184" t="s">
        <v>149</v>
      </c>
      <c r="C549" s="184" t="s">
        <v>2502</v>
      </c>
      <c r="D549" s="184" t="s">
        <v>1389</v>
      </c>
      <c r="E549" s="184"/>
      <c r="F549" s="45" t="s">
        <v>472</v>
      </c>
      <c r="G549" s="9" t="n">
        <v>30</v>
      </c>
      <c r="H549" s="185" t="n">
        <f aca="false">'Engineering Assumptions'!$F$46*0.03*1</f>
        <v>0.36</v>
      </c>
      <c r="I549" s="185" t="n">
        <f aca="false">'Engineering Assumptions'!$F$46*1</f>
        <v>12</v>
      </c>
      <c r="J549" s="12" t="n">
        <f aca="false">'Fleet Pricing'!L549</f>
        <v>180500</v>
      </c>
      <c r="K549" s="12" t="n">
        <f aca="false">'Maintenance &amp; Repair'!J549+'Maintenance &amp; Repair'!K549</f>
        <v>121680</v>
      </c>
      <c r="L549" s="186" t="n">
        <f aca="false">IFERROR(K549/J549,0)</f>
        <v>0.674127423822715</v>
      </c>
      <c r="M549" s="9" t="n">
        <f aca="false">MAX(0,'Engineering Assumptions'!$G$46-G549)</f>
        <v>0</v>
      </c>
      <c r="N549" s="187" t="str">
        <f aca="false">IF(G549&gt;=20,"REPLACE",IF(L549&gt;0.6,"REPLACE",IF(G549&gt;=15,"REPLACE",IF(OR(G549&gt;=11,L549&gt;0.4),"MONITOR","KEEP"))))</f>
        <v>REPLACE</v>
      </c>
      <c r="O549" s="188" t="str">
        <f aca="false">IF(G549&gt;=20,"End of life (age &gt; 20)",IF(L549&gt;0.6,"Repairs exceed 60% of revenue",IF(G549&gt;=15,"Age 15+ → replace",IF(OR(G549&gt;=11,L549&gt;0.4),"Watch costs; plan replacement","Healthy — continue operating"))))</f>
        <v>End of life (age &gt; 20)</v>
      </c>
      <c r="P549" s="188" t="str">
        <f aca="false">'Engineering Assumptions'!H46</f>
        <v>3T diesel forklift ~Rs. 10–14M</v>
      </c>
    </row>
    <row r="550" customFormat="false" ht="15" hidden="false" customHeight="true" outlineLevel="0" collapsed="false">
      <c r="A550" s="9" t="n">
        <v>517</v>
      </c>
      <c r="B550" s="184" t="s">
        <v>149</v>
      </c>
      <c r="C550" s="184" t="s">
        <v>2503</v>
      </c>
      <c r="D550" s="184" t="s">
        <v>1391</v>
      </c>
      <c r="E550" s="184"/>
      <c r="F550" s="45" t="s">
        <v>472</v>
      </c>
      <c r="G550" s="9" t="n">
        <v>30</v>
      </c>
      <c r="H550" s="185" t="n">
        <f aca="false">'Engineering Assumptions'!$F$46*0.03*1</f>
        <v>0.36</v>
      </c>
      <c r="I550" s="185" t="n">
        <f aca="false">'Engineering Assumptions'!$F$46*1</f>
        <v>12</v>
      </c>
      <c r="J550" s="12" t="n">
        <f aca="false">'Fleet Pricing'!L550</f>
        <v>180500</v>
      </c>
      <c r="K550" s="12" t="n">
        <f aca="false">'Maintenance &amp; Repair'!J550+'Maintenance &amp; Repair'!K550</f>
        <v>121680</v>
      </c>
      <c r="L550" s="186" t="n">
        <f aca="false">IFERROR(K550/J550,0)</f>
        <v>0.674127423822715</v>
      </c>
      <c r="M550" s="9" t="n">
        <f aca="false">MAX(0,'Engineering Assumptions'!$G$46-G550)</f>
        <v>0</v>
      </c>
      <c r="N550" s="187" t="str">
        <f aca="false">IF(G550&gt;=20,"REPLACE",IF(L550&gt;0.6,"REPLACE",IF(G550&gt;=15,"REPLACE",IF(OR(G550&gt;=11,L550&gt;0.4),"MONITOR","KEEP"))))</f>
        <v>REPLACE</v>
      </c>
      <c r="O550" s="188" t="str">
        <f aca="false">IF(G550&gt;=20,"End of life (age &gt; 20)",IF(L550&gt;0.6,"Repairs exceed 60% of revenue",IF(G550&gt;=15,"Age 15+ → replace",IF(OR(G550&gt;=11,L550&gt;0.4),"Watch costs; plan replacement","Healthy — continue operating"))))</f>
        <v>End of life (age &gt; 20)</v>
      </c>
      <c r="P550" s="188" t="str">
        <f aca="false">'Engineering Assumptions'!H46</f>
        <v>3T diesel forklift ~Rs. 10–14M</v>
      </c>
    </row>
    <row r="551" customFormat="false" ht="15" hidden="false" customHeight="true" outlineLevel="0" collapsed="false">
      <c r="A551" s="9" t="n">
        <v>518</v>
      </c>
      <c r="B551" s="184" t="s">
        <v>149</v>
      </c>
      <c r="C551" s="184" t="s">
        <v>2503</v>
      </c>
      <c r="D551" s="184" t="s">
        <v>1392</v>
      </c>
      <c r="E551" s="184"/>
      <c r="F551" s="45" t="s">
        <v>472</v>
      </c>
      <c r="G551" s="9" t="n">
        <v>30</v>
      </c>
      <c r="H551" s="185" t="n">
        <f aca="false">'Engineering Assumptions'!$F$46*0.03*1</f>
        <v>0.36</v>
      </c>
      <c r="I551" s="185" t="n">
        <f aca="false">'Engineering Assumptions'!$F$46*1</f>
        <v>12</v>
      </c>
      <c r="J551" s="12" t="n">
        <f aca="false">'Fleet Pricing'!L551</f>
        <v>180500</v>
      </c>
      <c r="K551" s="12" t="n">
        <f aca="false">'Maintenance &amp; Repair'!J551+'Maintenance &amp; Repair'!K551</f>
        <v>121680</v>
      </c>
      <c r="L551" s="186" t="n">
        <f aca="false">IFERROR(K551/J551,0)</f>
        <v>0.674127423822715</v>
      </c>
      <c r="M551" s="9" t="n">
        <f aca="false">MAX(0,'Engineering Assumptions'!$G$46-G551)</f>
        <v>0</v>
      </c>
      <c r="N551" s="187" t="str">
        <f aca="false">IF(G551&gt;=20,"REPLACE",IF(L551&gt;0.6,"REPLACE",IF(G551&gt;=15,"REPLACE",IF(OR(G551&gt;=11,L551&gt;0.4),"MONITOR","KEEP"))))</f>
        <v>REPLACE</v>
      </c>
      <c r="O551" s="188" t="str">
        <f aca="false">IF(G551&gt;=20,"End of life (age &gt; 20)",IF(L551&gt;0.6,"Repairs exceed 60% of revenue",IF(G551&gt;=15,"Age 15+ → replace",IF(OR(G551&gt;=11,L551&gt;0.4),"Watch costs; plan replacement","Healthy — continue operating"))))</f>
        <v>End of life (age &gt; 20)</v>
      </c>
      <c r="P551" s="188" t="str">
        <f aca="false">'Engineering Assumptions'!H46</f>
        <v>3T diesel forklift ~Rs. 10–14M</v>
      </c>
    </row>
  </sheetData>
  <autoFilter ref="A4:P551"/>
  <mergeCells count="31">
    <mergeCell ref="A1:P1"/>
    <mergeCell ref="A2:P2"/>
    <mergeCell ref="A5:P5"/>
    <mergeCell ref="A30:P30"/>
    <mergeCell ref="A40:P40"/>
    <mergeCell ref="A57:P57"/>
    <mergeCell ref="A61:P61"/>
    <mergeCell ref="A81:P81"/>
    <mergeCell ref="A154:P154"/>
    <mergeCell ref="A165:P165"/>
    <mergeCell ref="A182:P182"/>
    <mergeCell ref="A208:P208"/>
    <mergeCell ref="A220:P220"/>
    <mergeCell ref="A225:P225"/>
    <mergeCell ref="A228:P228"/>
    <mergeCell ref="A233:P233"/>
    <mergeCell ref="A242:P242"/>
    <mergeCell ref="A245:P245"/>
    <mergeCell ref="A271:P271"/>
    <mergeCell ref="A275:P275"/>
    <mergeCell ref="A287:P287"/>
    <mergeCell ref="A301:P301"/>
    <mergeCell ref="A390:P390"/>
    <mergeCell ref="A397:P397"/>
    <mergeCell ref="A401:P401"/>
    <mergeCell ref="A408:P408"/>
    <mergeCell ref="A450:P450"/>
    <mergeCell ref="A470:P470"/>
    <mergeCell ref="A483:P483"/>
    <mergeCell ref="A537:P537"/>
    <mergeCell ref="A548:P548"/>
  </mergeCells>
  <conditionalFormatting sqref="N5:N551">
    <cfRule type="expression" priority="2" aboveAverage="0" equalAverage="0" bottom="0" percent="0" rank="0" text="" dxfId="9">
      <formula>$N5="KEEP"</formula>
    </cfRule>
    <cfRule type="expression" priority="3" aboveAverage="0" equalAverage="0" bottom="0" percent="0" rank="0" text="" dxfId="10">
      <formula>$N5="MONITOR"</formula>
    </cfRule>
    <cfRule type="expression" priority="4" aboveAverage="0" equalAverage="0" bottom="0" percent="0" rank="0" text="" dxfId="0">
      <formula>$N5="REPLACE"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5" man="true" max="65535" min="0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9" activePane="bottomLeft" state="frozen"/>
      <selection pane="topLeft" activeCell="A1" activeCellId="0" sqref="A1"/>
      <selection pane="bottomLeft" activeCell="K27" activeCellId="0" sqref="K2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32"/>
    <col collapsed="false" customWidth="true" hidden="false" outlineLevel="0" max="8" min="8" style="0" width="28"/>
  </cols>
  <sheetData>
    <row r="1" customFormat="false" ht="24" hidden="false" customHeight="true" outlineLevel="0" collapsed="false">
      <c r="A1" s="1" t="s">
        <v>2523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7" t="s">
        <v>2524</v>
      </c>
      <c r="B2" s="7"/>
      <c r="C2" s="7"/>
      <c r="D2" s="7"/>
      <c r="E2" s="7"/>
      <c r="F2" s="7"/>
      <c r="G2" s="7"/>
      <c r="H2" s="7"/>
    </row>
    <row r="4" customFormat="false" ht="42" hidden="false" customHeight="true" outlineLevel="0" collapsed="false">
      <c r="A4" s="8" t="s">
        <v>77</v>
      </c>
      <c r="B4" s="8" t="s">
        <v>78</v>
      </c>
      <c r="C4" s="8" t="s">
        <v>2525</v>
      </c>
      <c r="D4" s="8" t="s">
        <v>2526</v>
      </c>
      <c r="E4" s="8" t="s">
        <v>2527</v>
      </c>
      <c r="F4" s="8" t="s">
        <v>2528</v>
      </c>
      <c r="G4" s="8" t="s">
        <v>2529</v>
      </c>
      <c r="H4" s="8" t="s">
        <v>2530</v>
      </c>
    </row>
    <row r="5" customFormat="false" ht="15" hidden="false" customHeight="true" outlineLevel="0" collapsed="false">
      <c r="A5" s="9" t="n">
        <v>1</v>
      </c>
      <c r="B5" s="10" t="s">
        <v>92</v>
      </c>
      <c r="C5" s="9" t="n">
        <v>24</v>
      </c>
      <c r="D5" s="189" t="n">
        <f aca="false">COUNTIFS('Replacement Analysis'!B:B,B5,'Replacement Analysis'!N:N,"KEEP")</f>
        <v>15</v>
      </c>
      <c r="E5" s="189" t="n">
        <f aca="false">COUNTIFS('Replacement Analysis'!B:B,B5,'Replacement Analysis'!N:N,"MONITOR")</f>
        <v>5</v>
      </c>
      <c r="F5" s="189" t="n">
        <f aca="false">COUNTIFS('Replacement Analysis'!B:B,B5,'Replacement Analysis'!N:N,"REPLACE")</f>
        <v>4</v>
      </c>
      <c r="G5" s="185" t="n">
        <f aca="false">SUMIFS('Replacement Analysis'!H:H,'Replacement Analysis'!B:B,B5,'Replacement Analysis'!N:N,"REPLACE")</f>
        <v>3.885</v>
      </c>
      <c r="H5" s="185" t="n">
        <f aca="false">SUMIFS('Replacement Analysis'!I:I,'Replacement Analysis'!B:B,B5,'Replacement Analysis'!N:N,"REPLACE")</f>
        <v>74</v>
      </c>
    </row>
    <row r="6" customFormat="false" ht="15" hidden="false" customHeight="true" outlineLevel="0" collapsed="false">
      <c r="A6" s="9" t="n">
        <v>2</v>
      </c>
      <c r="B6" s="10" t="s">
        <v>95</v>
      </c>
      <c r="C6" s="9" t="n">
        <v>9</v>
      </c>
      <c r="D6" s="189" t="n">
        <f aca="false">COUNTIFS('Replacement Analysis'!B:B,B6,'Replacement Analysis'!N:N,"KEEP")</f>
        <v>1</v>
      </c>
      <c r="E6" s="189" t="n">
        <f aca="false">COUNTIFS('Replacement Analysis'!B:B,B6,'Replacement Analysis'!N:N,"MONITOR")</f>
        <v>6</v>
      </c>
      <c r="F6" s="189" t="n">
        <f aca="false">COUNTIFS('Replacement Analysis'!B:B,B6,'Replacement Analysis'!N:N,"REPLACE")</f>
        <v>2</v>
      </c>
      <c r="G6" s="185" t="n">
        <f aca="false">SUMIFS('Replacement Analysis'!H:H,'Replacement Analysis'!B:B,B6,'Replacement Analysis'!N:N,"REPLACE")</f>
        <v>10.08</v>
      </c>
      <c r="H6" s="185" t="n">
        <f aca="false">SUMIFS('Replacement Analysis'!I:I,'Replacement Analysis'!B:B,B6,'Replacement Analysis'!N:N,"REPLACE")</f>
        <v>84</v>
      </c>
    </row>
    <row r="7" customFormat="false" ht="15" hidden="false" customHeight="true" outlineLevel="0" collapsed="false">
      <c r="A7" s="9" t="n">
        <v>3</v>
      </c>
      <c r="B7" s="10" t="s">
        <v>97</v>
      </c>
      <c r="C7" s="9" t="n">
        <v>16</v>
      </c>
      <c r="D7" s="189" t="n">
        <f aca="false">COUNTIFS('Replacement Analysis'!B:B,B7,'Replacement Analysis'!N:N,"KEEP")</f>
        <v>8</v>
      </c>
      <c r="E7" s="189" t="n">
        <f aca="false">COUNTIFS('Replacement Analysis'!B:B,B7,'Replacement Analysis'!N:N,"MONITOR")</f>
        <v>1</v>
      </c>
      <c r="F7" s="189" t="n">
        <f aca="false">COUNTIFS('Replacement Analysis'!B:B,B7,'Replacement Analysis'!N:N,"REPLACE")</f>
        <v>7</v>
      </c>
      <c r="G7" s="185" t="n">
        <f aca="false">SUMIFS('Replacement Analysis'!H:H,'Replacement Analysis'!B:B,B7,'Replacement Analysis'!N:N,"REPLACE")</f>
        <v>5.28</v>
      </c>
      <c r="H7" s="185" t="n">
        <f aca="false">SUMIFS('Replacement Analysis'!I:I,'Replacement Analysis'!B:B,B7,'Replacement Analysis'!N:N,"REPLACE")</f>
        <v>154</v>
      </c>
    </row>
    <row r="8" customFormat="false" ht="15" hidden="false" customHeight="true" outlineLevel="0" collapsed="false">
      <c r="A8" s="9" t="n">
        <v>4</v>
      </c>
      <c r="B8" s="10" t="s">
        <v>99</v>
      </c>
      <c r="C8" s="9" t="n">
        <v>3</v>
      </c>
      <c r="D8" s="189" t="n">
        <f aca="false">COUNTIFS('Replacement Analysis'!B:B,B8,'Replacement Analysis'!N:N,"KEEP")</f>
        <v>3</v>
      </c>
      <c r="E8" s="189" t="n">
        <f aca="false">COUNTIFS('Replacement Analysis'!B:B,B8,'Replacement Analysis'!N:N,"MONITOR")</f>
        <v>0</v>
      </c>
      <c r="F8" s="189" t="n">
        <f aca="false">COUNTIFS('Replacement Analysis'!B:B,B8,'Replacement Analysis'!N:N,"REPLACE")</f>
        <v>0</v>
      </c>
      <c r="G8" s="185" t="n">
        <f aca="false">SUMIFS('Replacement Analysis'!H:H,'Replacement Analysis'!B:B,B8,'Replacement Analysis'!N:N,"REPLACE")</f>
        <v>0</v>
      </c>
      <c r="H8" s="185" t="n">
        <f aca="false">SUMIFS('Replacement Analysis'!I:I,'Replacement Analysis'!B:B,B8,'Replacement Analysis'!N:N,"REPLACE")</f>
        <v>0</v>
      </c>
    </row>
    <row r="9" customFormat="false" ht="15" hidden="false" customHeight="true" outlineLevel="0" collapsed="false">
      <c r="A9" s="9" t="n">
        <v>5</v>
      </c>
      <c r="B9" s="10" t="s">
        <v>101</v>
      </c>
      <c r="C9" s="9" t="n">
        <v>19</v>
      </c>
      <c r="D9" s="189" t="n">
        <f aca="false">COUNTIFS('Replacement Analysis'!B:B,B9,'Replacement Analysis'!N:N,"KEEP")</f>
        <v>6</v>
      </c>
      <c r="E9" s="189" t="n">
        <f aca="false">COUNTIFS('Replacement Analysis'!B:B,B9,'Replacement Analysis'!N:N,"MONITOR")</f>
        <v>5</v>
      </c>
      <c r="F9" s="189" t="n">
        <f aca="false">COUNTIFS('Replacement Analysis'!B:B,B9,'Replacement Analysis'!N:N,"REPLACE")</f>
        <v>8</v>
      </c>
      <c r="G9" s="185" t="n">
        <f aca="false">SUMIFS('Replacement Analysis'!H:H,'Replacement Analysis'!B:B,B9,'Replacement Analysis'!N:N,"REPLACE")</f>
        <v>9.24</v>
      </c>
      <c r="H9" s="185" t="n">
        <f aca="false">SUMIFS('Replacement Analysis'!I:I,'Replacement Analysis'!B:B,B9,'Replacement Analysis'!N:N,"REPLACE")</f>
        <v>176</v>
      </c>
    </row>
    <row r="10" customFormat="false" ht="15" hidden="false" customHeight="true" outlineLevel="0" collapsed="false">
      <c r="A10" s="9" t="n">
        <v>6</v>
      </c>
      <c r="B10" s="10" t="s">
        <v>103</v>
      </c>
      <c r="C10" s="9" t="n">
        <v>72</v>
      </c>
      <c r="D10" s="189" t="n">
        <f aca="false">COUNTIFS('Replacement Analysis'!B:B,B10,'Replacement Analysis'!N:N,"KEEP")</f>
        <v>9</v>
      </c>
      <c r="E10" s="189" t="n">
        <f aca="false">COUNTIFS('Replacement Analysis'!B:B,B10,'Replacement Analysis'!N:N,"MONITOR")</f>
        <v>19</v>
      </c>
      <c r="F10" s="189" t="n">
        <f aca="false">COUNTIFS('Replacement Analysis'!B:B,B10,'Replacement Analysis'!N:N,"REPLACE")</f>
        <v>44</v>
      </c>
      <c r="G10" s="185" t="n">
        <f aca="false">SUMIFS('Replacement Analysis'!H:H,'Replacement Analysis'!B:B,B10,'Replacement Analysis'!N:N,"REPLACE")</f>
        <v>21</v>
      </c>
      <c r="H10" s="185" t="n">
        <f aca="false">SUMIFS('Replacement Analysis'!I:I,'Replacement Analysis'!B:B,B10,'Replacement Analysis'!N:N,"REPLACE")</f>
        <v>616</v>
      </c>
    </row>
    <row r="11" customFormat="false" ht="15" hidden="false" customHeight="true" outlineLevel="0" collapsed="false">
      <c r="A11" s="9" t="n">
        <v>7</v>
      </c>
      <c r="B11" s="10" t="s">
        <v>105</v>
      </c>
      <c r="C11" s="9" t="n">
        <v>10</v>
      </c>
      <c r="D11" s="189" t="n">
        <f aca="false">COUNTIFS('Replacement Analysis'!B:B,B11,'Replacement Analysis'!N:N,"KEEP")</f>
        <v>0</v>
      </c>
      <c r="E11" s="189" t="n">
        <f aca="false">COUNTIFS('Replacement Analysis'!B:B,B11,'Replacement Analysis'!N:N,"MONITOR")</f>
        <v>7</v>
      </c>
      <c r="F11" s="189" t="n">
        <f aca="false">COUNTIFS('Replacement Analysis'!B:B,B11,'Replacement Analysis'!N:N,"REPLACE")</f>
        <v>3</v>
      </c>
      <c r="G11" s="185" t="n">
        <f aca="false">SUMIFS('Replacement Analysis'!H:H,'Replacement Analysis'!B:B,B11,'Replacement Analysis'!N:N,"REPLACE")</f>
        <v>1.71</v>
      </c>
      <c r="H11" s="185" t="n">
        <f aca="false">SUMIFS('Replacement Analysis'!I:I,'Replacement Analysis'!B:B,B11,'Replacement Analysis'!N:N,"REPLACE")</f>
        <v>57</v>
      </c>
    </row>
    <row r="12" customFormat="false" ht="15" hidden="false" customHeight="true" outlineLevel="0" collapsed="false">
      <c r="A12" s="9" t="n">
        <v>8</v>
      </c>
      <c r="B12" s="10" t="s">
        <v>107</v>
      </c>
      <c r="C12" s="9" t="n">
        <v>16</v>
      </c>
      <c r="D12" s="189" t="n">
        <f aca="false">COUNTIFS('Replacement Analysis'!B:B,B12,'Replacement Analysis'!N:N,"KEEP")</f>
        <v>5</v>
      </c>
      <c r="E12" s="189" t="n">
        <f aca="false">COUNTIFS('Replacement Analysis'!B:B,B12,'Replacement Analysis'!N:N,"MONITOR")</f>
        <v>1</v>
      </c>
      <c r="F12" s="189" t="n">
        <f aca="false">COUNTIFS('Replacement Analysis'!B:B,B12,'Replacement Analysis'!N:N,"REPLACE")</f>
        <v>10</v>
      </c>
      <c r="G12" s="185" t="n">
        <f aca="false">SUMIFS('Replacement Analysis'!H:H,'Replacement Analysis'!B:B,B12,'Replacement Analysis'!N:N,"REPLACE")</f>
        <v>21.45</v>
      </c>
      <c r="H12" s="185" t="n">
        <f aca="false">SUMIFS('Replacement Analysis'!I:I,'Replacement Analysis'!B:B,B12,'Replacement Analysis'!N:N,"REPLACE")</f>
        <v>550</v>
      </c>
    </row>
    <row r="13" customFormat="false" ht="15" hidden="false" customHeight="true" outlineLevel="0" collapsed="false">
      <c r="A13" s="9" t="n">
        <v>9</v>
      </c>
      <c r="B13" s="10" t="s">
        <v>109</v>
      </c>
      <c r="C13" s="9" t="n">
        <v>25</v>
      </c>
      <c r="D13" s="189" t="n">
        <f aca="false">COUNTIFS('Replacement Analysis'!B:B,B13,'Replacement Analysis'!N:N,"KEEP")</f>
        <v>21</v>
      </c>
      <c r="E13" s="189" t="n">
        <f aca="false">COUNTIFS('Replacement Analysis'!B:B,B13,'Replacement Analysis'!N:N,"MONITOR")</f>
        <v>4</v>
      </c>
      <c r="F13" s="189" t="n">
        <f aca="false">COUNTIFS('Replacement Analysis'!B:B,B13,'Replacement Analysis'!N:N,"REPLACE")</f>
        <v>0</v>
      </c>
      <c r="G13" s="185" t="n">
        <f aca="false">SUMIFS('Replacement Analysis'!H:H,'Replacement Analysis'!B:B,B13,'Replacement Analysis'!N:N,"REPLACE")</f>
        <v>0</v>
      </c>
      <c r="H13" s="185" t="n">
        <f aca="false">SUMIFS('Replacement Analysis'!I:I,'Replacement Analysis'!B:B,B13,'Replacement Analysis'!N:N,"REPLACE")</f>
        <v>0</v>
      </c>
    </row>
    <row r="14" customFormat="false" ht="15" hidden="false" customHeight="true" outlineLevel="0" collapsed="false">
      <c r="A14" s="9" t="n">
        <v>10</v>
      </c>
      <c r="B14" s="10" t="s">
        <v>111</v>
      </c>
      <c r="C14" s="9" t="n">
        <v>11</v>
      </c>
      <c r="D14" s="189" t="n">
        <f aca="false">COUNTIFS('Replacement Analysis'!B:B,B14,'Replacement Analysis'!N:N,"KEEP")</f>
        <v>2</v>
      </c>
      <c r="E14" s="189" t="n">
        <f aca="false">COUNTIFS('Replacement Analysis'!B:B,B14,'Replacement Analysis'!N:N,"MONITOR")</f>
        <v>6</v>
      </c>
      <c r="F14" s="189" t="n">
        <f aca="false">COUNTIFS('Replacement Analysis'!B:B,B14,'Replacement Analysis'!N:N,"REPLACE")</f>
        <v>3</v>
      </c>
      <c r="G14" s="185" t="n">
        <f aca="false">SUMIFS('Replacement Analysis'!H:H,'Replacement Analysis'!B:B,B14,'Replacement Analysis'!N:N,"REPLACE")</f>
        <v>5.76</v>
      </c>
      <c r="H14" s="185" t="n">
        <f aca="false">SUMIFS('Replacement Analysis'!I:I,'Replacement Analysis'!B:B,B14,'Replacement Analysis'!N:N,"REPLACE")</f>
        <v>144</v>
      </c>
    </row>
    <row r="15" customFormat="false" ht="15" hidden="false" customHeight="true" outlineLevel="0" collapsed="false">
      <c r="A15" s="9" t="n">
        <v>11</v>
      </c>
      <c r="B15" s="10" t="s">
        <v>113</v>
      </c>
      <c r="C15" s="9" t="n">
        <v>4</v>
      </c>
      <c r="D15" s="189" t="n">
        <f aca="false">COUNTIFS('Replacement Analysis'!B:B,B15,'Replacement Analysis'!N:N,"KEEP")</f>
        <v>1</v>
      </c>
      <c r="E15" s="189" t="n">
        <f aca="false">COUNTIFS('Replacement Analysis'!B:B,B15,'Replacement Analysis'!N:N,"MONITOR")</f>
        <v>2</v>
      </c>
      <c r="F15" s="189" t="n">
        <f aca="false">COUNTIFS('Replacement Analysis'!B:B,B15,'Replacement Analysis'!N:N,"REPLACE")</f>
        <v>1</v>
      </c>
      <c r="G15" s="185" t="n">
        <f aca="false">SUMIFS('Replacement Analysis'!H:H,'Replacement Analysis'!B:B,B15,'Replacement Analysis'!N:N,"REPLACE")</f>
        <v>0.42</v>
      </c>
      <c r="H15" s="185" t="n">
        <f aca="false">SUMIFS('Replacement Analysis'!I:I,'Replacement Analysis'!B:B,B15,'Replacement Analysis'!N:N,"REPLACE")</f>
        <v>14</v>
      </c>
    </row>
    <row r="16" customFormat="false" ht="15" hidden="false" customHeight="true" outlineLevel="0" collapsed="false">
      <c r="A16" s="9" t="n">
        <v>12</v>
      </c>
      <c r="B16" s="10" t="s">
        <v>115</v>
      </c>
      <c r="C16" s="9" t="n">
        <v>2</v>
      </c>
      <c r="D16" s="189" t="n">
        <f aca="false">COUNTIFS('Replacement Analysis'!B:B,B16,'Replacement Analysis'!N:N,"KEEP")</f>
        <v>0</v>
      </c>
      <c r="E16" s="189" t="n">
        <f aca="false">COUNTIFS('Replacement Analysis'!B:B,B16,'Replacement Analysis'!N:N,"MONITOR")</f>
        <v>0</v>
      </c>
      <c r="F16" s="189" t="n">
        <f aca="false">COUNTIFS('Replacement Analysis'!B:B,B16,'Replacement Analysis'!N:N,"REPLACE")</f>
        <v>2</v>
      </c>
      <c r="G16" s="185" t="n">
        <f aca="false">SUMIFS('Replacement Analysis'!H:H,'Replacement Analysis'!B:B,B16,'Replacement Analysis'!N:N,"REPLACE")</f>
        <v>2.88</v>
      </c>
      <c r="H16" s="185" t="n">
        <f aca="false">SUMIFS('Replacement Analysis'!I:I,'Replacement Analysis'!B:B,B16,'Replacement Analysis'!N:N,"REPLACE")</f>
        <v>96</v>
      </c>
    </row>
    <row r="17" customFormat="false" ht="15" hidden="false" customHeight="true" outlineLevel="0" collapsed="false">
      <c r="A17" s="9" t="n">
        <v>13</v>
      </c>
      <c r="B17" s="10" t="s">
        <v>117</v>
      </c>
      <c r="C17" s="9" t="n">
        <v>4</v>
      </c>
      <c r="D17" s="189" t="n">
        <f aca="false">COUNTIFS('Replacement Analysis'!B:B,B17,'Replacement Analysis'!N:N,"KEEP")</f>
        <v>0</v>
      </c>
      <c r="E17" s="189" t="n">
        <f aca="false">COUNTIFS('Replacement Analysis'!B:B,B17,'Replacement Analysis'!N:N,"MONITOR")</f>
        <v>0</v>
      </c>
      <c r="F17" s="189" t="n">
        <f aca="false">COUNTIFS('Replacement Analysis'!B:B,B17,'Replacement Analysis'!N:N,"REPLACE")</f>
        <v>4</v>
      </c>
      <c r="G17" s="185" t="n">
        <f aca="false">SUMIFS('Replacement Analysis'!H:H,'Replacement Analysis'!B:B,B17,'Replacement Analysis'!N:N,"REPLACE")</f>
        <v>3.36</v>
      </c>
      <c r="H17" s="185" t="n">
        <f aca="false">SUMIFS('Replacement Analysis'!I:I,'Replacement Analysis'!B:B,B17,'Replacement Analysis'!N:N,"REPLACE")</f>
        <v>64</v>
      </c>
    </row>
    <row r="18" customFormat="false" ht="15" hidden="false" customHeight="true" outlineLevel="0" collapsed="false">
      <c r="A18" s="9" t="n">
        <v>14</v>
      </c>
      <c r="B18" s="10" t="s">
        <v>119</v>
      </c>
      <c r="C18" s="9" t="n">
        <v>8</v>
      </c>
      <c r="D18" s="189" t="n">
        <f aca="false">COUNTIFS('Replacement Analysis'!B:B,B18,'Replacement Analysis'!N:N,"KEEP")</f>
        <v>1</v>
      </c>
      <c r="E18" s="189" t="n">
        <f aca="false">COUNTIFS('Replacement Analysis'!B:B,B18,'Replacement Analysis'!N:N,"MONITOR")</f>
        <v>1</v>
      </c>
      <c r="F18" s="189" t="n">
        <f aca="false">COUNTIFS('Replacement Analysis'!B:B,B18,'Replacement Analysis'!N:N,"REPLACE")</f>
        <v>6</v>
      </c>
      <c r="G18" s="185" t="n">
        <f aca="false">SUMIFS('Replacement Analysis'!H:H,'Replacement Analysis'!B:B,B18,'Replacement Analysis'!N:N,"REPLACE")</f>
        <v>9.9</v>
      </c>
      <c r="H18" s="185" t="n">
        <f aca="false">SUMIFS('Replacement Analysis'!I:I,'Replacement Analysis'!B:B,B18,'Replacement Analysis'!N:N,"REPLACE")</f>
        <v>132</v>
      </c>
    </row>
    <row r="19" customFormat="false" ht="15" hidden="false" customHeight="true" outlineLevel="0" collapsed="false">
      <c r="A19" s="9" t="n">
        <v>15</v>
      </c>
      <c r="B19" s="10" t="s">
        <v>121</v>
      </c>
      <c r="C19" s="9" t="n">
        <v>2</v>
      </c>
      <c r="D19" s="189" t="n">
        <f aca="false">COUNTIFS('Replacement Analysis'!B:B,B19,'Replacement Analysis'!N:N,"KEEP")</f>
        <v>1</v>
      </c>
      <c r="E19" s="189" t="n">
        <f aca="false">COUNTIFS('Replacement Analysis'!B:B,B19,'Replacement Analysis'!N:N,"MONITOR")</f>
        <v>0</v>
      </c>
      <c r="F19" s="189" t="n">
        <f aca="false">COUNTIFS('Replacement Analysis'!B:B,B19,'Replacement Analysis'!N:N,"REPLACE")</f>
        <v>1</v>
      </c>
      <c r="G19" s="185" t="n">
        <f aca="false">SUMIFS('Replacement Analysis'!H:H,'Replacement Analysis'!B:B,B19,'Replacement Analysis'!N:N,"REPLACE")</f>
        <v>6.96</v>
      </c>
      <c r="H19" s="185" t="n">
        <f aca="false">SUMIFS('Replacement Analysis'!I:I,'Replacement Analysis'!B:B,B19,'Replacement Analysis'!N:N,"REPLACE")</f>
        <v>58</v>
      </c>
    </row>
    <row r="20" customFormat="false" ht="15" hidden="false" customHeight="true" outlineLevel="0" collapsed="false">
      <c r="A20" s="9" t="n">
        <v>16</v>
      </c>
      <c r="B20" s="10" t="s">
        <v>123</v>
      </c>
      <c r="C20" s="9" t="n">
        <v>25</v>
      </c>
      <c r="D20" s="189" t="n">
        <f aca="false">COUNTIFS('Replacement Analysis'!B:B,B20,'Replacement Analysis'!N:N,"KEEP")</f>
        <v>9</v>
      </c>
      <c r="E20" s="189" t="n">
        <f aca="false">COUNTIFS('Replacement Analysis'!B:B,B20,'Replacement Analysis'!N:N,"MONITOR")</f>
        <v>2</v>
      </c>
      <c r="F20" s="189" t="n">
        <f aca="false">COUNTIFS('Replacement Analysis'!B:B,B20,'Replacement Analysis'!N:N,"REPLACE")</f>
        <v>14</v>
      </c>
      <c r="G20" s="185" t="n">
        <f aca="false">SUMIFS('Replacement Analysis'!H:H,'Replacement Analysis'!B:B,B20,'Replacement Analysis'!N:N,"REPLACE")</f>
        <v>24.36</v>
      </c>
      <c r="H20" s="185" t="n">
        <f aca="false">SUMIFS('Replacement Analysis'!I:I,'Replacement Analysis'!B:B,B20,'Replacement Analysis'!N:N,"REPLACE")</f>
        <v>392</v>
      </c>
    </row>
    <row r="21" customFormat="false" ht="15" hidden="false" customHeight="true" outlineLevel="0" collapsed="false">
      <c r="A21" s="9" t="n">
        <v>17</v>
      </c>
      <c r="B21" s="10" t="s">
        <v>125</v>
      </c>
      <c r="C21" s="9" t="n">
        <v>3</v>
      </c>
      <c r="D21" s="189" t="n">
        <f aca="false">COUNTIFS('Replacement Analysis'!B:B,B21,'Replacement Analysis'!N:N,"KEEP")</f>
        <v>0</v>
      </c>
      <c r="E21" s="189" t="n">
        <f aca="false">COUNTIFS('Replacement Analysis'!B:B,B21,'Replacement Analysis'!N:N,"MONITOR")</f>
        <v>0</v>
      </c>
      <c r="F21" s="189" t="n">
        <f aca="false">COUNTIFS('Replacement Analysis'!B:B,B21,'Replacement Analysis'!N:N,"REPLACE")</f>
        <v>3</v>
      </c>
      <c r="G21" s="185" t="n">
        <f aca="false">SUMIFS('Replacement Analysis'!H:H,'Replacement Analysis'!B:B,B21,'Replacement Analysis'!N:N,"REPLACE")</f>
        <v>1.68</v>
      </c>
      <c r="H21" s="185" t="n">
        <f aca="false">SUMIFS('Replacement Analysis'!I:I,'Replacement Analysis'!B:B,B21,'Replacement Analysis'!N:N,"REPLACE")</f>
        <v>42</v>
      </c>
    </row>
    <row r="22" customFormat="false" ht="15" hidden="false" customHeight="true" outlineLevel="0" collapsed="false">
      <c r="A22" s="9" t="n">
        <v>18</v>
      </c>
      <c r="B22" s="10" t="s">
        <v>127</v>
      </c>
      <c r="C22" s="9" t="n">
        <v>11</v>
      </c>
      <c r="D22" s="189" t="n">
        <f aca="false">COUNTIFS('Replacement Analysis'!B:B,B22,'Replacement Analysis'!N:N,"KEEP")</f>
        <v>6</v>
      </c>
      <c r="E22" s="189" t="n">
        <f aca="false">COUNTIFS('Replacement Analysis'!B:B,B22,'Replacement Analysis'!N:N,"MONITOR")</f>
        <v>0</v>
      </c>
      <c r="F22" s="189" t="n">
        <f aca="false">COUNTIFS('Replacement Analysis'!B:B,B22,'Replacement Analysis'!N:N,"REPLACE")</f>
        <v>5</v>
      </c>
      <c r="G22" s="185" t="n">
        <f aca="false">SUMIFS('Replacement Analysis'!H:H,'Replacement Analysis'!B:B,B22,'Replacement Analysis'!N:N,"REPLACE")</f>
        <v>1.65</v>
      </c>
      <c r="H22" s="185" t="n">
        <f aca="false">SUMIFS('Replacement Analysis'!I:I,'Replacement Analysis'!B:B,B22,'Replacement Analysis'!N:N,"REPLACE")</f>
        <v>55</v>
      </c>
    </row>
    <row r="23" customFormat="false" ht="15" hidden="false" customHeight="true" outlineLevel="0" collapsed="false">
      <c r="A23" s="9" t="n">
        <v>19</v>
      </c>
      <c r="B23" s="10" t="s">
        <v>129</v>
      </c>
      <c r="C23" s="9" t="n">
        <v>13</v>
      </c>
      <c r="D23" s="189" t="n">
        <f aca="false">COUNTIFS('Replacement Analysis'!B:B,B23,'Replacement Analysis'!N:N,"KEEP")</f>
        <v>5</v>
      </c>
      <c r="E23" s="189" t="n">
        <f aca="false">COUNTIFS('Replacement Analysis'!B:B,B23,'Replacement Analysis'!N:N,"MONITOR")</f>
        <v>4</v>
      </c>
      <c r="F23" s="189" t="n">
        <f aca="false">COUNTIFS('Replacement Analysis'!B:B,B23,'Replacement Analysis'!N:N,"REPLACE")</f>
        <v>4</v>
      </c>
      <c r="G23" s="185" t="n">
        <f aca="false">SUMIFS('Replacement Analysis'!H:H,'Replacement Analysis'!B:B,B23,'Replacement Analysis'!N:N,"REPLACE")</f>
        <v>2.145</v>
      </c>
      <c r="H23" s="185" t="n">
        <f aca="false">SUMIFS('Replacement Analysis'!I:I,'Replacement Analysis'!B:B,B23,'Replacement Analysis'!N:N,"REPLACE")</f>
        <v>26</v>
      </c>
    </row>
    <row r="24" customFormat="false" ht="15" hidden="false" customHeight="true" outlineLevel="0" collapsed="false">
      <c r="A24" s="9" t="n">
        <v>20</v>
      </c>
      <c r="B24" s="10" t="s">
        <v>131</v>
      </c>
      <c r="C24" s="9" t="n">
        <v>88</v>
      </c>
      <c r="D24" s="189" t="n">
        <f aca="false">COUNTIFS('Replacement Analysis'!B:B,B24,'Replacement Analysis'!N:N,"KEEP")</f>
        <v>58</v>
      </c>
      <c r="E24" s="189" t="n">
        <f aca="false">COUNTIFS('Replacement Analysis'!B:B,B24,'Replacement Analysis'!N:N,"MONITOR")</f>
        <v>13</v>
      </c>
      <c r="F24" s="189" t="n">
        <f aca="false">COUNTIFS('Replacement Analysis'!B:B,B24,'Replacement Analysis'!N:N,"REPLACE")</f>
        <v>17</v>
      </c>
      <c r="G24" s="185" t="n">
        <f aca="false">SUMIFS('Replacement Analysis'!H:H,'Replacement Analysis'!B:B,B24,'Replacement Analysis'!N:N,"REPLACE")</f>
        <v>26.88</v>
      </c>
      <c r="H24" s="185" t="n">
        <f aca="false">SUMIFS('Replacement Analysis'!I:I,'Replacement Analysis'!B:B,B24,'Replacement Analysis'!N:N,"REPLACE")</f>
        <v>272</v>
      </c>
    </row>
    <row r="25" customFormat="false" ht="15" hidden="false" customHeight="true" outlineLevel="0" collapsed="false">
      <c r="A25" s="9" t="n">
        <v>21</v>
      </c>
      <c r="B25" s="10" t="s">
        <v>133</v>
      </c>
      <c r="C25" s="9" t="n">
        <v>6</v>
      </c>
      <c r="D25" s="189" t="n">
        <f aca="false">COUNTIFS('Replacement Analysis'!B:B,B25,'Replacement Analysis'!N:N,"KEEP")</f>
        <v>4</v>
      </c>
      <c r="E25" s="189" t="n">
        <f aca="false">COUNTIFS('Replacement Analysis'!B:B,B25,'Replacement Analysis'!N:N,"MONITOR")</f>
        <v>0</v>
      </c>
      <c r="F25" s="189" t="n">
        <f aca="false">COUNTIFS('Replacement Analysis'!B:B,B25,'Replacement Analysis'!N:N,"REPLACE")</f>
        <v>2</v>
      </c>
      <c r="G25" s="185" t="n">
        <f aca="false">SUMIFS('Replacement Analysis'!H:H,'Replacement Analysis'!B:B,B25,'Replacement Analysis'!N:N,"REPLACE")</f>
        <v>0.3</v>
      </c>
      <c r="H25" s="185" t="n">
        <f aca="false">SUMIFS('Replacement Analysis'!I:I,'Replacement Analysis'!B:B,B25,'Replacement Analysis'!N:N,"REPLACE")</f>
        <v>5</v>
      </c>
    </row>
    <row r="26" customFormat="false" ht="15" hidden="false" customHeight="true" outlineLevel="0" collapsed="false">
      <c r="A26" s="9" t="n">
        <v>22</v>
      </c>
      <c r="B26" s="10" t="s">
        <v>135</v>
      </c>
      <c r="C26" s="9" t="n">
        <v>3</v>
      </c>
      <c r="D26" s="189" t="n">
        <f aca="false">COUNTIFS('Replacement Analysis'!B:B,B26,'Replacement Analysis'!N:N,"KEEP")</f>
        <v>0</v>
      </c>
      <c r="E26" s="189" t="n">
        <f aca="false">COUNTIFS('Replacement Analysis'!B:B,B26,'Replacement Analysis'!N:N,"MONITOR")</f>
        <v>0</v>
      </c>
      <c r="F26" s="189" t="n">
        <f aca="false">COUNTIFS('Replacement Analysis'!B:B,B26,'Replacement Analysis'!N:N,"REPLACE")</f>
        <v>3</v>
      </c>
      <c r="G26" s="185" t="n">
        <f aca="false">SUMIFS('Replacement Analysis'!H:H,'Replacement Analysis'!B:B,B26,'Replacement Analysis'!N:N,"REPLACE")</f>
        <v>0.945</v>
      </c>
      <c r="H26" s="185" t="n">
        <f aca="false">SUMIFS('Replacement Analysis'!I:I,'Replacement Analysis'!B:B,B26,'Replacement Analysis'!N:N,"REPLACE")</f>
        <v>13.5</v>
      </c>
    </row>
    <row r="27" customFormat="false" ht="15" hidden="false" customHeight="true" outlineLevel="0" collapsed="false">
      <c r="A27" s="9" t="n">
        <v>23</v>
      </c>
      <c r="B27" s="10" t="s">
        <v>137</v>
      </c>
      <c r="C27" s="9" t="n">
        <v>6</v>
      </c>
      <c r="D27" s="189" t="n">
        <f aca="false">COUNTIFS('Replacement Analysis'!B:B,B27,'Replacement Analysis'!N:N,"KEEP")</f>
        <v>0</v>
      </c>
      <c r="E27" s="189" t="n">
        <f aca="false">COUNTIFS('Replacement Analysis'!B:B,B27,'Replacement Analysis'!N:N,"MONITOR")</f>
        <v>0</v>
      </c>
      <c r="F27" s="189" t="n">
        <f aca="false">COUNTIFS('Replacement Analysis'!B:B,B27,'Replacement Analysis'!N:N,"REPLACE")</f>
        <v>6</v>
      </c>
      <c r="G27" s="185" t="n">
        <f aca="false">SUMIFS('Replacement Analysis'!H:H,'Replacement Analysis'!B:B,B27,'Replacement Analysis'!N:N,"REPLACE")</f>
        <v>2.16</v>
      </c>
      <c r="H27" s="185" t="n">
        <f aca="false">SUMIFS('Replacement Analysis'!I:I,'Replacement Analysis'!B:B,B27,'Replacement Analysis'!N:N,"REPLACE")</f>
        <v>54</v>
      </c>
    </row>
    <row r="28" customFormat="false" ht="15" hidden="false" customHeight="true" outlineLevel="0" collapsed="false">
      <c r="A28" s="9" t="n">
        <v>24</v>
      </c>
      <c r="B28" s="10" t="s">
        <v>139</v>
      </c>
      <c r="C28" s="9" t="n">
        <v>41</v>
      </c>
      <c r="D28" s="189" t="n">
        <f aca="false">COUNTIFS('Replacement Analysis'!B:B,B28,'Replacement Analysis'!N:N,"KEEP")</f>
        <v>12</v>
      </c>
      <c r="E28" s="189" t="n">
        <f aca="false">COUNTIFS('Replacement Analysis'!B:B,B28,'Replacement Analysis'!N:N,"MONITOR")</f>
        <v>12</v>
      </c>
      <c r="F28" s="189" t="n">
        <f aca="false">COUNTIFS('Replacement Analysis'!B:B,B28,'Replacement Analysis'!N:N,"REPLACE")</f>
        <v>17</v>
      </c>
      <c r="G28" s="185" t="n">
        <f aca="false">SUMIFS('Replacement Analysis'!H:H,'Replacement Analysis'!B:B,B28,'Replacement Analysis'!N:N,"REPLACE")</f>
        <v>43.785</v>
      </c>
      <c r="H28" s="185" t="n">
        <f aca="false">SUMIFS('Replacement Analysis'!I:I,'Replacement Analysis'!B:B,B28,'Replacement Analysis'!N:N,"REPLACE")</f>
        <v>627.9</v>
      </c>
    </row>
    <row r="29" customFormat="false" ht="15" hidden="false" customHeight="true" outlineLevel="0" collapsed="false">
      <c r="A29" s="9" t="n">
        <v>25</v>
      </c>
      <c r="B29" s="10" t="s">
        <v>141</v>
      </c>
      <c r="C29" s="9" t="n">
        <v>19</v>
      </c>
      <c r="D29" s="189" t="n">
        <f aca="false">COUNTIFS('Replacement Analysis'!B:B,B29,'Replacement Analysis'!N:N,"KEEP")</f>
        <v>1</v>
      </c>
      <c r="E29" s="189" t="n">
        <f aca="false">COUNTIFS('Replacement Analysis'!B:B,B29,'Replacement Analysis'!N:N,"MONITOR")</f>
        <v>0</v>
      </c>
      <c r="F29" s="189" t="n">
        <f aca="false">COUNTIFS('Replacement Analysis'!B:B,B29,'Replacement Analysis'!N:N,"REPLACE")</f>
        <v>18</v>
      </c>
      <c r="G29" s="185" t="n">
        <f aca="false">SUMIFS('Replacement Analysis'!H:H,'Replacement Analysis'!B:B,B29,'Replacement Analysis'!N:N,"REPLACE")</f>
        <v>8.28</v>
      </c>
      <c r="H29" s="185" t="n">
        <f aca="false">SUMIFS('Replacement Analysis'!I:I,'Replacement Analysis'!B:B,B29,'Replacement Analysis'!N:N,"REPLACE")</f>
        <v>216</v>
      </c>
    </row>
    <row r="30" customFormat="false" ht="15" hidden="false" customHeight="true" outlineLevel="0" collapsed="false">
      <c r="A30" s="9" t="n">
        <v>26</v>
      </c>
      <c r="B30" s="10" t="s">
        <v>143</v>
      </c>
      <c r="C30" s="9" t="n">
        <v>12</v>
      </c>
      <c r="D30" s="189" t="n">
        <f aca="false">COUNTIFS('Replacement Analysis'!B:B,B30,'Replacement Analysis'!N:N,"KEEP")</f>
        <v>0</v>
      </c>
      <c r="E30" s="189" t="n">
        <f aca="false">COUNTIFS('Replacement Analysis'!B:B,B30,'Replacement Analysis'!N:N,"MONITOR")</f>
        <v>4</v>
      </c>
      <c r="F30" s="189" t="n">
        <f aca="false">COUNTIFS('Replacement Analysis'!B:B,B30,'Replacement Analysis'!N:N,"REPLACE")</f>
        <v>8</v>
      </c>
      <c r="G30" s="185" t="n">
        <f aca="false">SUMIFS('Replacement Analysis'!H:H,'Replacement Analysis'!B:B,B30,'Replacement Analysis'!N:N,"REPLACE")</f>
        <v>2.145</v>
      </c>
      <c r="H30" s="185" t="n">
        <f aca="false">SUMIFS('Replacement Analysis'!I:I,'Replacement Analysis'!B:B,B30,'Replacement Analysis'!N:N,"REPLACE")</f>
        <v>44</v>
      </c>
    </row>
    <row r="31" customFormat="false" ht="15" hidden="false" customHeight="true" outlineLevel="0" collapsed="false">
      <c r="A31" s="9" t="n">
        <v>27</v>
      </c>
      <c r="B31" s="10" t="s">
        <v>145</v>
      </c>
      <c r="C31" s="9" t="n">
        <v>53</v>
      </c>
      <c r="D31" s="189" t="n">
        <f aca="false">COUNTIFS('Replacement Analysis'!B:B,B31,'Replacement Analysis'!N:N,"KEEP")</f>
        <v>10</v>
      </c>
      <c r="E31" s="189" t="n">
        <f aca="false">COUNTIFS('Replacement Analysis'!B:B,B31,'Replacement Analysis'!N:N,"MONITOR")</f>
        <v>12</v>
      </c>
      <c r="F31" s="189" t="n">
        <f aca="false">COUNTIFS('Replacement Analysis'!B:B,B31,'Replacement Analysis'!N:N,"REPLACE")</f>
        <v>31</v>
      </c>
      <c r="G31" s="185" t="n">
        <f aca="false">SUMIFS('Replacement Analysis'!H:H,'Replacement Analysis'!B:B,B31,'Replacement Analysis'!N:N,"REPLACE")</f>
        <v>0.621</v>
      </c>
      <c r="H31" s="185" t="n">
        <f aca="false">SUMIFS('Replacement Analysis'!I:I,'Replacement Analysis'!B:B,B31,'Replacement Analysis'!N:N,"REPLACE")</f>
        <v>13.95</v>
      </c>
    </row>
    <row r="32" customFormat="false" ht="15" hidden="false" customHeight="true" outlineLevel="0" collapsed="false">
      <c r="A32" s="9" t="n">
        <v>28</v>
      </c>
      <c r="B32" s="10" t="s">
        <v>147</v>
      </c>
      <c r="C32" s="9" t="n">
        <v>10</v>
      </c>
      <c r="D32" s="189" t="n">
        <f aca="false">COUNTIFS('Replacement Analysis'!B:B,B32,'Replacement Analysis'!N:N,"KEEP")</f>
        <v>4</v>
      </c>
      <c r="E32" s="189" t="n">
        <f aca="false">COUNTIFS('Replacement Analysis'!B:B,B32,'Replacement Analysis'!N:N,"MONITOR")</f>
        <v>0</v>
      </c>
      <c r="F32" s="189" t="n">
        <f aca="false">COUNTIFS('Replacement Analysis'!B:B,B32,'Replacement Analysis'!N:N,"REPLACE")</f>
        <v>6</v>
      </c>
      <c r="G32" s="185" t="n">
        <f aca="false">SUMIFS('Replacement Analysis'!H:H,'Replacement Analysis'!B:B,B32,'Replacement Analysis'!N:N,"REPLACE")</f>
        <v>1.17</v>
      </c>
      <c r="H32" s="185" t="n">
        <f aca="false">SUMIFS('Replacement Analysis'!I:I,'Replacement Analysis'!B:B,B32,'Replacement Analysis'!N:N,"REPLACE")</f>
        <v>39</v>
      </c>
    </row>
    <row r="33" customFormat="false" ht="15" hidden="false" customHeight="true" outlineLevel="0" collapsed="false">
      <c r="A33" s="9" t="n">
        <v>29</v>
      </c>
      <c r="B33" s="10" t="s">
        <v>149</v>
      </c>
      <c r="C33" s="9" t="n">
        <v>3</v>
      </c>
      <c r="D33" s="189" t="n">
        <f aca="false">COUNTIFS('Replacement Analysis'!B:B,B33,'Replacement Analysis'!N:N,"KEEP")</f>
        <v>0</v>
      </c>
      <c r="E33" s="189" t="n">
        <f aca="false">COUNTIFS('Replacement Analysis'!B:B,B33,'Replacement Analysis'!N:N,"MONITOR")</f>
        <v>0</v>
      </c>
      <c r="F33" s="189" t="n">
        <f aca="false">COUNTIFS('Replacement Analysis'!B:B,B33,'Replacement Analysis'!N:N,"REPLACE")</f>
        <v>3</v>
      </c>
      <c r="G33" s="185" t="n">
        <f aca="false">SUMIFS('Replacement Analysis'!H:H,'Replacement Analysis'!B:B,B33,'Replacement Analysis'!N:N,"REPLACE")</f>
        <v>1.08</v>
      </c>
      <c r="H33" s="185" t="n">
        <f aca="false">SUMIFS('Replacement Analysis'!I:I,'Replacement Analysis'!B:B,B33,'Replacement Analysis'!N:N,"REPLACE")</f>
        <v>36</v>
      </c>
    </row>
    <row r="34" customFormat="false" ht="15" hidden="false" customHeight="true" outlineLevel="0" collapsed="false">
      <c r="A34" s="36"/>
      <c r="B34" s="37" t="s">
        <v>276</v>
      </c>
      <c r="C34" s="8" t="n">
        <f aca="false">SUM(C5:C33)</f>
        <v>518</v>
      </c>
      <c r="D34" s="8" t="n">
        <f aca="false">SUM(D5:D33)</f>
        <v>182</v>
      </c>
      <c r="E34" s="8" t="n">
        <f aca="false">SUM(E5:E33)</f>
        <v>104</v>
      </c>
      <c r="F34" s="8" t="n">
        <f aca="false">SUM(F5:F33)</f>
        <v>232</v>
      </c>
      <c r="G34" s="190" t="n">
        <f aca="false">SUM(G5:G33)</f>
        <v>219.126</v>
      </c>
      <c r="H34" s="190" t="n">
        <f aca="false">SUM(H5:H33)</f>
        <v>4055.35</v>
      </c>
    </row>
  </sheetData>
  <mergeCells count="2">
    <mergeCell ref="A1:H1"/>
    <mergeCell ref="A2:H2"/>
  </mergeCells>
  <conditionalFormatting sqref="D5:D33">
    <cfRule type="expression" priority="2" aboveAverage="0" equalAverage="0" bottom="0" percent="0" rank="0" text="" dxfId="9">
      <formula>D5&gt;0</formula>
    </cfRule>
  </conditionalFormatting>
  <conditionalFormatting sqref="E5:E33">
    <cfRule type="expression" priority="3" aboveAverage="0" equalAverage="0" bottom="0" percent="0" rank="0" text="" dxfId="10">
      <formula>E5&gt;0</formula>
    </cfRule>
  </conditionalFormatting>
  <conditionalFormatting sqref="F5:F33">
    <cfRule type="expression" priority="4" aboveAverage="0" equalAverage="0" bottom="0" percent="0" rank="0" text="" dxfId="0">
      <formula>F5&gt;0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12" activePane="bottomLeft" state="frozen"/>
      <selection pane="topLeft" activeCell="A1" activeCellId="0" sqref="A1"/>
      <selection pane="bottomLeft" activeCell="F31" activeCellId="0" sqref="F3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56"/>
    <col collapsed="false" customWidth="true" hidden="false" outlineLevel="0" max="2" min="2" style="0" width="13.88"/>
    <col collapsed="false" customWidth="true" hidden="false" outlineLevel="0" max="3" min="3" style="0" width="13"/>
    <col collapsed="false" customWidth="true" hidden="false" outlineLevel="0" max="4" min="4" style="0" width="24.11"/>
    <col collapsed="false" customWidth="true" hidden="false" outlineLevel="0" max="6" min="5" style="0" width="16.67"/>
    <col collapsed="false" customWidth="true" hidden="false" outlineLevel="0" max="7" min="7" style="0" width="9.21"/>
    <col collapsed="false" customWidth="true" hidden="false" outlineLevel="0" max="8" min="8" style="0" width="16.67"/>
    <col collapsed="false" customWidth="true" hidden="false" outlineLevel="0" max="9" min="9" style="0" width="24.11"/>
    <col collapsed="false" customWidth="true" hidden="false" outlineLevel="0" max="10" min="10" style="0" width="22.22"/>
    <col collapsed="false" customWidth="true" hidden="false" outlineLevel="0" max="11" min="11" style="0" width="18.56"/>
    <col collapsed="false" customWidth="true" hidden="false" outlineLevel="0" max="12" min="12" style="0" width="7.44"/>
    <col collapsed="false" customWidth="true" hidden="true" outlineLevel="0" max="13" min="13" style="0" width="24.11"/>
    <col collapsed="false" customWidth="true" hidden="true" outlineLevel="0" max="14" min="14" style="0" width="1.44"/>
    <col collapsed="false" customWidth="true" hidden="true" outlineLevel="0" max="15" min="15" style="0" width="20.33"/>
    <col collapsed="false" customWidth="true" hidden="true" outlineLevel="0" max="16" min="16" style="0" width="42.56"/>
  </cols>
  <sheetData>
    <row r="1" customFormat="false" ht="30" hidden="false" customHeight="true" outlineLevel="0" collapsed="false">
      <c r="A1" s="191" t="s">
        <v>2531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customFormat="false" ht="24" hidden="false" customHeight="true" outlineLevel="0" collapsed="false">
      <c r="A2" s="192" t="s">
        <v>2532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</row>
    <row r="3" customFormat="false" ht="18" hidden="false" customHeight="true" outlineLevel="0" collapsed="false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</row>
    <row r="4" customFormat="false" ht="7.5" hidden="false" customHeight="true" outlineLevel="0" collapsed="false"/>
    <row r="5" customFormat="false" ht="21.75" hidden="false" customHeight="true" outlineLevel="0" collapsed="false">
      <c r="A5" s="194" t="s">
        <v>77</v>
      </c>
      <c r="B5" s="194" t="s">
        <v>2533</v>
      </c>
      <c r="C5" s="194" t="s">
        <v>280</v>
      </c>
      <c r="D5" s="194" t="s">
        <v>78</v>
      </c>
      <c r="E5" s="194" t="s">
        <v>279</v>
      </c>
      <c r="F5" s="194" t="s">
        <v>281</v>
      </c>
      <c r="G5" s="194" t="s">
        <v>282</v>
      </c>
      <c r="H5" s="194" t="s">
        <v>175</v>
      </c>
      <c r="I5" s="194" t="s">
        <v>2534</v>
      </c>
      <c r="J5" s="194" t="s">
        <v>2535</v>
      </c>
      <c r="K5" s="194" t="s">
        <v>2536</v>
      </c>
      <c r="L5" s="194" t="s">
        <v>2537</v>
      </c>
      <c r="M5" s="194" t="s">
        <v>2538</v>
      </c>
      <c r="O5" s="195" t="s">
        <v>2539</v>
      </c>
    </row>
    <row r="6" customFormat="false" ht="21.75" hidden="false" customHeight="true" outlineLevel="0" collapsed="false">
      <c r="A6" s="196" t="n">
        <v>1</v>
      </c>
      <c r="B6" s="197" t="s">
        <v>359</v>
      </c>
      <c r="C6" s="198" t="s">
        <v>356</v>
      </c>
      <c r="D6" s="198" t="s">
        <v>92</v>
      </c>
      <c r="E6" s="198" t="s">
        <v>308</v>
      </c>
      <c r="F6" s="198" t="s">
        <v>357</v>
      </c>
      <c r="G6" s="196" t="n">
        <v>2002</v>
      </c>
      <c r="H6" s="196" t="s">
        <v>1584</v>
      </c>
      <c r="I6" s="198" t="s">
        <v>1594</v>
      </c>
      <c r="J6" s="196" t="s">
        <v>472</v>
      </c>
      <c r="K6" s="196" t="s">
        <v>472</v>
      </c>
      <c r="L6" s="196" t="s">
        <v>1569</v>
      </c>
      <c r="M6" s="199" t="n">
        <v>6300000</v>
      </c>
      <c r="O6" s="200"/>
    </row>
    <row r="7" customFormat="false" ht="21.75" hidden="false" customHeight="true" outlineLevel="0" collapsed="false">
      <c r="A7" s="201" t="n">
        <v>2</v>
      </c>
      <c r="B7" s="202" t="s">
        <v>363</v>
      </c>
      <c r="C7" s="203" t="s">
        <v>360</v>
      </c>
      <c r="D7" s="203" t="s">
        <v>92</v>
      </c>
      <c r="E7" s="203" t="s">
        <v>308</v>
      </c>
      <c r="F7" s="203" t="s">
        <v>361</v>
      </c>
      <c r="G7" s="201" t="n">
        <v>1999</v>
      </c>
      <c r="H7" s="201" t="s">
        <v>1584</v>
      </c>
      <c r="I7" s="203" t="s">
        <v>1591</v>
      </c>
      <c r="J7" s="201" t="s">
        <v>472</v>
      </c>
      <c r="K7" s="201" t="s">
        <v>1592</v>
      </c>
      <c r="L7" s="201" t="s">
        <v>1569</v>
      </c>
      <c r="M7" s="204" t="n">
        <v>5200000</v>
      </c>
      <c r="O7" s="200"/>
    </row>
    <row r="8" customFormat="false" ht="21.75" hidden="false" customHeight="true" outlineLevel="0" collapsed="false">
      <c r="A8" s="196" t="n">
        <v>3</v>
      </c>
      <c r="B8" s="197" t="s">
        <v>1093</v>
      </c>
      <c r="C8" s="198" t="s">
        <v>1092</v>
      </c>
      <c r="D8" s="198" t="s">
        <v>131</v>
      </c>
      <c r="E8" s="198" t="s">
        <v>416</v>
      </c>
      <c r="F8" s="198" t="s">
        <v>1088</v>
      </c>
      <c r="G8" s="196" t="n">
        <v>2003</v>
      </c>
      <c r="H8" s="196" t="s">
        <v>1929</v>
      </c>
      <c r="I8" s="198" t="s">
        <v>472</v>
      </c>
      <c r="J8" s="196" t="s">
        <v>472</v>
      </c>
      <c r="K8" s="196" t="s">
        <v>472</v>
      </c>
      <c r="L8" s="196" t="s">
        <v>1569</v>
      </c>
      <c r="M8" s="199" t="n">
        <v>2800000</v>
      </c>
      <c r="O8" s="200"/>
    </row>
    <row r="9" customFormat="false" ht="21.75" hidden="false" customHeight="true" outlineLevel="0" collapsed="false">
      <c r="A9" s="201" t="n">
        <v>4</v>
      </c>
      <c r="B9" s="202" t="s">
        <v>1047</v>
      </c>
      <c r="C9" s="203" t="s">
        <v>1046</v>
      </c>
      <c r="D9" s="203" t="s">
        <v>131</v>
      </c>
      <c r="E9" s="203" t="s">
        <v>416</v>
      </c>
      <c r="F9" s="203" t="s">
        <v>1088</v>
      </c>
      <c r="G9" s="201" t="n">
        <v>2003</v>
      </c>
      <c r="H9" s="201" t="s">
        <v>1929</v>
      </c>
      <c r="I9" s="203" t="s">
        <v>472</v>
      </c>
      <c r="J9" s="201" t="s">
        <v>472</v>
      </c>
      <c r="K9" s="201" t="s">
        <v>472</v>
      </c>
      <c r="L9" s="201" t="s">
        <v>1569</v>
      </c>
      <c r="M9" s="204" t="n">
        <v>3200000</v>
      </c>
      <c r="O9" s="200"/>
    </row>
    <row r="10" customFormat="false" ht="21.75" hidden="false" customHeight="true" outlineLevel="0" collapsed="false">
      <c r="A10" s="196" t="n">
        <v>5</v>
      </c>
      <c r="B10" s="197" t="s">
        <v>1097</v>
      </c>
      <c r="C10" s="198" t="s">
        <v>2540</v>
      </c>
      <c r="D10" s="198" t="s">
        <v>2541</v>
      </c>
      <c r="E10" s="198" t="s">
        <v>416</v>
      </c>
      <c r="F10" s="198" t="s">
        <v>1088</v>
      </c>
      <c r="G10" s="196" t="n">
        <v>2003</v>
      </c>
      <c r="H10" s="196" t="s">
        <v>2542</v>
      </c>
      <c r="I10" s="198" t="s">
        <v>472</v>
      </c>
      <c r="J10" s="196" t="s">
        <v>472</v>
      </c>
      <c r="K10" s="196" t="s">
        <v>472</v>
      </c>
      <c r="L10" s="196" t="s">
        <v>1569</v>
      </c>
      <c r="M10" s="199" t="n">
        <v>2800000</v>
      </c>
      <c r="O10" s="200"/>
    </row>
    <row r="11" customFormat="false" ht="21.75" hidden="false" customHeight="true" outlineLevel="0" collapsed="false">
      <c r="A11" s="201" t="n">
        <v>6</v>
      </c>
      <c r="B11" s="202" t="s">
        <v>922</v>
      </c>
      <c r="C11" s="198" t="s">
        <v>921</v>
      </c>
      <c r="D11" s="203" t="s">
        <v>1928</v>
      </c>
      <c r="E11" s="203" t="s">
        <v>394</v>
      </c>
      <c r="F11" s="203" t="s">
        <v>1012</v>
      </c>
      <c r="G11" s="201" t="n">
        <v>2011</v>
      </c>
      <c r="H11" s="201" t="s">
        <v>1929</v>
      </c>
      <c r="I11" s="203" t="s">
        <v>472</v>
      </c>
      <c r="J11" s="201" t="s">
        <v>472</v>
      </c>
      <c r="K11" s="201" t="s">
        <v>472</v>
      </c>
      <c r="L11" s="205" t="s">
        <v>2543</v>
      </c>
      <c r="M11" s="204" t="n">
        <v>4500000</v>
      </c>
      <c r="O11" s="200"/>
    </row>
    <row r="12" customFormat="false" ht="21.75" hidden="false" customHeight="true" outlineLevel="0" collapsed="false">
      <c r="A12" s="196" t="n">
        <v>7</v>
      </c>
      <c r="B12" s="197" t="s">
        <v>1072</v>
      </c>
      <c r="C12" s="198" t="s">
        <v>1071</v>
      </c>
      <c r="D12" s="198" t="s">
        <v>1928</v>
      </c>
      <c r="E12" s="198" t="s">
        <v>2544</v>
      </c>
      <c r="F12" s="198" t="s">
        <v>1069</v>
      </c>
      <c r="G12" s="196" t="n">
        <v>2011</v>
      </c>
      <c r="H12" s="196" t="s">
        <v>1929</v>
      </c>
      <c r="I12" s="198" t="s">
        <v>472</v>
      </c>
      <c r="J12" s="196" t="s">
        <v>472</v>
      </c>
      <c r="K12" s="196" t="s">
        <v>472</v>
      </c>
      <c r="L12" s="206" t="s">
        <v>2543</v>
      </c>
      <c r="M12" s="199" t="n">
        <v>5500000</v>
      </c>
      <c r="O12" s="200"/>
    </row>
    <row r="13" customFormat="false" ht="21.75" hidden="false" customHeight="true" outlineLevel="0" collapsed="false">
      <c r="A13" s="201" t="n">
        <v>8</v>
      </c>
      <c r="B13" s="202" t="s">
        <v>1089</v>
      </c>
      <c r="C13" s="198" t="s">
        <v>1087</v>
      </c>
      <c r="D13" s="203" t="s">
        <v>1928</v>
      </c>
      <c r="E13" s="203" t="s">
        <v>416</v>
      </c>
      <c r="F13" s="203" t="s">
        <v>1088</v>
      </c>
      <c r="G13" s="201" t="n">
        <v>2006</v>
      </c>
      <c r="H13" s="201" t="s">
        <v>1929</v>
      </c>
      <c r="I13" s="203" t="s">
        <v>472</v>
      </c>
      <c r="J13" s="201" t="s">
        <v>472</v>
      </c>
      <c r="K13" s="201" t="s">
        <v>472</v>
      </c>
      <c r="L13" s="201" t="s">
        <v>1569</v>
      </c>
      <c r="M13" s="204" t="n">
        <v>1750000</v>
      </c>
      <c r="O13" s="200"/>
    </row>
    <row r="14" customFormat="false" ht="21.75" hidden="false" customHeight="true" outlineLevel="0" collapsed="false">
      <c r="A14" s="196" t="n">
        <v>9</v>
      </c>
      <c r="B14" s="197" t="s">
        <v>1086</v>
      </c>
      <c r="C14" s="198" t="s">
        <v>1084</v>
      </c>
      <c r="D14" s="198" t="s">
        <v>1928</v>
      </c>
      <c r="E14" s="198" t="s">
        <v>2544</v>
      </c>
      <c r="F14" s="198" t="n">
        <v>20.16</v>
      </c>
      <c r="G14" s="196" t="n">
        <v>2007</v>
      </c>
      <c r="H14" s="196" t="s">
        <v>1929</v>
      </c>
      <c r="I14" s="198" t="s">
        <v>472</v>
      </c>
      <c r="J14" s="196" t="s">
        <v>472</v>
      </c>
      <c r="K14" s="196" t="s">
        <v>472</v>
      </c>
      <c r="L14" s="196" t="s">
        <v>1569</v>
      </c>
      <c r="M14" s="199" t="n">
        <v>3500000</v>
      </c>
      <c r="O14" s="207"/>
    </row>
    <row r="15" customFormat="false" ht="21.75" hidden="false" customHeight="true" outlineLevel="0" collapsed="false">
      <c r="A15" s="208" t="n">
        <v>10</v>
      </c>
      <c r="B15" s="202" t="s">
        <v>1083</v>
      </c>
      <c r="C15" s="209" t="s">
        <v>1082</v>
      </c>
      <c r="D15" s="209" t="s">
        <v>1928</v>
      </c>
      <c r="E15" s="209" t="s">
        <v>416</v>
      </c>
      <c r="F15" s="209" t="s">
        <v>1051</v>
      </c>
      <c r="G15" s="208" t="n">
        <v>2010</v>
      </c>
      <c r="H15" s="208" t="s">
        <v>1932</v>
      </c>
      <c r="I15" s="209" t="s">
        <v>472</v>
      </c>
      <c r="J15" s="208" t="s">
        <v>472</v>
      </c>
      <c r="K15" s="208" t="s">
        <v>472</v>
      </c>
      <c r="L15" s="208" t="s">
        <v>1569</v>
      </c>
      <c r="M15" s="210" t="n">
        <v>6550000</v>
      </c>
      <c r="N15" s="209"/>
      <c r="O15" s="211"/>
      <c r="P15" s="209"/>
    </row>
    <row r="16" customFormat="false" ht="21.75" hidden="false" customHeight="true" outlineLevel="0" collapsed="false">
      <c r="A16" s="212" t="n">
        <v>11</v>
      </c>
      <c r="B16" s="197" t="s">
        <v>547</v>
      </c>
      <c r="C16" s="198" t="s">
        <v>547</v>
      </c>
      <c r="D16" s="198" t="s">
        <v>103</v>
      </c>
      <c r="E16" s="198" t="s">
        <v>473</v>
      </c>
      <c r="F16" s="198" t="s">
        <v>530</v>
      </c>
      <c r="G16" s="196" t="s">
        <v>472</v>
      </c>
      <c r="H16" s="196" t="s">
        <v>472</v>
      </c>
      <c r="I16" s="198" t="s">
        <v>472</v>
      </c>
      <c r="J16" s="196" t="s">
        <v>472</v>
      </c>
      <c r="K16" s="196" t="s">
        <v>472</v>
      </c>
      <c r="L16" s="196" t="s">
        <v>1569</v>
      </c>
      <c r="M16" s="199" t="n">
        <v>5500000</v>
      </c>
      <c r="O16" s="207"/>
    </row>
    <row r="17" customFormat="false" ht="21.75" hidden="false" customHeight="true" outlineLevel="0" collapsed="false">
      <c r="A17" s="213" t="n">
        <v>12</v>
      </c>
      <c r="B17" s="197" t="s">
        <v>577</v>
      </c>
      <c r="C17" s="198" t="s">
        <v>577</v>
      </c>
      <c r="D17" s="198" t="s">
        <v>103</v>
      </c>
      <c r="E17" s="198" t="s">
        <v>386</v>
      </c>
      <c r="F17" s="198" t="s">
        <v>578</v>
      </c>
      <c r="G17" s="196" t="s">
        <v>472</v>
      </c>
      <c r="H17" s="196" t="s">
        <v>1736</v>
      </c>
      <c r="I17" s="198" t="s">
        <v>1737</v>
      </c>
      <c r="J17" s="196" t="s">
        <v>472</v>
      </c>
      <c r="K17" s="196" t="s">
        <v>472</v>
      </c>
      <c r="L17" s="196" t="s">
        <v>1569</v>
      </c>
      <c r="M17" s="199" t="n">
        <v>8500000</v>
      </c>
      <c r="O17" s="207"/>
    </row>
    <row r="18" customFormat="false" ht="21.75" hidden="false" customHeight="true" outlineLevel="0" collapsed="false">
      <c r="A18" s="212" t="n">
        <v>13</v>
      </c>
      <c r="B18" s="197" t="s">
        <v>580</v>
      </c>
      <c r="C18" s="198" t="s">
        <v>580</v>
      </c>
      <c r="D18" s="198" t="s">
        <v>103</v>
      </c>
      <c r="E18" s="198" t="s">
        <v>473</v>
      </c>
      <c r="F18" s="198" t="s">
        <v>581</v>
      </c>
      <c r="G18" s="196" t="s">
        <v>472</v>
      </c>
      <c r="H18" s="196" t="s">
        <v>472</v>
      </c>
      <c r="I18" s="198" t="s">
        <v>1738</v>
      </c>
      <c r="J18" s="196" t="s">
        <v>472</v>
      </c>
      <c r="K18" s="196" t="s">
        <v>2545</v>
      </c>
      <c r="L18" s="196" t="s">
        <v>1569</v>
      </c>
      <c r="M18" s="199" t="n">
        <v>5500000</v>
      </c>
      <c r="O18" s="207"/>
    </row>
    <row r="19" customFormat="false" ht="21.75" hidden="false" customHeight="true" outlineLevel="0" collapsed="false">
      <c r="A19" s="213" t="n">
        <v>14</v>
      </c>
      <c r="B19" s="197" t="s">
        <v>496</v>
      </c>
      <c r="C19" s="198" t="s">
        <v>496</v>
      </c>
      <c r="D19" s="198" t="s">
        <v>103</v>
      </c>
      <c r="E19" s="198" t="s">
        <v>369</v>
      </c>
      <c r="F19" s="198" t="s">
        <v>472</v>
      </c>
      <c r="G19" s="201" t="n">
        <v>2012</v>
      </c>
      <c r="H19" s="196" t="s">
        <v>2546</v>
      </c>
      <c r="I19" s="198" t="s">
        <v>472</v>
      </c>
      <c r="J19" s="196" t="s">
        <v>472</v>
      </c>
      <c r="K19" s="196" t="s">
        <v>472</v>
      </c>
      <c r="L19" s="196" t="s">
        <v>1569</v>
      </c>
      <c r="M19" s="199" t="n">
        <v>3500000</v>
      </c>
      <c r="O19" s="207"/>
    </row>
    <row r="20" customFormat="false" ht="21.75" hidden="false" customHeight="true" outlineLevel="0" collapsed="false">
      <c r="A20" s="212" t="n">
        <v>15</v>
      </c>
      <c r="B20" s="197" t="s">
        <v>498</v>
      </c>
      <c r="C20" s="198" t="s">
        <v>498</v>
      </c>
      <c r="D20" s="198" t="s">
        <v>103</v>
      </c>
      <c r="E20" s="198" t="s">
        <v>472</v>
      </c>
      <c r="F20" s="198" t="s">
        <v>472</v>
      </c>
      <c r="G20" s="196" t="n">
        <v>2013</v>
      </c>
      <c r="H20" s="196" t="s">
        <v>2546</v>
      </c>
      <c r="I20" s="198" t="s">
        <v>472</v>
      </c>
      <c r="J20" s="196" t="s">
        <v>472</v>
      </c>
      <c r="K20" s="196" t="s">
        <v>472</v>
      </c>
      <c r="L20" s="196" t="s">
        <v>1569</v>
      </c>
      <c r="M20" s="199" t="n">
        <v>3000000</v>
      </c>
      <c r="O20" s="207"/>
    </row>
    <row r="21" customFormat="false" ht="14.25" hidden="true" customHeight="false" outlineLevel="0" collapsed="false">
      <c r="A21" s="209" t="s">
        <v>2547</v>
      </c>
    </row>
    <row r="22" customFormat="false" ht="14.25" hidden="true" customHeight="false" outlineLevel="0" collapsed="false">
      <c r="A22" s="214" t="s">
        <v>2548</v>
      </c>
    </row>
    <row r="23" customFormat="false" ht="14.25" hidden="true" customHeight="false" outlineLevel="0" collapsed="false">
      <c r="A23" s="214" t="s">
        <v>2549</v>
      </c>
    </row>
    <row r="24" customFormat="false" ht="14.25" hidden="true" customHeight="false" outlineLevel="0" collapsed="false">
      <c r="A24" s="214" t="s">
        <v>2550</v>
      </c>
    </row>
    <row r="25" customFormat="false" ht="14.25" hidden="true" customHeight="false" outlineLevel="0" collapsed="false">
      <c r="A25" s="215" t="s">
        <v>2551</v>
      </c>
    </row>
    <row r="26" customFormat="false" ht="14.25" hidden="true" customHeight="false" outlineLevel="0" collapsed="false">
      <c r="A26" s="214" t="s">
        <v>2552</v>
      </c>
    </row>
  </sheetData>
  <mergeCells count="3">
    <mergeCell ref="A1:P1"/>
    <mergeCell ref="A2:P2"/>
    <mergeCell ref="A3:P3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2026-04-21T10:30:23Z</dcterms:created>
  <dc:creator>openpyxl</dc:creator>
  <dc:description/>
  <dc:language>en-US</dc:language>
  <cp:lastModifiedBy>HP</cp:lastModifiedBy>
  <cp:lastPrinted>2026-06-01T10:43:47Z</cp:lastPrinted>
  <dcterms:modified xsi:type="dcterms:W3CDTF">2026-06-02T16:34:59Z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